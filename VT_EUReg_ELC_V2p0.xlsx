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ish\Downloads\Compressed\EU_TIMES_MAT\"/>
    </mc:Choice>
  </mc:AlternateContent>
  <xr:revisionPtr revIDLastSave="0" documentId="13_ncr:1_{8B08A8BF-C150-45F6-8A84-116BAA72176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LC_ExistingStock" sheetId="4" r:id="rId1"/>
    <sheet name="FuelTech" sheetId="6" r:id="rId2"/>
    <sheet name="Emissions" sheetId="2" r:id="rId3"/>
    <sheet name="Dist Heat" sheetId="3" r:id="rId4"/>
    <sheet name="distHeat for VEDA" sheetId="7" r:id="rId5"/>
    <sheet name="DistHeat-Pivot" sheetId="8" r:id="rId6"/>
    <sheet name="DistHeat-Eurostat dump" sheetId="9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1" i="4" l="1"/>
  <c r="B30" i="4"/>
  <c r="B33" i="4"/>
  <c r="B32" i="4"/>
  <c r="C30" i="4"/>
  <c r="Q31" i="4"/>
  <c r="Q30" i="4"/>
  <c r="H7" i="2"/>
  <c r="H6" i="2"/>
  <c r="Z22" i="3"/>
  <c r="Z21" i="3"/>
  <c r="J19" i="4"/>
  <c r="J7" i="4"/>
  <c r="I22" i="3"/>
  <c r="I4" i="4" l="1"/>
  <c r="I9" i="4"/>
  <c r="Q27" i="4" l="1"/>
  <c r="I27" i="4"/>
  <c r="B27" i="4"/>
  <c r="AJ74" i="3" l="1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G74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G65" i="3"/>
  <c r="G60" i="3"/>
  <c r="G54" i="3"/>
  <c r="E53" i="3"/>
  <c r="G51" i="3"/>
  <c r="G46" i="3"/>
  <c r="E46" i="3"/>
  <c r="E45" i="3"/>
  <c r="G43" i="3"/>
  <c r="E43" i="3"/>
  <c r="G39" i="3"/>
  <c r="E39" i="3"/>
  <c r="G38" i="3"/>
  <c r="E38" i="3"/>
  <c r="G37" i="3"/>
  <c r="E37" i="3"/>
  <c r="G36" i="3"/>
  <c r="E36" i="3"/>
  <c r="G35" i="3"/>
  <c r="E35" i="3"/>
  <c r="G34" i="3"/>
  <c r="E34" i="3"/>
  <c r="G33" i="3"/>
  <c r="E33" i="3"/>
  <c r="B131" i="7"/>
  <c r="B132" i="7" s="1"/>
  <c r="B125" i="7"/>
  <c r="B126" i="7" s="1"/>
  <c r="B119" i="7"/>
  <c r="B120" i="7" s="1"/>
  <c r="B113" i="7"/>
  <c r="B114" i="7" s="1"/>
  <c r="B107" i="7"/>
  <c r="B108" i="7" s="1"/>
  <c r="B101" i="7"/>
  <c r="B102" i="7" s="1"/>
  <c r="B95" i="7"/>
  <c r="B96" i="7" s="1"/>
  <c r="A95" i="7"/>
  <c r="B89" i="7"/>
  <c r="B90" i="7" s="1"/>
  <c r="B83" i="7"/>
  <c r="B84" i="7" s="1"/>
  <c r="B77" i="7"/>
  <c r="B78" i="7" s="1"/>
  <c r="B71" i="7"/>
  <c r="B72" i="7" s="1"/>
  <c r="B65" i="7"/>
  <c r="A65" i="7" s="1"/>
  <c r="A64" i="7"/>
  <c r="A63" i="7"/>
  <c r="A62" i="7"/>
  <c r="A61" i="7"/>
  <c r="A60" i="7"/>
  <c r="A59" i="7"/>
  <c r="A58" i="7"/>
  <c r="A57" i="7"/>
  <c r="B51" i="7"/>
  <c r="A51" i="7" s="1"/>
  <c r="B50" i="7"/>
  <c r="A50" i="7" s="1"/>
  <c r="AH47" i="7"/>
  <c r="AH54" i="7" s="1"/>
  <c r="AG47" i="7"/>
  <c r="AG54" i="7" s="1"/>
  <c r="AG61" i="7" s="1"/>
  <c r="AG68" i="7" s="1"/>
  <c r="AG75" i="7" s="1"/>
  <c r="AH46" i="7"/>
  <c r="AH53" i="7" s="1"/>
  <c r="E52" i="3" s="1"/>
  <c r="AG46" i="7"/>
  <c r="AG53" i="7" s="1"/>
  <c r="AG60" i="7" s="1"/>
  <c r="AG67" i="7" s="1"/>
  <c r="AG74" i="7" s="1"/>
  <c r="G73" i="3" s="1"/>
  <c r="AH45" i="7"/>
  <c r="E44" i="3" s="1"/>
  <c r="AG45" i="7"/>
  <c r="AG52" i="7" s="1"/>
  <c r="AG59" i="7" s="1"/>
  <c r="AG66" i="7" s="1"/>
  <c r="AG73" i="7" s="1"/>
  <c r="G72" i="3" s="1"/>
  <c r="AH44" i="7"/>
  <c r="AG44" i="7"/>
  <c r="B44" i="7"/>
  <c r="A44" i="7" s="1"/>
  <c r="AH43" i="7"/>
  <c r="E42" i="3" s="1"/>
  <c r="AG43" i="7"/>
  <c r="AG50" i="7" s="1"/>
  <c r="AG57" i="7" s="1"/>
  <c r="AG64" i="7" s="1"/>
  <c r="AG71" i="7" s="1"/>
  <c r="G70" i="3" s="1"/>
  <c r="AH42" i="7"/>
  <c r="AH49" i="7" s="1"/>
  <c r="E48" i="3" s="1"/>
  <c r="AG42" i="7"/>
  <c r="AG49" i="7" s="1"/>
  <c r="AG56" i="7" s="1"/>
  <c r="AG63" i="7" s="1"/>
  <c r="AG70" i="7" s="1"/>
  <c r="G69" i="3" s="1"/>
  <c r="AH41" i="7"/>
  <c r="E40" i="3" s="1"/>
  <c r="AG41" i="7"/>
  <c r="AG48" i="7" s="1"/>
  <c r="AG55" i="7" s="1"/>
  <c r="AG62" i="7" s="1"/>
  <c r="AG69" i="7" s="1"/>
  <c r="G68" i="3" s="1"/>
  <c r="B38" i="7"/>
  <c r="B39" i="7" s="1"/>
  <c r="B40" i="7" s="1"/>
  <c r="A40" i="7" s="1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B32" i="7"/>
  <c r="B33" i="7" s="1"/>
  <c r="B26" i="7"/>
  <c r="B27" i="7" s="1"/>
  <c r="B28" i="7" s="1"/>
  <c r="B20" i="7"/>
  <c r="B21" i="7" s="1"/>
  <c r="BJ13" i="7"/>
  <c r="BI13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BJ12" i="7"/>
  <c r="BI12" i="7"/>
  <c r="BH12" i="7"/>
  <c r="BG12" i="7"/>
  <c r="BF12" i="7"/>
  <c r="BE12" i="7"/>
  <c r="BD12" i="7"/>
  <c r="BC12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G58" i="3" l="1"/>
  <c r="G40" i="3"/>
  <c r="G47" i="3"/>
  <c r="G61" i="3"/>
  <c r="G53" i="3"/>
  <c r="G42" i="3"/>
  <c r="G67" i="3"/>
  <c r="G56" i="3"/>
  <c r="G45" i="3"/>
  <c r="G63" i="3"/>
  <c r="E41" i="3"/>
  <c r="G52" i="3"/>
  <c r="G41" i="3"/>
  <c r="G59" i="3"/>
  <c r="G48" i="3"/>
  <c r="G66" i="3"/>
  <c r="G55" i="3"/>
  <c r="G44" i="3"/>
  <c r="G49" i="3"/>
  <c r="G62" i="3"/>
  <c r="A20" i="7"/>
  <c r="A77" i="7"/>
  <c r="A26" i="7"/>
  <c r="A125" i="7"/>
  <c r="A38" i="7"/>
  <c r="A71" i="7"/>
  <c r="A32" i="7"/>
  <c r="A113" i="7"/>
  <c r="A101" i="7"/>
  <c r="A89" i="7"/>
  <c r="AK14" i="7"/>
  <c r="K22" i="3" s="1"/>
  <c r="AV14" i="7"/>
  <c r="V22" i="3" s="1"/>
  <c r="BC14" i="7"/>
  <c r="AC22" i="3" s="1"/>
  <c r="AU14" i="7"/>
  <c r="U22" i="3" s="1"/>
  <c r="AQ14" i="7"/>
  <c r="Q22" i="3" s="1"/>
  <c r="AO14" i="7"/>
  <c r="O22" i="3" s="1"/>
  <c r="A83" i="7"/>
  <c r="AI14" i="7"/>
  <c r="AJ14" i="7"/>
  <c r="J22" i="3" s="1"/>
  <c r="BB14" i="7"/>
  <c r="AB22" i="3" s="1"/>
  <c r="A39" i="7"/>
  <c r="AT14" i="7"/>
  <c r="T22" i="3" s="1"/>
  <c r="B52" i="7"/>
  <c r="B45" i="7"/>
  <c r="BA14" i="7"/>
  <c r="AA22" i="3" s="1"/>
  <c r="A107" i="7"/>
  <c r="BJ14" i="7"/>
  <c r="AJ22" i="3" s="1"/>
  <c r="A119" i="7"/>
  <c r="B41" i="7"/>
  <c r="AW14" i="7"/>
  <c r="W22" i="3" s="1"/>
  <c r="BG14" i="7"/>
  <c r="AG22" i="3" s="1"/>
  <c r="AR14" i="7"/>
  <c r="R22" i="3" s="1"/>
  <c r="AX14" i="7"/>
  <c r="X22" i="3" s="1"/>
  <c r="AL14" i="7"/>
  <c r="L22" i="3" s="1"/>
  <c r="BD14" i="7"/>
  <c r="AD22" i="3" s="1"/>
  <c r="AY14" i="7"/>
  <c r="Y22" i="3" s="1"/>
  <c r="A131" i="7"/>
  <c r="B66" i="7"/>
  <c r="B22" i="7"/>
  <c r="A21" i="7"/>
  <c r="B29" i="7"/>
  <c r="A28" i="7"/>
  <c r="B34" i="7"/>
  <c r="A33" i="7"/>
  <c r="AH61" i="7"/>
  <c r="E60" i="3" s="1"/>
  <c r="B73" i="7"/>
  <c r="A72" i="7"/>
  <c r="B79" i="7"/>
  <c r="A78" i="7"/>
  <c r="AZ14" i="7"/>
  <c r="B91" i="7"/>
  <c r="A90" i="7"/>
  <c r="AH52" i="7"/>
  <c r="E51" i="3" s="1"/>
  <c r="AH48" i="7"/>
  <c r="E47" i="3" s="1"/>
  <c r="AP14" i="7"/>
  <c r="P22" i="3" s="1"/>
  <c r="B103" i="7"/>
  <c r="A102" i="7"/>
  <c r="AH50" i="7"/>
  <c r="E49" i="3" s="1"/>
  <c r="BE14" i="7"/>
  <c r="AE22" i="3" s="1"/>
  <c r="AN14" i="7"/>
  <c r="N22" i="3" s="1"/>
  <c r="B109" i="7"/>
  <c r="A108" i="7"/>
  <c r="B115" i="7"/>
  <c r="A114" i="7"/>
  <c r="B121" i="7"/>
  <c r="A120" i="7"/>
  <c r="AM14" i="7"/>
  <c r="M22" i="3" s="1"/>
  <c r="BI14" i="7"/>
  <c r="AI22" i="3" s="1"/>
  <c r="A27" i="7"/>
  <c r="B127" i="7"/>
  <c r="A126" i="7"/>
  <c r="B85" i="7"/>
  <c r="A84" i="7"/>
  <c r="B97" i="7"/>
  <c r="A96" i="7"/>
  <c r="BH14" i="7"/>
  <c r="AH22" i="3" s="1"/>
  <c r="BF14" i="7"/>
  <c r="AF22" i="3" s="1"/>
  <c r="AS14" i="7"/>
  <c r="S22" i="3" s="1"/>
  <c r="B133" i="7"/>
  <c r="A132" i="7"/>
  <c r="AH60" i="7"/>
  <c r="E59" i="3" s="1"/>
  <c r="AH56" i="7"/>
  <c r="E55" i="3" s="1"/>
  <c r="AG51" i="7"/>
  <c r="AH51" i="7"/>
  <c r="E50" i="3" s="1"/>
  <c r="AG58" i="7" l="1"/>
  <c r="G50" i="3"/>
  <c r="B67" i="7"/>
  <c r="A66" i="7"/>
  <c r="B42" i="7"/>
  <c r="A41" i="7"/>
  <c r="B46" i="7"/>
  <c r="A45" i="7"/>
  <c r="AP35" i="7" s="1"/>
  <c r="P34" i="3" s="1"/>
  <c r="A52" i="7"/>
  <c r="AR37" i="7" s="1"/>
  <c r="R36" i="3" s="1"/>
  <c r="B53" i="7"/>
  <c r="AH59" i="7"/>
  <c r="E58" i="3" s="1"/>
  <c r="AH68" i="7"/>
  <c r="E67" i="3" s="1"/>
  <c r="AH63" i="7"/>
  <c r="E62" i="3" s="1"/>
  <c r="B122" i="7"/>
  <c r="A121" i="7"/>
  <c r="AH55" i="7"/>
  <c r="E54" i="3" s="1"/>
  <c r="B86" i="7"/>
  <c r="A85" i="7"/>
  <c r="B134" i="7"/>
  <c r="A133" i="7"/>
  <c r="B110" i="7"/>
  <c r="A109" i="7"/>
  <c r="B104" i="7"/>
  <c r="A103" i="7"/>
  <c r="B92" i="7"/>
  <c r="A91" i="7"/>
  <c r="A34" i="7"/>
  <c r="B35" i="7"/>
  <c r="B98" i="7"/>
  <c r="A97" i="7"/>
  <c r="B116" i="7"/>
  <c r="A115" i="7"/>
  <c r="A29" i="7"/>
  <c r="B30" i="7"/>
  <c r="B128" i="7"/>
  <c r="A127" i="7"/>
  <c r="AQ40" i="7"/>
  <c r="Q39" i="3" s="1"/>
  <c r="BD39" i="7"/>
  <c r="AD38" i="3" s="1"/>
  <c r="AL39" i="7"/>
  <c r="L38" i="3" s="1"/>
  <c r="AX38" i="7"/>
  <c r="X37" i="3" s="1"/>
  <c r="AQ37" i="7"/>
  <c r="Q36" i="3" s="1"/>
  <c r="BD36" i="7"/>
  <c r="AD35" i="3" s="1"/>
  <c r="AL36" i="7"/>
  <c r="L35" i="3" s="1"/>
  <c r="AX35" i="7"/>
  <c r="X34" i="3" s="1"/>
  <c r="BC39" i="7"/>
  <c r="AC38" i="3" s="1"/>
  <c r="AK39" i="7"/>
  <c r="K38" i="3" s="1"/>
  <c r="AW38" i="7"/>
  <c r="W37" i="3" s="1"/>
  <c r="AN38" i="7"/>
  <c r="N37" i="3" s="1"/>
  <c r="AO38" i="7"/>
  <c r="O37" i="3" s="1"/>
  <c r="BF38" i="7"/>
  <c r="AF37" i="3" s="1"/>
  <c r="AL38" i="7"/>
  <c r="L37" i="3" s="1"/>
  <c r="AQ36" i="7"/>
  <c r="Q35" i="3" s="1"/>
  <c r="BD35" i="7"/>
  <c r="AD34" i="3" s="1"/>
  <c r="AL35" i="7"/>
  <c r="L34" i="3" s="1"/>
  <c r="AX34" i="7"/>
  <c r="X33" i="3" s="1"/>
  <c r="AY38" i="7"/>
  <c r="Y37" i="3" s="1"/>
  <c r="AJ39" i="7"/>
  <c r="J38" i="3" s="1"/>
  <c r="BC34" i="7"/>
  <c r="AC33" i="3" s="1"/>
  <c r="AN34" i="7"/>
  <c r="N33" i="3" s="1"/>
  <c r="AM34" i="7"/>
  <c r="M33" i="3" s="1"/>
  <c r="AJ40" i="7"/>
  <c r="J39" i="3" s="1"/>
  <c r="BF37" i="7"/>
  <c r="AF36" i="3" s="1"/>
  <c r="BB36" i="7"/>
  <c r="AB35" i="3" s="1"/>
  <c r="BB38" i="7"/>
  <c r="AB37" i="3" s="1"/>
  <c r="AS40" i="7"/>
  <c r="S39" i="3" s="1"/>
  <c r="AM39" i="7"/>
  <c r="M38" i="3" s="1"/>
  <c r="BF34" i="7"/>
  <c r="AF33" i="3" s="1"/>
  <c r="BI39" i="7"/>
  <c r="AI38" i="3" s="1"/>
  <c r="BG36" i="7"/>
  <c r="AG35" i="3" s="1"/>
  <c r="AN36" i="7"/>
  <c r="N35" i="3" s="1"/>
  <c r="BI36" i="7"/>
  <c r="AI35" i="3" s="1"/>
  <c r="BE38" i="7"/>
  <c r="AE37" i="3" s="1"/>
  <c r="AZ37" i="7"/>
  <c r="Z36" i="3" s="1"/>
  <c r="AW39" i="7"/>
  <c r="W38" i="3" s="1"/>
  <c r="AM38" i="7"/>
  <c r="M37" i="3" s="1"/>
  <c r="AJ34" i="7"/>
  <c r="J33" i="3" s="1"/>
  <c r="AM40" i="7"/>
  <c r="M39" i="3" s="1"/>
  <c r="AI36" i="7"/>
  <c r="AR35" i="7"/>
  <c r="R34" i="3" s="1"/>
  <c r="AJ36" i="7"/>
  <c r="J35" i="3" s="1"/>
  <c r="AJ38" i="7"/>
  <c r="J37" i="3" s="1"/>
  <c r="BH36" i="7"/>
  <c r="AH35" i="3" s="1"/>
  <c r="BE34" i="7"/>
  <c r="AE33" i="3" s="1"/>
  <c r="AZ36" i="7"/>
  <c r="Z35" i="3" s="1"/>
  <c r="AU38" i="7"/>
  <c r="U37" i="3" s="1"/>
  <c r="BI37" i="7"/>
  <c r="AI36" i="3" s="1"/>
  <c r="BE36" i="7"/>
  <c r="AE35" i="3" s="1"/>
  <c r="BE39" i="7"/>
  <c r="AE38" i="3" s="1"/>
  <c r="AV40" i="7"/>
  <c r="V39" i="3" s="1"/>
  <c r="BE37" i="7"/>
  <c r="AE36" i="3" s="1"/>
  <c r="AU37" i="7"/>
  <c r="U36" i="3" s="1"/>
  <c r="AU40" i="7"/>
  <c r="U39" i="3" s="1"/>
  <c r="AZ39" i="7"/>
  <c r="Z38" i="3" s="1"/>
  <c r="AZ35" i="7"/>
  <c r="Z34" i="3" s="1"/>
  <c r="AW36" i="7"/>
  <c r="W35" i="3" s="1"/>
  <c r="AV39" i="7"/>
  <c r="V38" i="3" s="1"/>
  <c r="AV38" i="7"/>
  <c r="V37" i="3" s="1"/>
  <c r="AH67" i="7"/>
  <c r="E66" i="3" s="1"/>
  <c r="B23" i="7"/>
  <c r="A22" i="7"/>
  <c r="B74" i="7"/>
  <c r="A73" i="7"/>
  <c r="AH57" i="7"/>
  <c r="E56" i="3" s="1"/>
  <c r="AH58" i="7"/>
  <c r="E57" i="3" s="1"/>
  <c r="B80" i="7"/>
  <c r="A79" i="7"/>
  <c r="AG65" i="7" l="1"/>
  <c r="G57" i="3"/>
  <c r="BD38" i="7"/>
  <c r="AD37" i="3" s="1"/>
  <c r="AW34" i="7"/>
  <c r="W33" i="3" s="1"/>
  <c r="BB39" i="7"/>
  <c r="AB38" i="3" s="1"/>
  <c r="AZ38" i="7"/>
  <c r="Z37" i="3" s="1"/>
  <c r="BF39" i="7"/>
  <c r="AF38" i="3" s="1"/>
  <c r="AY40" i="7"/>
  <c r="Y39" i="3" s="1"/>
  <c r="BG38" i="7"/>
  <c r="AG37" i="3" s="1"/>
  <c r="BC38" i="7"/>
  <c r="AC37" i="3" s="1"/>
  <c r="AU34" i="7"/>
  <c r="U33" i="3" s="1"/>
  <c r="AT36" i="7"/>
  <c r="T35" i="3" s="1"/>
  <c r="BJ38" i="7"/>
  <c r="AJ37" i="3" s="1"/>
  <c r="AT39" i="7"/>
  <c r="T38" i="3" s="1"/>
  <c r="AY39" i="7"/>
  <c r="Y38" i="3" s="1"/>
  <c r="AK37" i="7"/>
  <c r="K36" i="3" s="1"/>
  <c r="AI34" i="7"/>
  <c r="AS35" i="7"/>
  <c r="S34" i="3" s="1"/>
  <c r="AX36" i="7"/>
  <c r="X35" i="3" s="1"/>
  <c r="AN40" i="7"/>
  <c r="N39" i="3" s="1"/>
  <c r="AK38" i="7"/>
  <c r="K37" i="3" s="1"/>
  <c r="AZ34" i="7"/>
  <c r="Z33" i="3" s="1"/>
  <c r="AU39" i="7"/>
  <c r="U38" i="3" s="1"/>
  <c r="BJ35" i="7"/>
  <c r="AJ34" i="3" s="1"/>
  <c r="AU35" i="7"/>
  <c r="U34" i="3" s="1"/>
  <c r="AW37" i="7"/>
  <c r="W36" i="3" s="1"/>
  <c r="BC40" i="7"/>
  <c r="AC39" i="3" s="1"/>
  <c r="AM37" i="7"/>
  <c r="M36" i="3" s="1"/>
  <c r="AS36" i="7"/>
  <c r="S35" i="3" s="1"/>
  <c r="AO39" i="7"/>
  <c r="O38" i="3" s="1"/>
  <c r="BA38" i="7"/>
  <c r="AA37" i="3" s="1"/>
  <c r="BE40" i="7"/>
  <c r="AE39" i="3" s="1"/>
  <c r="AK35" i="7"/>
  <c r="K34" i="3" s="1"/>
  <c r="AS37" i="7"/>
  <c r="S36" i="3" s="1"/>
  <c r="AI40" i="7"/>
  <c r="BB37" i="7"/>
  <c r="AB36" i="3" s="1"/>
  <c r="AV36" i="7"/>
  <c r="V35" i="3" s="1"/>
  <c r="BJ37" i="7"/>
  <c r="AJ36" i="3" s="1"/>
  <c r="BD34" i="7"/>
  <c r="AD33" i="3" s="1"/>
  <c r="AP40" i="7"/>
  <c r="P39" i="3" s="1"/>
  <c r="BF40" i="7"/>
  <c r="AF39" i="3" s="1"/>
  <c r="BA39" i="7"/>
  <c r="AA38" i="3" s="1"/>
  <c r="AS34" i="7"/>
  <c r="S33" i="3" s="1"/>
  <c r="BI40" i="7"/>
  <c r="AI39" i="3" s="1"/>
  <c r="AN37" i="7"/>
  <c r="N36" i="3" s="1"/>
  <c r="BC35" i="7"/>
  <c r="AC34" i="3" s="1"/>
  <c r="AQ39" i="7"/>
  <c r="Q38" i="3" s="1"/>
  <c r="BD37" i="7"/>
  <c r="AD36" i="3" s="1"/>
  <c r="AL37" i="7"/>
  <c r="L36" i="3" s="1"/>
  <c r="AV37" i="7"/>
  <c r="V36" i="3" s="1"/>
  <c r="AT35" i="7"/>
  <c r="T34" i="3" s="1"/>
  <c r="BI38" i="7"/>
  <c r="AI37" i="3" s="1"/>
  <c r="BE35" i="7"/>
  <c r="AE34" i="3" s="1"/>
  <c r="AQ38" i="7"/>
  <c r="Q37" i="3" s="1"/>
  <c r="AX40" i="7"/>
  <c r="X39" i="3" s="1"/>
  <c r="BI35" i="7"/>
  <c r="AI34" i="3" s="1"/>
  <c r="BB40" i="7"/>
  <c r="AB39" i="3" s="1"/>
  <c r="BH34" i="7"/>
  <c r="AH33" i="3" s="1"/>
  <c r="AY34" i="7"/>
  <c r="Y33" i="3" s="1"/>
  <c r="AX39" i="7"/>
  <c r="X38" i="3" s="1"/>
  <c r="AP39" i="7"/>
  <c r="P38" i="3" s="1"/>
  <c r="BH37" i="7"/>
  <c r="AH36" i="3" s="1"/>
  <c r="AK40" i="7"/>
  <c r="K39" i="3" s="1"/>
  <c r="AO34" i="7"/>
  <c r="O33" i="3" s="1"/>
  <c r="AN35" i="7"/>
  <c r="N34" i="3" s="1"/>
  <c r="BG34" i="7"/>
  <c r="AG33" i="3" s="1"/>
  <c r="AT37" i="7"/>
  <c r="T36" i="3" s="1"/>
  <c r="AM35" i="7"/>
  <c r="M34" i="3" s="1"/>
  <c r="BF35" i="7"/>
  <c r="AF34" i="3" s="1"/>
  <c r="BH39" i="7"/>
  <c r="AH38" i="3" s="1"/>
  <c r="BA36" i="7"/>
  <c r="AA35" i="3" s="1"/>
  <c r="AK34" i="7"/>
  <c r="K33" i="3" s="1"/>
  <c r="AS38" i="7"/>
  <c r="S37" i="3" s="1"/>
  <c r="AV34" i="7"/>
  <c r="V33" i="3" s="1"/>
  <c r="AI39" i="7"/>
  <c r="AJ35" i="7"/>
  <c r="J34" i="3" s="1"/>
  <c r="AS39" i="7"/>
  <c r="S38" i="3" s="1"/>
  <c r="BG35" i="7"/>
  <c r="AG34" i="3" s="1"/>
  <c r="AO37" i="7"/>
  <c r="O36" i="3" s="1"/>
  <c r="BG37" i="7"/>
  <c r="AG36" i="3" s="1"/>
  <c r="AN39" i="7"/>
  <c r="N38" i="3" s="1"/>
  <c r="AW40" i="7"/>
  <c r="W39" i="3" s="1"/>
  <c r="AR38" i="7"/>
  <c r="R37" i="3" s="1"/>
  <c r="AR40" i="7"/>
  <c r="R39" i="3" s="1"/>
  <c r="BA40" i="7"/>
  <c r="AA39" i="3" s="1"/>
  <c r="AM36" i="7"/>
  <c r="M35" i="3" s="1"/>
  <c r="AV35" i="7"/>
  <c r="V34" i="3" s="1"/>
  <c r="BJ40" i="7"/>
  <c r="AJ39" i="3" s="1"/>
  <c r="BA35" i="7"/>
  <c r="AA34" i="3" s="1"/>
  <c r="AY36" i="7"/>
  <c r="Y35" i="3" s="1"/>
  <c r="BI34" i="7"/>
  <c r="AI33" i="3" s="1"/>
  <c r="AR34" i="7"/>
  <c r="R33" i="3" s="1"/>
  <c r="R35" i="3"/>
  <c r="BH35" i="7"/>
  <c r="AH34" i="3" s="1"/>
  <c r="AO40" i="7"/>
  <c r="O39" i="3" s="1"/>
  <c r="AT34" i="7"/>
  <c r="T33" i="3" s="1"/>
  <c r="BB34" i="7"/>
  <c r="AB33" i="3" s="1"/>
  <c r="AJ37" i="7"/>
  <c r="J36" i="3" s="1"/>
  <c r="AT40" i="7"/>
  <c r="T39" i="3" s="1"/>
  <c r="BJ34" i="7"/>
  <c r="AJ33" i="3" s="1"/>
  <c r="AY37" i="7"/>
  <c r="Y36" i="3" s="1"/>
  <c r="U35" i="3"/>
  <c r="BG40" i="7"/>
  <c r="AG39" i="3" s="1"/>
  <c r="AZ40" i="7"/>
  <c r="Z39" i="3" s="1"/>
  <c r="BG39" i="7"/>
  <c r="AG38" i="3" s="1"/>
  <c r="BC37" i="7"/>
  <c r="AC36" i="3" s="1"/>
  <c r="AI38" i="7"/>
  <c r="AT38" i="7"/>
  <c r="T37" i="3" s="1"/>
  <c r="AY35" i="7"/>
  <c r="Y34" i="3" s="1"/>
  <c r="AI37" i="7"/>
  <c r="BB35" i="7"/>
  <c r="AB34" i="3" s="1"/>
  <c r="AI35" i="7"/>
  <c r="AO36" i="7"/>
  <c r="O35" i="3" s="1"/>
  <c r="AR39" i="7"/>
  <c r="R38" i="3" s="1"/>
  <c r="AP38" i="7"/>
  <c r="P37" i="3" s="1"/>
  <c r="BH40" i="7"/>
  <c r="AH39" i="3" s="1"/>
  <c r="AP37" i="7"/>
  <c r="P36" i="3" s="1"/>
  <c r="BJ39" i="7"/>
  <c r="AJ38" i="3" s="1"/>
  <c r="BH38" i="7"/>
  <c r="AH37" i="3" s="1"/>
  <c r="AW35" i="7"/>
  <c r="W34" i="3" s="1"/>
  <c r="AO35" i="7"/>
  <c r="O34" i="3" s="1"/>
  <c r="AL34" i="7"/>
  <c r="L33" i="3" s="1"/>
  <c r="AK36" i="7"/>
  <c r="K35" i="3" s="1"/>
  <c r="BC36" i="7"/>
  <c r="AC35" i="3" s="1"/>
  <c r="AP36" i="7"/>
  <c r="P35" i="3" s="1"/>
  <c r="AQ35" i="7"/>
  <c r="Q34" i="3" s="1"/>
  <c r="BF36" i="7"/>
  <c r="AF35" i="3" s="1"/>
  <c r="AP34" i="7"/>
  <c r="P33" i="3" s="1"/>
  <c r="AX37" i="7"/>
  <c r="X36" i="3" s="1"/>
  <c r="BA37" i="7"/>
  <c r="AA36" i="3" s="1"/>
  <c r="B54" i="7"/>
  <c r="A53" i="7"/>
  <c r="B47" i="7"/>
  <c r="A46" i="7"/>
  <c r="B43" i="7"/>
  <c r="A43" i="7" s="1"/>
  <c r="A42" i="7"/>
  <c r="AL40" i="7"/>
  <c r="L39" i="3" s="1"/>
  <c r="AQ34" i="7"/>
  <c r="Q33" i="3" s="1"/>
  <c r="BJ36" i="7"/>
  <c r="AJ35" i="3" s="1"/>
  <c r="BA34" i="7"/>
  <c r="AA33" i="3" s="1"/>
  <c r="BD40" i="7"/>
  <c r="AD39" i="3" s="1"/>
  <c r="A67" i="7"/>
  <c r="B68" i="7"/>
  <c r="B93" i="7"/>
  <c r="A92" i="7"/>
  <c r="AH75" i="7"/>
  <c r="E74" i="3" s="1"/>
  <c r="B123" i="7"/>
  <c r="A122" i="7"/>
  <c r="B105" i="7"/>
  <c r="A104" i="7"/>
  <c r="B111" i="7"/>
  <c r="A110" i="7"/>
  <c r="AH66" i="7"/>
  <c r="E65" i="3" s="1"/>
  <c r="B135" i="7"/>
  <c r="A134" i="7"/>
  <c r="B87" i="7"/>
  <c r="A86" i="7"/>
  <c r="B129" i="7"/>
  <c r="A128" i="7"/>
  <c r="B31" i="7"/>
  <c r="A31" i="7" s="1"/>
  <c r="A30" i="7"/>
  <c r="AH62" i="7"/>
  <c r="E61" i="3" s="1"/>
  <c r="A23" i="7"/>
  <c r="B24" i="7"/>
  <c r="AH70" i="7"/>
  <c r="E69" i="3" s="1"/>
  <c r="AH65" i="7"/>
  <c r="E64" i="3" s="1"/>
  <c r="B81" i="7"/>
  <c r="A80" i="7"/>
  <c r="AH64" i="7"/>
  <c r="E63" i="3" s="1"/>
  <c r="B75" i="7"/>
  <c r="A74" i="7"/>
  <c r="AH74" i="7"/>
  <c r="E73" i="3" s="1"/>
  <c r="B117" i="7"/>
  <c r="A116" i="7"/>
  <c r="B99" i="7"/>
  <c r="A98" i="7"/>
  <c r="B36" i="7"/>
  <c r="A35" i="7"/>
  <c r="AG72" i="7" l="1"/>
  <c r="G71" i="3" s="1"/>
  <c r="G64" i="3"/>
  <c r="AW46" i="7"/>
  <c r="W45" i="3" s="1"/>
  <c r="BJ44" i="7"/>
  <c r="AJ43" i="3" s="1"/>
  <c r="AM47" i="7"/>
  <c r="M46" i="3" s="1"/>
  <c r="AU42" i="7"/>
  <c r="U41" i="3" s="1"/>
  <c r="BH47" i="7"/>
  <c r="AH46" i="3" s="1"/>
  <c r="BF47" i="7"/>
  <c r="AF46" i="3" s="1"/>
  <c r="BI47" i="7"/>
  <c r="AI46" i="3" s="1"/>
  <c r="AR43" i="7"/>
  <c r="R42" i="3" s="1"/>
  <c r="BJ42" i="7"/>
  <c r="AJ41" i="3" s="1"/>
  <c r="AX42" i="7"/>
  <c r="X41" i="3" s="1"/>
  <c r="AZ45" i="7"/>
  <c r="Z44" i="3" s="1"/>
  <c r="AU44" i="7"/>
  <c r="U43" i="3" s="1"/>
  <c r="BJ46" i="7"/>
  <c r="AJ45" i="3" s="1"/>
  <c r="AK46" i="7"/>
  <c r="K45" i="3" s="1"/>
  <c r="BB43" i="7"/>
  <c r="AB42" i="3" s="1"/>
  <c r="AY41" i="7"/>
  <c r="Y40" i="3" s="1"/>
  <c r="BF45" i="7"/>
  <c r="AF44" i="3" s="1"/>
  <c r="AV42" i="7"/>
  <c r="V41" i="3" s="1"/>
  <c r="BE41" i="7"/>
  <c r="AE40" i="3" s="1"/>
  <c r="AY42" i="7"/>
  <c r="Y41" i="3" s="1"/>
  <c r="BE42" i="7"/>
  <c r="AE41" i="3" s="1"/>
  <c r="AW47" i="7"/>
  <c r="W46" i="3" s="1"/>
  <c r="AJ43" i="7"/>
  <c r="J42" i="3" s="1"/>
  <c r="AS46" i="7"/>
  <c r="S45" i="3" s="1"/>
  <c r="AN42" i="7"/>
  <c r="N41" i="3" s="1"/>
  <c r="AL44" i="7"/>
  <c r="L43" i="3" s="1"/>
  <c r="AM41" i="7"/>
  <c r="M40" i="3" s="1"/>
  <c r="AP45" i="7"/>
  <c r="P44" i="3" s="1"/>
  <c r="AQ45" i="7"/>
  <c r="Q44" i="3" s="1"/>
  <c r="BH45" i="7"/>
  <c r="AH44" i="3" s="1"/>
  <c r="AJ45" i="7"/>
  <c r="J44" i="3" s="1"/>
  <c r="AS44" i="7"/>
  <c r="S43" i="3" s="1"/>
  <c r="AR42" i="7"/>
  <c r="R41" i="3" s="1"/>
  <c r="AO44" i="7"/>
  <c r="O43" i="3" s="1"/>
  <c r="AR46" i="7"/>
  <c r="R45" i="3" s="1"/>
  <c r="BD43" i="7"/>
  <c r="AD42" i="3" s="1"/>
  <c r="AX45" i="7"/>
  <c r="X44" i="3" s="1"/>
  <c r="AZ46" i="7"/>
  <c r="Z45" i="3" s="1"/>
  <c r="AR47" i="7"/>
  <c r="R46" i="3" s="1"/>
  <c r="BI41" i="7"/>
  <c r="AI40" i="3" s="1"/>
  <c r="AS45" i="7"/>
  <c r="S44" i="3" s="1"/>
  <c r="AX41" i="7"/>
  <c r="X40" i="3" s="1"/>
  <c r="AI41" i="7"/>
  <c r="AZ42" i="7"/>
  <c r="Z41" i="3" s="1"/>
  <c r="AM46" i="7"/>
  <c r="M45" i="3" s="1"/>
  <c r="AQ43" i="7"/>
  <c r="Q42" i="3" s="1"/>
  <c r="AJ44" i="7"/>
  <c r="J43" i="3" s="1"/>
  <c r="AT43" i="7"/>
  <c r="T42" i="3" s="1"/>
  <c r="AQ41" i="7"/>
  <c r="Q40" i="3" s="1"/>
  <c r="BF43" i="7"/>
  <c r="AF42" i="3" s="1"/>
  <c r="AP44" i="7"/>
  <c r="P43" i="3" s="1"/>
  <c r="BG46" i="7"/>
  <c r="AG45" i="3" s="1"/>
  <c r="AY46" i="7"/>
  <c r="Y45" i="3" s="1"/>
  <c r="AU41" i="7"/>
  <c r="U40" i="3" s="1"/>
  <c r="AN46" i="7"/>
  <c r="N45" i="3" s="1"/>
  <c r="BE44" i="7"/>
  <c r="AE43" i="3" s="1"/>
  <c r="BB45" i="7"/>
  <c r="AB44" i="3" s="1"/>
  <c r="BG42" i="7"/>
  <c r="AG41" i="3" s="1"/>
  <c r="AO45" i="7"/>
  <c r="O44" i="3" s="1"/>
  <c r="BD41" i="7"/>
  <c r="AD40" i="3" s="1"/>
  <c r="BB41" i="7"/>
  <c r="AB40" i="3" s="1"/>
  <c r="AV41" i="7"/>
  <c r="V40" i="3" s="1"/>
  <c r="BG47" i="7"/>
  <c r="AG46" i="3" s="1"/>
  <c r="BE46" i="7"/>
  <c r="AE45" i="3" s="1"/>
  <c r="AS47" i="7"/>
  <c r="S46" i="3" s="1"/>
  <c r="AO47" i="7"/>
  <c r="O46" i="3" s="1"/>
  <c r="AY44" i="7"/>
  <c r="Y43" i="3" s="1"/>
  <c r="AP47" i="7"/>
  <c r="P46" i="3" s="1"/>
  <c r="AI43" i="7"/>
  <c r="BF46" i="7"/>
  <c r="AF45" i="3" s="1"/>
  <c r="AJ47" i="7"/>
  <c r="J46" i="3" s="1"/>
  <c r="BG45" i="7"/>
  <c r="AG44" i="3" s="1"/>
  <c r="AM45" i="7"/>
  <c r="M44" i="3" s="1"/>
  <c r="BI44" i="7"/>
  <c r="AI43" i="3" s="1"/>
  <c r="AL47" i="7"/>
  <c r="L46" i="3" s="1"/>
  <c r="BA44" i="7"/>
  <c r="AA43" i="3" s="1"/>
  <c r="BC45" i="7"/>
  <c r="AC44" i="3" s="1"/>
  <c r="BG41" i="7"/>
  <c r="AG40" i="3" s="1"/>
  <c r="BA41" i="7"/>
  <c r="AA40" i="3" s="1"/>
  <c r="AL42" i="7"/>
  <c r="L41" i="3" s="1"/>
  <c r="AM44" i="7"/>
  <c r="M43" i="3" s="1"/>
  <c r="AX46" i="7"/>
  <c r="X45" i="3" s="1"/>
  <c r="BD46" i="7"/>
  <c r="AD45" i="3" s="1"/>
  <c r="AK43" i="7"/>
  <c r="K42" i="3" s="1"/>
  <c r="AY43" i="7"/>
  <c r="Y42" i="3" s="1"/>
  <c r="AV45" i="7"/>
  <c r="V44" i="3" s="1"/>
  <c r="AJ41" i="7"/>
  <c r="J40" i="3" s="1"/>
  <c r="AJ46" i="7"/>
  <c r="J45" i="3" s="1"/>
  <c r="AT45" i="7"/>
  <c r="T44" i="3" s="1"/>
  <c r="AO42" i="7"/>
  <c r="O41" i="3" s="1"/>
  <c r="AI44" i="7"/>
  <c r="AO46" i="7"/>
  <c r="O45" i="3" s="1"/>
  <c r="AO41" i="7"/>
  <c r="O40" i="3" s="1"/>
  <c r="BJ41" i="7"/>
  <c r="AJ40" i="3" s="1"/>
  <c r="AQ46" i="7"/>
  <c r="Q45" i="3" s="1"/>
  <c r="AT42" i="7"/>
  <c r="T41" i="3" s="1"/>
  <c r="BA45" i="7"/>
  <c r="AA44" i="3" s="1"/>
  <c r="BJ47" i="7"/>
  <c r="AJ46" i="3" s="1"/>
  <c r="AZ43" i="7"/>
  <c r="Z42" i="3" s="1"/>
  <c r="BH41" i="7"/>
  <c r="AH40" i="3" s="1"/>
  <c r="AI45" i="7"/>
  <c r="AS41" i="7"/>
  <c r="S40" i="3" s="1"/>
  <c r="BC42" i="7"/>
  <c r="AC41" i="3" s="1"/>
  <c r="BI42" i="7"/>
  <c r="AI41" i="3" s="1"/>
  <c r="AV47" i="7"/>
  <c r="V46" i="3" s="1"/>
  <c r="AR45" i="7"/>
  <c r="R44" i="3" s="1"/>
  <c r="BD47" i="7"/>
  <c r="AD46" i="3" s="1"/>
  <c r="AM43" i="7"/>
  <c r="M42" i="3" s="1"/>
  <c r="AN45" i="7"/>
  <c r="N44" i="3" s="1"/>
  <c r="AU45" i="7"/>
  <c r="U44" i="3" s="1"/>
  <c r="BF44" i="7"/>
  <c r="AF43" i="3" s="1"/>
  <c r="BB46" i="7"/>
  <c r="AB45" i="3" s="1"/>
  <c r="BI46" i="7"/>
  <c r="AI45" i="3" s="1"/>
  <c r="B69" i="7"/>
  <c r="A68" i="7"/>
  <c r="AZ41" i="7"/>
  <c r="Z40" i="3" s="1"/>
  <c r="AY45" i="7"/>
  <c r="Y44" i="3" s="1"/>
  <c r="BH42" i="7"/>
  <c r="AH41" i="3" s="1"/>
  <c r="AK44" i="7"/>
  <c r="K43" i="3" s="1"/>
  <c r="BB42" i="7"/>
  <c r="AB41" i="3" s="1"/>
  <c r="AN41" i="7"/>
  <c r="N40" i="3" s="1"/>
  <c r="BA43" i="7"/>
  <c r="AA42" i="3" s="1"/>
  <c r="AJ42" i="7"/>
  <c r="J41" i="3" s="1"/>
  <c r="AP46" i="7"/>
  <c r="P45" i="3" s="1"/>
  <c r="BC44" i="7"/>
  <c r="AC43" i="3" s="1"/>
  <c r="BI43" i="7"/>
  <c r="AI42" i="3" s="1"/>
  <c r="BH44" i="7"/>
  <c r="AH43" i="3" s="1"/>
  <c r="AQ44" i="7"/>
  <c r="Q43" i="3" s="1"/>
  <c r="BD44" i="7"/>
  <c r="AD43" i="3" s="1"/>
  <c r="AW44" i="7"/>
  <c r="W43" i="3" s="1"/>
  <c r="BH46" i="7"/>
  <c r="AH45" i="3" s="1"/>
  <c r="AT46" i="7"/>
  <c r="T45" i="3" s="1"/>
  <c r="BG44" i="7"/>
  <c r="AG43" i="3" s="1"/>
  <c r="AT41" i="7"/>
  <c r="T40" i="3" s="1"/>
  <c r="AL45" i="7"/>
  <c r="L44" i="3" s="1"/>
  <c r="AU43" i="7"/>
  <c r="U42" i="3" s="1"/>
  <c r="BI45" i="7"/>
  <c r="AI44" i="3" s="1"/>
  <c r="AL41" i="7"/>
  <c r="L40" i="3" s="1"/>
  <c r="AO43" i="7"/>
  <c r="O42" i="3" s="1"/>
  <c r="AP41" i="7"/>
  <c r="P40" i="3" s="1"/>
  <c r="AV44" i="7"/>
  <c r="V43" i="3" s="1"/>
  <c r="AL46" i="7"/>
  <c r="L45" i="3" s="1"/>
  <c r="BJ45" i="7"/>
  <c r="AJ44" i="3" s="1"/>
  <c r="AT44" i="7"/>
  <c r="T43" i="3" s="1"/>
  <c r="AT47" i="7"/>
  <c r="T46" i="3" s="1"/>
  <c r="BD42" i="7"/>
  <c r="AD41" i="3" s="1"/>
  <c r="BB44" i="7"/>
  <c r="AB43" i="3" s="1"/>
  <c r="AN43" i="7"/>
  <c r="N42" i="3" s="1"/>
  <c r="BC41" i="7"/>
  <c r="AC40" i="3" s="1"/>
  <c r="BE47" i="7"/>
  <c r="AE46" i="3" s="1"/>
  <c r="AI47" i="7"/>
  <c r="AR44" i="7"/>
  <c r="R43" i="3" s="1"/>
  <c r="AS43" i="7"/>
  <c r="S42" i="3" s="1"/>
  <c r="AQ47" i="7"/>
  <c r="Q46" i="3" s="1"/>
  <c r="BG43" i="7"/>
  <c r="AG42" i="3" s="1"/>
  <c r="AI42" i="7"/>
  <c r="AP43" i="7"/>
  <c r="P42" i="3" s="1"/>
  <c r="AX44" i="7"/>
  <c r="X43" i="3" s="1"/>
  <c r="AY47" i="7"/>
  <c r="Y46" i="3" s="1"/>
  <c r="BF41" i="7"/>
  <c r="AF40" i="3" s="1"/>
  <c r="BA46" i="7"/>
  <c r="AA45" i="3" s="1"/>
  <c r="AW41" i="7"/>
  <c r="W40" i="3" s="1"/>
  <c r="AZ44" i="7"/>
  <c r="Z43" i="3" s="1"/>
  <c r="BH43" i="7"/>
  <c r="AH42" i="3" s="1"/>
  <c r="AU47" i="7"/>
  <c r="U46" i="3" s="1"/>
  <c r="AZ47" i="7"/>
  <c r="Z46" i="3" s="1"/>
  <c r="AX47" i="7"/>
  <c r="X46" i="3" s="1"/>
  <c r="BC43" i="7"/>
  <c r="AC42" i="3" s="1"/>
  <c r="AR41" i="7"/>
  <c r="R40" i="3" s="1"/>
  <c r="AV43" i="7"/>
  <c r="V42" i="3" s="1"/>
  <c r="AK41" i="7"/>
  <c r="K40" i="3" s="1"/>
  <c r="BD45" i="7"/>
  <c r="AD44" i="3" s="1"/>
  <c r="AX43" i="7"/>
  <c r="X42" i="3" s="1"/>
  <c r="BJ43" i="7"/>
  <c r="AJ42" i="3" s="1"/>
  <c r="AI46" i="7"/>
  <c r="AU46" i="7"/>
  <c r="U45" i="3" s="1"/>
  <c r="A47" i="7"/>
  <c r="B48" i="7"/>
  <c r="AN44" i="7"/>
  <c r="N43" i="3" s="1"/>
  <c r="AK45" i="7"/>
  <c r="K44" i="3" s="1"/>
  <c r="AW45" i="7"/>
  <c r="W44" i="3" s="1"/>
  <c r="AW43" i="7"/>
  <c r="W42" i="3" s="1"/>
  <c r="BA42" i="7"/>
  <c r="AA41" i="3" s="1"/>
  <c r="AW42" i="7"/>
  <c r="W41" i="3" s="1"/>
  <c r="BF42" i="7"/>
  <c r="AF41" i="3" s="1"/>
  <c r="AK42" i="7"/>
  <c r="K41" i="3" s="1"/>
  <c r="AV46" i="7"/>
  <c r="V45" i="3" s="1"/>
  <c r="BE45" i="7"/>
  <c r="AE44" i="3" s="1"/>
  <c r="AP42" i="7"/>
  <c r="P41" i="3" s="1"/>
  <c r="AL43" i="7"/>
  <c r="L42" i="3" s="1"/>
  <c r="BC47" i="7"/>
  <c r="AC46" i="3" s="1"/>
  <c r="BE43" i="7"/>
  <c r="AE42" i="3" s="1"/>
  <c r="BB47" i="7"/>
  <c r="AB46" i="3" s="1"/>
  <c r="AK47" i="7"/>
  <c r="K46" i="3" s="1"/>
  <c r="BA47" i="7"/>
  <c r="AA46" i="3" s="1"/>
  <c r="AS42" i="7"/>
  <c r="S41" i="3" s="1"/>
  <c r="BC46" i="7"/>
  <c r="AC45" i="3" s="1"/>
  <c r="AM42" i="7"/>
  <c r="M41" i="3" s="1"/>
  <c r="AN47" i="7"/>
  <c r="N46" i="3" s="1"/>
  <c r="AQ42" i="7"/>
  <c r="Q41" i="3" s="1"/>
  <c r="A54" i="7"/>
  <c r="B55" i="7"/>
  <c r="B82" i="7"/>
  <c r="A82" i="7" s="1"/>
  <c r="A81" i="7"/>
  <c r="B112" i="7"/>
  <c r="A112" i="7" s="1"/>
  <c r="A111" i="7"/>
  <c r="B106" i="7"/>
  <c r="A106" i="7" s="1"/>
  <c r="A105" i="7"/>
  <c r="B130" i="7"/>
  <c r="A130" i="7" s="1"/>
  <c r="A129" i="7"/>
  <c r="B124" i="7"/>
  <c r="A124" i="7" s="1"/>
  <c r="A123" i="7"/>
  <c r="B88" i="7"/>
  <c r="A88" i="7" s="1"/>
  <c r="A87" i="7"/>
  <c r="AH73" i="7"/>
  <c r="E72" i="3" s="1"/>
  <c r="B76" i="7"/>
  <c r="A76" i="7" s="1"/>
  <c r="A75" i="7"/>
  <c r="B25" i="7"/>
  <c r="A25" i="7" s="1"/>
  <c r="A24" i="7"/>
  <c r="B136" i="7"/>
  <c r="A136" i="7" s="1"/>
  <c r="A135" i="7"/>
  <c r="AH72" i="7"/>
  <c r="E71" i="3" s="1"/>
  <c r="AH69" i="7"/>
  <c r="E68" i="3" s="1"/>
  <c r="AH71" i="7"/>
  <c r="E70" i="3" s="1"/>
  <c r="B118" i="7"/>
  <c r="A118" i="7" s="1"/>
  <c r="A117" i="7"/>
  <c r="B37" i="7"/>
  <c r="A37" i="7" s="1"/>
  <c r="A36" i="7"/>
  <c r="B100" i="7"/>
  <c r="A100" i="7" s="1"/>
  <c r="A99" i="7"/>
  <c r="B94" i="7"/>
  <c r="A94" i="7" s="1"/>
  <c r="A93" i="7"/>
  <c r="AP48" i="7" l="1"/>
  <c r="P47" i="3" s="1"/>
  <c r="AJ52" i="7"/>
  <c r="J51" i="3" s="1"/>
  <c r="AL49" i="7"/>
  <c r="L48" i="3" s="1"/>
  <c r="AY54" i="7"/>
  <c r="Y53" i="3" s="1"/>
  <c r="AJ53" i="7"/>
  <c r="J52" i="3" s="1"/>
  <c r="BE52" i="7"/>
  <c r="AE51" i="3" s="1"/>
  <c r="BB52" i="7"/>
  <c r="AB51" i="3" s="1"/>
  <c r="BA53" i="7"/>
  <c r="AA52" i="3" s="1"/>
  <c r="BB48" i="7"/>
  <c r="AB47" i="3" s="1"/>
  <c r="BF51" i="7"/>
  <c r="AF50" i="3" s="1"/>
  <c r="AU50" i="7"/>
  <c r="U49" i="3" s="1"/>
  <c r="AQ51" i="7"/>
  <c r="Q50" i="3" s="1"/>
  <c r="AJ48" i="7"/>
  <c r="J47" i="3" s="1"/>
  <c r="AY49" i="7"/>
  <c r="Y48" i="3" s="1"/>
  <c r="AZ52" i="7"/>
  <c r="Z51" i="3" s="1"/>
  <c r="AY52" i="7"/>
  <c r="Y51" i="3" s="1"/>
  <c r="BA48" i="7"/>
  <c r="AA47" i="3" s="1"/>
  <c r="AV48" i="7"/>
  <c r="V47" i="3" s="1"/>
  <c r="AQ48" i="7"/>
  <c r="Q47" i="3" s="1"/>
  <c r="AI52" i="7"/>
  <c r="BD53" i="7"/>
  <c r="AD52" i="3" s="1"/>
  <c r="AO53" i="7"/>
  <c r="O52" i="3" s="1"/>
  <c r="BI54" i="7"/>
  <c r="AI53" i="3" s="1"/>
  <c r="BE49" i="7"/>
  <c r="AE48" i="3" s="1"/>
  <c r="AL53" i="7"/>
  <c r="L52" i="3" s="1"/>
  <c r="AW52" i="7"/>
  <c r="W51" i="3" s="1"/>
  <c r="AX50" i="7"/>
  <c r="X49" i="3" s="1"/>
  <c r="BB54" i="7"/>
  <c r="AB53" i="3" s="1"/>
  <c r="BI49" i="7"/>
  <c r="AI48" i="3" s="1"/>
  <c r="AO49" i="7"/>
  <c r="O48" i="3" s="1"/>
  <c r="BC52" i="7"/>
  <c r="AC51" i="3" s="1"/>
  <c r="AZ50" i="7"/>
  <c r="Z49" i="3" s="1"/>
  <c r="AQ54" i="7"/>
  <c r="Q53" i="3" s="1"/>
  <c r="AU51" i="7"/>
  <c r="U50" i="3" s="1"/>
  <c r="BA49" i="7"/>
  <c r="AA48" i="3" s="1"/>
  <c r="AT50" i="7"/>
  <c r="T49" i="3" s="1"/>
  <c r="BA50" i="7"/>
  <c r="AA49" i="3" s="1"/>
  <c r="AZ54" i="7"/>
  <c r="Z53" i="3" s="1"/>
  <c r="BJ52" i="7"/>
  <c r="AJ51" i="3" s="1"/>
  <c r="AK52" i="7"/>
  <c r="K51" i="3" s="1"/>
  <c r="AP51" i="7"/>
  <c r="P50" i="3" s="1"/>
  <c r="AR53" i="7"/>
  <c r="R52" i="3" s="1"/>
  <c r="AS52" i="7"/>
  <c r="S51" i="3" s="1"/>
  <c r="AT54" i="7"/>
  <c r="T53" i="3" s="1"/>
  <c r="AS50" i="7"/>
  <c r="S49" i="3" s="1"/>
  <c r="AO52" i="7"/>
  <c r="O51" i="3" s="1"/>
  <c r="AI54" i="7"/>
  <c r="BF52" i="7"/>
  <c r="AF51" i="3" s="1"/>
  <c r="AK54" i="7"/>
  <c r="K53" i="3" s="1"/>
  <c r="AZ48" i="7"/>
  <c r="Z47" i="3" s="1"/>
  <c r="AW50" i="7"/>
  <c r="W49" i="3" s="1"/>
  <c r="AP49" i="7"/>
  <c r="P48" i="3" s="1"/>
  <c r="AZ51" i="7"/>
  <c r="Z50" i="3" s="1"/>
  <c r="BH52" i="7"/>
  <c r="AH51" i="3" s="1"/>
  <c r="AL48" i="7"/>
  <c r="L47" i="3" s="1"/>
  <c r="AN53" i="7"/>
  <c r="N52" i="3" s="1"/>
  <c r="BF49" i="7"/>
  <c r="AF48" i="3" s="1"/>
  <c r="BA54" i="7"/>
  <c r="AA53" i="3" s="1"/>
  <c r="AV49" i="7"/>
  <c r="V48" i="3" s="1"/>
  <c r="AY51" i="7"/>
  <c r="Y50" i="3" s="1"/>
  <c r="BB49" i="7"/>
  <c r="AB48" i="3" s="1"/>
  <c r="BC50" i="7"/>
  <c r="AC49" i="3" s="1"/>
  <c r="AK53" i="7"/>
  <c r="K52" i="3" s="1"/>
  <c r="AL54" i="7"/>
  <c r="L53" i="3" s="1"/>
  <c r="BF54" i="7"/>
  <c r="AF53" i="3" s="1"/>
  <c r="AI51" i="7"/>
  <c r="AM48" i="7"/>
  <c r="M47" i="3" s="1"/>
  <c r="BG50" i="7"/>
  <c r="AG49" i="3" s="1"/>
  <c r="AN50" i="7"/>
  <c r="N49" i="3" s="1"/>
  <c r="AU54" i="7"/>
  <c r="U53" i="3" s="1"/>
  <c r="AP54" i="7"/>
  <c r="P53" i="3" s="1"/>
  <c r="AW49" i="7"/>
  <c r="W48" i="3" s="1"/>
  <c r="BJ50" i="7"/>
  <c r="AJ49" i="3" s="1"/>
  <c r="AK48" i="7"/>
  <c r="K47" i="3" s="1"/>
  <c r="BC48" i="7"/>
  <c r="AC47" i="3" s="1"/>
  <c r="AW48" i="7"/>
  <c r="W47" i="3" s="1"/>
  <c r="BJ48" i="7"/>
  <c r="AJ47" i="3" s="1"/>
  <c r="AL50" i="7"/>
  <c r="L49" i="3" s="1"/>
  <c r="BH51" i="7"/>
  <c r="AH50" i="3" s="1"/>
  <c r="AI49" i="7"/>
  <c r="AX51" i="7"/>
  <c r="X50" i="3" s="1"/>
  <c r="AT52" i="7"/>
  <c r="T51" i="3" s="1"/>
  <c r="BB51" i="7"/>
  <c r="AB50" i="3" s="1"/>
  <c r="AQ52" i="7"/>
  <c r="Q51" i="3" s="1"/>
  <c r="AM49" i="7"/>
  <c r="M48" i="3" s="1"/>
  <c r="BH49" i="7"/>
  <c r="AH48" i="3" s="1"/>
  <c r="AW53" i="7"/>
  <c r="W52" i="3" s="1"/>
  <c r="AN48" i="7"/>
  <c r="N47" i="3" s="1"/>
  <c r="BF48" i="7"/>
  <c r="AF47" i="3" s="1"/>
  <c r="AT53" i="7"/>
  <c r="T52" i="3" s="1"/>
  <c r="AO51" i="7"/>
  <c r="O50" i="3" s="1"/>
  <c r="AM52" i="7"/>
  <c r="M51" i="3" s="1"/>
  <c r="AU48" i="7"/>
  <c r="U47" i="3" s="1"/>
  <c r="AP50" i="7"/>
  <c r="P49" i="3" s="1"/>
  <c r="BB50" i="7"/>
  <c r="AB49" i="3" s="1"/>
  <c r="AR49" i="7"/>
  <c r="R48" i="3" s="1"/>
  <c r="AX53" i="7"/>
  <c r="X52" i="3" s="1"/>
  <c r="BG49" i="7"/>
  <c r="AG48" i="3" s="1"/>
  <c r="AK51" i="7"/>
  <c r="K50" i="3" s="1"/>
  <c r="BC54" i="7"/>
  <c r="AC53" i="3" s="1"/>
  <c r="AT48" i="7"/>
  <c r="T47" i="3" s="1"/>
  <c r="BG48" i="7"/>
  <c r="AG47" i="3" s="1"/>
  <c r="AR51" i="7"/>
  <c r="R50" i="3" s="1"/>
  <c r="AQ50" i="7"/>
  <c r="Q49" i="3" s="1"/>
  <c r="BD54" i="7"/>
  <c r="AD53" i="3" s="1"/>
  <c r="AU49" i="7"/>
  <c r="U48" i="3" s="1"/>
  <c r="AY53" i="7"/>
  <c r="Y52" i="3" s="1"/>
  <c r="AR48" i="7"/>
  <c r="R47" i="3" s="1"/>
  <c r="AI48" i="7"/>
  <c r="AV54" i="7"/>
  <c r="V53" i="3" s="1"/>
  <c r="AQ53" i="7"/>
  <c r="Q52" i="3" s="1"/>
  <c r="AN54" i="7"/>
  <c r="N53" i="3" s="1"/>
  <c r="AS51" i="7"/>
  <c r="S50" i="3" s="1"/>
  <c r="AV52" i="7"/>
  <c r="V51" i="3" s="1"/>
  <c r="AP52" i="7"/>
  <c r="P51" i="3" s="1"/>
  <c r="AK50" i="7"/>
  <c r="K49" i="3" s="1"/>
  <c r="AQ49" i="7"/>
  <c r="Q48" i="3" s="1"/>
  <c r="AM54" i="7"/>
  <c r="M53" i="3" s="1"/>
  <c r="AY50" i="7"/>
  <c r="Y49" i="3" s="1"/>
  <c r="AT51" i="7"/>
  <c r="T50" i="3" s="1"/>
  <c r="BE48" i="7"/>
  <c r="AE47" i="3" s="1"/>
  <c r="AI50" i="7"/>
  <c r="AX48" i="7"/>
  <c r="X47" i="3" s="1"/>
  <c r="AR50" i="7"/>
  <c r="R49" i="3" s="1"/>
  <c r="AU53" i="7"/>
  <c r="U52" i="3" s="1"/>
  <c r="BH54" i="7"/>
  <c r="AH53" i="3" s="1"/>
  <c r="A48" i="7"/>
  <c r="B49" i="7"/>
  <c r="A49" i="7" s="1"/>
  <c r="AR54" i="7"/>
  <c r="R53" i="3" s="1"/>
  <c r="AV50" i="7"/>
  <c r="V49" i="3" s="1"/>
  <c r="AL52" i="7"/>
  <c r="L51" i="3" s="1"/>
  <c r="BE50" i="7"/>
  <c r="AE49" i="3" s="1"/>
  <c r="AZ53" i="7"/>
  <c r="Z52" i="3" s="1"/>
  <c r="BB53" i="7"/>
  <c r="AB52" i="3" s="1"/>
  <c r="AV51" i="7"/>
  <c r="V50" i="3" s="1"/>
  <c r="AN51" i="7"/>
  <c r="N50" i="3" s="1"/>
  <c r="AW51" i="7"/>
  <c r="W50" i="3" s="1"/>
  <c r="BD50" i="7"/>
  <c r="AD49" i="3" s="1"/>
  <c r="AM50" i="7"/>
  <c r="M49" i="3" s="1"/>
  <c r="AO48" i="7"/>
  <c r="O47" i="3" s="1"/>
  <c r="BE51" i="7"/>
  <c r="AE50" i="3" s="1"/>
  <c r="AJ54" i="7"/>
  <c r="J53" i="3" s="1"/>
  <c r="AS53" i="7"/>
  <c r="S52" i="3" s="1"/>
  <c r="BD49" i="7"/>
  <c r="AD48" i="3" s="1"/>
  <c r="BI53" i="7"/>
  <c r="AI52" i="3" s="1"/>
  <c r="BC53" i="7"/>
  <c r="AC52" i="3" s="1"/>
  <c r="BF53" i="7"/>
  <c r="AF52" i="3" s="1"/>
  <c r="BI52" i="7"/>
  <c r="AI51" i="3" s="1"/>
  <c r="BC51" i="7"/>
  <c r="AC50" i="3" s="1"/>
  <c r="AW54" i="7"/>
  <c r="W53" i="3" s="1"/>
  <c r="BD48" i="7"/>
  <c r="AD47" i="3" s="1"/>
  <c r="AS48" i="7"/>
  <c r="S47" i="3" s="1"/>
  <c r="AU52" i="7"/>
  <c r="U51" i="3" s="1"/>
  <c r="BF50" i="7"/>
  <c r="AF49" i="3" s="1"/>
  <c r="AS54" i="7"/>
  <c r="S53" i="3" s="1"/>
  <c r="BG53" i="7"/>
  <c r="AG52" i="3" s="1"/>
  <c r="AP53" i="7"/>
  <c r="P52" i="3" s="1"/>
  <c r="AN49" i="7"/>
  <c r="N48" i="3" s="1"/>
  <c r="AS49" i="7"/>
  <c r="S48" i="3" s="1"/>
  <c r="BI51" i="7"/>
  <c r="AI50" i="3" s="1"/>
  <c r="BJ54" i="7"/>
  <c r="AJ53" i="3" s="1"/>
  <c r="AZ49" i="7"/>
  <c r="Z48" i="3" s="1"/>
  <c r="BD52" i="7"/>
  <c r="AD51" i="3" s="1"/>
  <c r="AR52" i="7"/>
  <c r="R51" i="3" s="1"/>
  <c r="BG52" i="7"/>
  <c r="AG51" i="3" s="1"/>
  <c r="BJ51" i="7"/>
  <c r="AJ50" i="3" s="1"/>
  <c r="AJ50" i="7"/>
  <c r="J49" i="3" s="1"/>
  <c r="AI53" i="7"/>
  <c r="BH53" i="7"/>
  <c r="AH52" i="3" s="1"/>
  <c r="AO54" i="7"/>
  <c r="O53" i="3" s="1"/>
  <c r="BE54" i="7"/>
  <c r="AE53" i="3" s="1"/>
  <c r="AT49" i="7"/>
  <c r="T48" i="3" s="1"/>
  <c r="BJ53" i="7"/>
  <c r="AJ52" i="3" s="1"/>
  <c r="AL51" i="7"/>
  <c r="L50" i="3" s="1"/>
  <c r="BA51" i="7"/>
  <c r="AA50" i="3" s="1"/>
  <c r="BJ49" i="7"/>
  <c r="AJ48" i="3" s="1"/>
  <c r="AN52" i="7"/>
  <c r="N51" i="3" s="1"/>
  <c r="AO50" i="7"/>
  <c r="O49" i="3" s="1"/>
  <c r="BI50" i="7"/>
  <c r="AI49" i="3" s="1"/>
  <c r="AM51" i="7"/>
  <c r="M50" i="3" s="1"/>
  <c r="AV53" i="7"/>
  <c r="V52" i="3" s="1"/>
  <c r="AJ49" i="7"/>
  <c r="J48" i="3" s="1"/>
  <c r="AX54" i="7"/>
  <c r="X53" i="3" s="1"/>
  <c r="AK49" i="7"/>
  <c r="K48" i="3" s="1"/>
  <c r="BC49" i="7"/>
  <c r="AC48" i="3" s="1"/>
  <c r="BG51" i="7"/>
  <c r="AG50" i="3" s="1"/>
  <c r="BD51" i="7"/>
  <c r="AD50" i="3" s="1"/>
  <c r="BH48" i="7"/>
  <c r="AH47" i="3" s="1"/>
  <c r="AY48" i="7"/>
  <c r="Y47" i="3" s="1"/>
  <c r="AM53" i="7"/>
  <c r="M52" i="3" s="1"/>
  <c r="BG54" i="7"/>
  <c r="AG53" i="3" s="1"/>
  <c r="AX49" i="7"/>
  <c r="X48" i="3" s="1"/>
  <c r="AJ51" i="7"/>
  <c r="J50" i="3" s="1"/>
  <c r="BH50" i="7"/>
  <c r="AH49" i="3" s="1"/>
  <c r="AX52" i="7"/>
  <c r="X51" i="3" s="1"/>
  <c r="BI48" i="7"/>
  <c r="AI47" i="3" s="1"/>
  <c r="BA52" i="7"/>
  <c r="AA51" i="3" s="1"/>
  <c r="BE53" i="7"/>
  <c r="AE52" i="3" s="1"/>
  <c r="A55" i="7"/>
  <c r="B56" i="7"/>
  <c r="A56" i="7" s="1"/>
  <c r="B70" i="7"/>
  <c r="A70" i="7" s="1"/>
  <c r="A69" i="7"/>
  <c r="BA61" i="7" s="1"/>
  <c r="AA60" i="3" s="1"/>
  <c r="BJ58" i="7"/>
  <c r="AJ57" i="3" s="1"/>
  <c r="AW57" i="7"/>
  <c r="W56" i="3" s="1"/>
  <c r="AY60" i="7" l="1"/>
  <c r="Y59" i="3" s="1"/>
  <c r="AI56" i="7"/>
  <c r="BJ55" i="7"/>
  <c r="AJ54" i="3" s="1"/>
  <c r="AV55" i="7"/>
  <c r="V54" i="3" s="1"/>
  <c r="AT55" i="7"/>
  <c r="T54" i="3" s="1"/>
  <c r="AJ56" i="7"/>
  <c r="J55" i="3" s="1"/>
  <c r="AV58" i="7"/>
  <c r="V57" i="3" s="1"/>
  <c r="AR61" i="7"/>
  <c r="R60" i="3" s="1"/>
  <c r="AR57" i="7"/>
  <c r="R56" i="3" s="1"/>
  <c r="AI57" i="7"/>
  <c r="BH55" i="7"/>
  <c r="AH54" i="3" s="1"/>
  <c r="AZ56" i="7"/>
  <c r="Z55" i="3" s="1"/>
  <c r="AJ55" i="7"/>
  <c r="J54" i="3" s="1"/>
  <c r="AR59" i="7"/>
  <c r="R58" i="3" s="1"/>
  <c r="AX58" i="7"/>
  <c r="X57" i="3" s="1"/>
  <c r="AO59" i="7"/>
  <c r="O58" i="3" s="1"/>
  <c r="BH57" i="7"/>
  <c r="AH56" i="3" s="1"/>
  <c r="AV57" i="7"/>
  <c r="V56" i="3" s="1"/>
  <c r="AY58" i="7"/>
  <c r="Y57" i="3" s="1"/>
  <c r="AW61" i="7"/>
  <c r="W60" i="3" s="1"/>
  <c r="AM58" i="7"/>
  <c r="M57" i="3" s="1"/>
  <c r="BB59" i="7"/>
  <c r="AB58" i="3" s="1"/>
  <c r="AS56" i="7"/>
  <c r="S55" i="3" s="1"/>
  <c r="AY57" i="7"/>
  <c r="Y56" i="3" s="1"/>
  <c r="AZ55" i="7"/>
  <c r="Z54" i="3" s="1"/>
  <c r="BE56" i="7"/>
  <c r="AE55" i="3" s="1"/>
  <c r="AX61" i="7"/>
  <c r="X60" i="3" s="1"/>
  <c r="BI61" i="7"/>
  <c r="AI60" i="3" s="1"/>
  <c r="BG55" i="7"/>
  <c r="AG54" i="3" s="1"/>
  <c r="AP55" i="7"/>
  <c r="P54" i="3" s="1"/>
  <c r="AX55" i="7"/>
  <c r="X54" i="3" s="1"/>
  <c r="BH58" i="7"/>
  <c r="AH57" i="3" s="1"/>
  <c r="AO56" i="7"/>
  <c r="O55" i="3" s="1"/>
  <c r="BE58" i="7"/>
  <c r="AE57" i="3" s="1"/>
  <c r="BB57" i="7"/>
  <c r="AB56" i="3" s="1"/>
  <c r="AW56" i="7"/>
  <c r="W55" i="3" s="1"/>
  <c r="AS60" i="7"/>
  <c r="S59" i="3" s="1"/>
  <c r="AZ58" i="7"/>
  <c r="Z57" i="3" s="1"/>
  <c r="BH61" i="7"/>
  <c r="AH60" i="3" s="1"/>
  <c r="AP60" i="7"/>
  <c r="P59" i="3" s="1"/>
  <c r="BI57" i="7"/>
  <c r="AI56" i="3" s="1"/>
  <c r="AT59" i="7"/>
  <c r="T58" i="3" s="1"/>
  <c r="AQ61" i="7"/>
  <c r="Q60" i="3" s="1"/>
  <c r="AS55" i="7"/>
  <c r="S54" i="3" s="1"/>
  <c r="BE55" i="7"/>
  <c r="AE54" i="3" s="1"/>
  <c r="BF55" i="7"/>
  <c r="AF54" i="3" s="1"/>
  <c r="AW60" i="7"/>
  <c r="W59" i="3" s="1"/>
  <c r="AK58" i="7"/>
  <c r="K57" i="3" s="1"/>
  <c r="BH60" i="7"/>
  <c r="AH59" i="3" s="1"/>
  <c r="BG58" i="7"/>
  <c r="AG57" i="3" s="1"/>
  <c r="AL57" i="7"/>
  <c r="L56" i="3" s="1"/>
  <c r="AT58" i="7"/>
  <c r="T57" i="3" s="1"/>
  <c r="AI58" i="7"/>
  <c r="BD57" i="7"/>
  <c r="AD56" i="3" s="1"/>
  <c r="AI61" i="7"/>
  <c r="AR55" i="7"/>
  <c r="R54" i="3" s="1"/>
  <c r="BA57" i="7"/>
  <c r="AA56" i="3" s="1"/>
  <c r="BF60" i="7"/>
  <c r="AF59" i="3" s="1"/>
  <c r="AO57" i="7"/>
  <c r="O56" i="3" s="1"/>
  <c r="AX60" i="7"/>
  <c r="X59" i="3" s="1"/>
  <c r="BD58" i="7"/>
  <c r="AD57" i="3" s="1"/>
  <c r="AP58" i="7"/>
  <c r="P57" i="3" s="1"/>
  <c r="AM56" i="7"/>
  <c r="M55" i="3" s="1"/>
  <c r="AS59" i="7"/>
  <c r="S58" i="3" s="1"/>
  <c r="AR60" i="7"/>
  <c r="R59" i="3" s="1"/>
  <c r="AS58" i="7"/>
  <c r="S57" i="3" s="1"/>
  <c r="BE59" i="7"/>
  <c r="AE58" i="3" s="1"/>
  <c r="BJ60" i="7"/>
  <c r="AJ59" i="3" s="1"/>
  <c r="AY59" i="7"/>
  <c r="Y58" i="3" s="1"/>
  <c r="AK59" i="7"/>
  <c r="K58" i="3" s="1"/>
  <c r="AT60" i="7"/>
  <c r="T59" i="3" s="1"/>
  <c r="BE57" i="7"/>
  <c r="AE56" i="3" s="1"/>
  <c r="AZ57" i="7"/>
  <c r="Z56" i="3" s="1"/>
  <c r="AP61" i="7"/>
  <c r="P60" i="3" s="1"/>
  <c r="BJ61" i="7"/>
  <c r="AJ60" i="3" s="1"/>
  <c r="AK57" i="7"/>
  <c r="K56" i="3" s="1"/>
  <c r="AU56" i="7"/>
  <c r="U55" i="3" s="1"/>
  <c r="AZ59" i="7"/>
  <c r="Z58" i="3" s="1"/>
  <c r="AL59" i="7"/>
  <c r="L58" i="3" s="1"/>
  <c r="AT57" i="7"/>
  <c r="T56" i="3" s="1"/>
  <c r="AU58" i="7"/>
  <c r="U57" i="3" s="1"/>
  <c r="AQ57" i="7"/>
  <c r="Q56" i="3" s="1"/>
  <c r="BC60" i="7"/>
  <c r="AC59" i="3" s="1"/>
  <c r="AU57" i="7"/>
  <c r="U56" i="3" s="1"/>
  <c r="BH56" i="7"/>
  <c r="AH55" i="3" s="1"/>
  <c r="AK55" i="7"/>
  <c r="K54" i="3" s="1"/>
  <c r="AQ60" i="7"/>
  <c r="Q59" i="3" s="1"/>
  <c r="AJ58" i="7"/>
  <c r="J57" i="3" s="1"/>
  <c r="BI56" i="7"/>
  <c r="AI55" i="3" s="1"/>
  <c r="AV59" i="7"/>
  <c r="V58" i="3" s="1"/>
  <c r="BI58" i="7"/>
  <c r="AI57" i="3" s="1"/>
  <c r="AP59" i="7"/>
  <c r="P58" i="3" s="1"/>
  <c r="BD60" i="7"/>
  <c r="AD59" i="3" s="1"/>
  <c r="BF57" i="7"/>
  <c r="AF56" i="3" s="1"/>
  <c r="BF58" i="7"/>
  <c r="AF57" i="3" s="1"/>
  <c r="BI55" i="7"/>
  <c r="AI54" i="3" s="1"/>
  <c r="BC61" i="7"/>
  <c r="AC60" i="3" s="1"/>
  <c r="AY56" i="7"/>
  <c r="Y55" i="3" s="1"/>
  <c r="AL58" i="7"/>
  <c r="L57" i="3" s="1"/>
  <c r="BA58" i="7"/>
  <c r="AA57" i="3" s="1"/>
  <c r="AU61" i="7"/>
  <c r="U60" i="3" s="1"/>
  <c r="AZ60" i="7"/>
  <c r="Z59" i="3" s="1"/>
  <c r="BC55" i="7"/>
  <c r="AC54" i="3" s="1"/>
  <c r="BB58" i="7"/>
  <c r="AB57" i="3" s="1"/>
  <c r="AM55" i="7"/>
  <c r="M54" i="3" s="1"/>
  <c r="AW55" i="7"/>
  <c r="W54" i="3" s="1"/>
  <c r="AM61" i="7"/>
  <c r="M60" i="3" s="1"/>
  <c r="AJ60" i="7"/>
  <c r="J59" i="3" s="1"/>
  <c r="AW58" i="7"/>
  <c r="W57" i="3" s="1"/>
  <c r="AW59" i="7"/>
  <c r="W58" i="3" s="1"/>
  <c r="BC59" i="7"/>
  <c r="AC58" i="3" s="1"/>
  <c r="AJ57" i="7"/>
  <c r="J56" i="3" s="1"/>
  <c r="AU59" i="7"/>
  <c r="U58" i="3" s="1"/>
  <c r="AY61" i="7"/>
  <c r="Y60" i="3" s="1"/>
  <c r="BJ64" i="7"/>
  <c r="AJ63" i="3" s="1"/>
  <c r="BA55" i="7"/>
  <c r="AA54" i="3" s="1"/>
  <c r="BH59" i="7"/>
  <c r="AH58" i="3" s="1"/>
  <c r="AP57" i="7"/>
  <c r="P56" i="3" s="1"/>
  <c r="AS57" i="7"/>
  <c r="S56" i="3" s="1"/>
  <c r="BG59" i="7"/>
  <c r="AG58" i="3" s="1"/>
  <c r="AZ61" i="7"/>
  <c r="Z60" i="3" s="1"/>
  <c r="BG66" i="7"/>
  <c r="AG65" i="3" s="1"/>
  <c r="AR58" i="7"/>
  <c r="R57" i="3" s="1"/>
  <c r="AN61" i="7"/>
  <c r="N60" i="3" s="1"/>
  <c r="BA56" i="7"/>
  <c r="AA55" i="3" s="1"/>
  <c r="BB64" i="7"/>
  <c r="AB63" i="3" s="1"/>
  <c r="AS61" i="7"/>
  <c r="S60" i="3" s="1"/>
  <c r="AI63" i="7"/>
  <c r="BC56" i="7"/>
  <c r="AC55" i="3" s="1"/>
  <c r="AK61" i="7"/>
  <c r="K60" i="3" s="1"/>
  <c r="AV63" i="7"/>
  <c r="V62" i="3" s="1"/>
  <c r="BC63" i="7"/>
  <c r="AC62" i="3" s="1"/>
  <c r="BG56" i="7"/>
  <c r="AG55" i="3" s="1"/>
  <c r="AN60" i="7"/>
  <c r="N59" i="3" s="1"/>
  <c r="AU55" i="7"/>
  <c r="U54" i="3" s="1"/>
  <c r="AT61" i="7"/>
  <c r="T60" i="3" s="1"/>
  <c r="BA59" i="7"/>
  <c r="AA58" i="3" s="1"/>
  <c r="BI59" i="7"/>
  <c r="AI58" i="3" s="1"/>
  <c r="AN59" i="7"/>
  <c r="N58" i="3" s="1"/>
  <c r="AL61" i="7"/>
  <c r="L60" i="3" s="1"/>
  <c r="AO61" i="7"/>
  <c r="O60" i="3" s="1"/>
  <c r="AV60" i="7"/>
  <c r="V59" i="3" s="1"/>
  <c r="BF67" i="7"/>
  <c r="AF66" i="3" s="1"/>
  <c r="AW68" i="7"/>
  <c r="W67" i="3" s="1"/>
  <c r="AU66" i="7"/>
  <c r="U65" i="3" s="1"/>
  <c r="AQ62" i="7"/>
  <c r="Q61" i="3" s="1"/>
  <c r="BF66" i="7"/>
  <c r="AF65" i="3" s="1"/>
  <c r="BE66" i="7"/>
  <c r="AE65" i="3" s="1"/>
  <c r="AW63" i="7"/>
  <c r="W62" i="3" s="1"/>
  <c r="AU68" i="7"/>
  <c r="U67" i="3" s="1"/>
  <c r="AZ64" i="7"/>
  <c r="Z63" i="3" s="1"/>
  <c r="AM66" i="7"/>
  <c r="M65" i="3" s="1"/>
  <c r="AM68" i="7"/>
  <c r="M67" i="3" s="1"/>
  <c r="AY67" i="7"/>
  <c r="Y66" i="3" s="1"/>
  <c r="BH64" i="7"/>
  <c r="AH63" i="3" s="1"/>
  <c r="BJ66" i="7"/>
  <c r="AJ65" i="3" s="1"/>
  <c r="BF68" i="7"/>
  <c r="AF67" i="3" s="1"/>
  <c r="AO68" i="7"/>
  <c r="O67" i="3" s="1"/>
  <c r="AZ67" i="7"/>
  <c r="Z66" i="3" s="1"/>
  <c r="BI65" i="7"/>
  <c r="AI64" i="3" s="1"/>
  <c r="AL63" i="7"/>
  <c r="L62" i="3" s="1"/>
  <c r="AP62" i="7"/>
  <c r="P61" i="3" s="1"/>
  <c r="AR66" i="7"/>
  <c r="R65" i="3" s="1"/>
  <c r="AS65" i="7"/>
  <c r="S64" i="3" s="1"/>
  <c r="BI63" i="7"/>
  <c r="AI62" i="3" s="1"/>
  <c r="AQ65" i="7"/>
  <c r="Q64" i="3" s="1"/>
  <c r="AJ68" i="7"/>
  <c r="J67" i="3" s="1"/>
  <c r="BJ62" i="7"/>
  <c r="AJ61" i="3" s="1"/>
  <c r="AY64" i="7"/>
  <c r="Y63" i="3" s="1"/>
  <c r="AR63" i="7"/>
  <c r="R62" i="3" s="1"/>
  <c r="AS67" i="7"/>
  <c r="S66" i="3" s="1"/>
  <c r="AV67" i="7"/>
  <c r="V66" i="3" s="1"/>
  <c r="AY63" i="7"/>
  <c r="Y62" i="3" s="1"/>
  <c r="AP64" i="7"/>
  <c r="P63" i="3" s="1"/>
  <c r="BD66" i="7"/>
  <c r="AD65" i="3" s="1"/>
  <c r="AY68" i="7"/>
  <c r="Y67" i="3" s="1"/>
  <c r="BE62" i="7"/>
  <c r="AE61" i="3" s="1"/>
  <c r="BG68" i="7"/>
  <c r="AG67" i="3" s="1"/>
  <c r="AR67" i="7"/>
  <c r="R66" i="3" s="1"/>
  <c r="AJ63" i="7"/>
  <c r="J62" i="3" s="1"/>
  <c r="AP68" i="7"/>
  <c r="P67" i="3" s="1"/>
  <c r="BE68" i="7"/>
  <c r="AE67" i="3" s="1"/>
  <c r="BH62" i="7"/>
  <c r="AH61" i="3" s="1"/>
  <c r="AQ66" i="7"/>
  <c r="Q65" i="3" s="1"/>
  <c r="AM63" i="7"/>
  <c r="M62" i="3" s="1"/>
  <c r="BJ65" i="7"/>
  <c r="AJ64" i="3" s="1"/>
  <c r="AP67" i="7"/>
  <c r="P66" i="3" s="1"/>
  <c r="BE63" i="7"/>
  <c r="AE62" i="3" s="1"/>
  <c r="AY66" i="7"/>
  <c r="Y65" i="3" s="1"/>
  <c r="AL66" i="7"/>
  <c r="L65" i="3" s="1"/>
  <c r="BG63" i="7"/>
  <c r="AG62" i="3" s="1"/>
  <c r="BD68" i="7"/>
  <c r="AD67" i="3" s="1"/>
  <c r="BI67" i="7"/>
  <c r="AI66" i="3" s="1"/>
  <c r="BC62" i="7"/>
  <c r="AC61" i="3" s="1"/>
  <c r="AO63" i="7"/>
  <c r="O62" i="3" s="1"/>
  <c r="AI66" i="7"/>
  <c r="AS68" i="7"/>
  <c r="S67" i="3" s="1"/>
  <c r="BC67" i="7"/>
  <c r="AC66" i="3" s="1"/>
  <c r="AZ63" i="7"/>
  <c r="Z62" i="3" s="1"/>
  <c r="BH68" i="7"/>
  <c r="AH67" i="3" s="1"/>
  <c r="BG64" i="7"/>
  <c r="AG63" i="3" s="1"/>
  <c r="BC66" i="7"/>
  <c r="AC65" i="3" s="1"/>
  <c r="AI67" i="7"/>
  <c r="AZ68" i="7"/>
  <c r="Z67" i="3" s="1"/>
  <c r="AI64" i="7"/>
  <c r="BA67" i="7"/>
  <c r="AA66" i="3" s="1"/>
  <c r="AT62" i="7"/>
  <c r="T61" i="3" s="1"/>
  <c r="AX66" i="7"/>
  <c r="X65" i="3" s="1"/>
  <c r="AU67" i="7"/>
  <c r="U66" i="3" s="1"/>
  <c r="AX63" i="7"/>
  <c r="X62" i="3" s="1"/>
  <c r="BD63" i="7"/>
  <c r="AD62" i="3" s="1"/>
  <c r="AQ68" i="7"/>
  <c r="Q67" i="3" s="1"/>
  <c r="BA68" i="7"/>
  <c r="AA67" i="3" s="1"/>
  <c r="BC65" i="7"/>
  <c r="AC64" i="3" s="1"/>
  <c r="AM67" i="7"/>
  <c r="M66" i="3" s="1"/>
  <c r="AR65" i="7"/>
  <c r="R64" i="3" s="1"/>
  <c r="BJ67" i="7"/>
  <c r="AJ66" i="3" s="1"/>
  <c r="AK66" i="7"/>
  <c r="K65" i="3" s="1"/>
  <c r="AP66" i="7"/>
  <c r="P65" i="3" s="1"/>
  <c r="BJ63" i="7"/>
  <c r="AJ62" i="3" s="1"/>
  <c r="BB63" i="7"/>
  <c r="AB62" i="3" s="1"/>
  <c r="AQ67" i="7"/>
  <c r="Q66" i="3" s="1"/>
  <c r="AW67" i="7"/>
  <c r="W66" i="3" s="1"/>
  <c r="BA66" i="7"/>
  <c r="AA65" i="3" s="1"/>
  <c r="AU63" i="7"/>
  <c r="U62" i="3" s="1"/>
  <c r="AK67" i="7"/>
  <c r="K66" i="3" s="1"/>
  <c r="AN68" i="7"/>
  <c r="N67" i="3" s="1"/>
  <c r="AS62" i="7"/>
  <c r="S61" i="3" s="1"/>
  <c r="AR62" i="7"/>
  <c r="R61" i="3" s="1"/>
  <c r="AQ63" i="7"/>
  <c r="Q62" i="3" s="1"/>
  <c r="AL67" i="7"/>
  <c r="L66" i="3" s="1"/>
  <c r="AK68" i="7"/>
  <c r="K67" i="3" s="1"/>
  <c r="AN57" i="7"/>
  <c r="N56" i="3" s="1"/>
  <c r="AY55" i="7"/>
  <c r="Y54" i="3" s="1"/>
  <c r="AO58" i="7"/>
  <c r="O57" i="3" s="1"/>
  <c r="BF59" i="7"/>
  <c r="AF58" i="3" s="1"/>
  <c r="BD61" i="7"/>
  <c r="AD60" i="3" s="1"/>
  <c r="BF61" i="7"/>
  <c r="AF60" i="3" s="1"/>
  <c r="AK56" i="7"/>
  <c r="K55" i="3" s="1"/>
  <c r="AJ65" i="7"/>
  <c r="J64" i="3" s="1"/>
  <c r="BI66" i="7"/>
  <c r="AI65" i="3" s="1"/>
  <c r="BJ68" i="7"/>
  <c r="AJ67" i="3" s="1"/>
  <c r="AS63" i="7"/>
  <c r="S62" i="3" s="1"/>
  <c r="BB68" i="7"/>
  <c r="AB67" i="3" s="1"/>
  <c r="BB66" i="7"/>
  <c r="AB65" i="3" s="1"/>
  <c r="AO67" i="7"/>
  <c r="O66" i="3" s="1"/>
  <c r="AS64" i="7"/>
  <c r="S63" i="3" s="1"/>
  <c r="AN63" i="7"/>
  <c r="N62" i="3" s="1"/>
  <c r="AJ66" i="7"/>
  <c r="J65" i="3" s="1"/>
  <c r="AQ64" i="7"/>
  <c r="Q63" i="3" s="1"/>
  <c r="AK63" i="7"/>
  <c r="K62" i="3" s="1"/>
  <c r="AT68" i="7"/>
  <c r="T67" i="3" s="1"/>
  <c r="AT67" i="7"/>
  <c r="T66" i="3" s="1"/>
  <c r="BC58" i="7"/>
  <c r="AC57" i="3" s="1"/>
  <c r="AJ59" i="7"/>
  <c r="J58" i="3" s="1"/>
  <c r="AO55" i="7"/>
  <c r="O54" i="3" s="1"/>
  <c r="BJ57" i="7"/>
  <c r="AJ56" i="3" s="1"/>
  <c r="AQ55" i="7"/>
  <c r="Q54" i="3" s="1"/>
  <c r="AV61" i="7"/>
  <c r="V60" i="3" s="1"/>
  <c r="AV56" i="7"/>
  <c r="V55" i="3" s="1"/>
  <c r="AM60" i="7"/>
  <c r="M59" i="3" s="1"/>
  <c r="BB61" i="7"/>
  <c r="AB60" i="3" s="1"/>
  <c r="AW66" i="7"/>
  <c r="W65" i="3" s="1"/>
  <c r="AN67" i="7"/>
  <c r="N66" i="3" s="1"/>
  <c r="AM62" i="7"/>
  <c r="M61" i="3" s="1"/>
  <c r="BB67" i="7"/>
  <c r="AB66" i="3" s="1"/>
  <c r="AV68" i="7"/>
  <c r="V67" i="3" s="1"/>
  <c r="AK62" i="7"/>
  <c r="K61" i="3" s="1"/>
  <c r="BH67" i="7"/>
  <c r="AH66" i="3" s="1"/>
  <c r="AJ67" i="7"/>
  <c r="J66" i="3" s="1"/>
  <c r="BE67" i="7"/>
  <c r="AE66" i="3" s="1"/>
  <c r="AP63" i="7"/>
  <c r="P62" i="3" s="1"/>
  <c r="BH66" i="7"/>
  <c r="AH65" i="3" s="1"/>
  <c r="BA64" i="7"/>
  <c r="AA63" i="3" s="1"/>
  <c r="BA63" i="7"/>
  <c r="AA62" i="3" s="1"/>
  <c r="AI68" i="7"/>
  <c r="AX67" i="7"/>
  <c r="X66" i="3" s="1"/>
  <c r="AX57" i="7"/>
  <c r="X56" i="3" s="1"/>
  <c r="BD55" i="7"/>
  <c r="AD54" i="3" s="1"/>
  <c r="BJ56" i="7"/>
  <c r="AJ55" i="3" s="1"/>
  <c r="AP56" i="7"/>
  <c r="P55" i="3" s="1"/>
  <c r="AQ56" i="7"/>
  <c r="Q55" i="3" s="1"/>
  <c r="AR68" i="7"/>
  <c r="R67" i="3" s="1"/>
  <c r="BG67" i="7"/>
  <c r="AG66" i="3" s="1"/>
  <c r="AJ62" i="7"/>
  <c r="J61" i="3" s="1"/>
  <c r="AJ64" i="7"/>
  <c r="J63" i="3" s="1"/>
  <c r="AX68" i="7"/>
  <c r="X67" i="3" s="1"/>
  <c r="AL62" i="7"/>
  <c r="L61" i="3" s="1"/>
  <c r="AK65" i="7"/>
  <c r="K64" i="3" s="1"/>
  <c r="BI68" i="7"/>
  <c r="AI67" i="3" s="1"/>
  <c r="AT63" i="7"/>
  <c r="T62" i="3" s="1"/>
  <c r="BI62" i="7"/>
  <c r="AI61" i="3" s="1"/>
  <c r="AV66" i="7"/>
  <c r="V65" i="3" s="1"/>
  <c r="BH63" i="7"/>
  <c r="AH62" i="3" s="1"/>
  <c r="AL68" i="7"/>
  <c r="L67" i="3" s="1"/>
  <c r="AO64" i="7"/>
  <c r="O63" i="3" s="1"/>
  <c r="BD67" i="7"/>
  <c r="AD66" i="3" s="1"/>
  <c r="BC68" i="7"/>
  <c r="AC67" i="3" s="1"/>
  <c r="BF63" i="7"/>
  <c r="AF62" i="3" s="1"/>
  <c r="BH65" i="7"/>
  <c r="AH64" i="3" s="1"/>
  <c r="BB62" i="7"/>
  <c r="AB61" i="3" s="1"/>
  <c r="AU65" i="7"/>
  <c r="U64" i="3" s="1"/>
  <c r="AU62" i="7"/>
  <c r="U61" i="3" s="1"/>
  <c r="AV65" i="7"/>
  <c r="V64" i="3" s="1"/>
  <c r="BA65" i="7"/>
  <c r="AA64" i="3" s="1"/>
  <c r="AV62" i="7"/>
  <c r="V61" i="3" s="1"/>
  <c r="AK64" i="7"/>
  <c r="K63" i="3" s="1"/>
  <c r="AW65" i="7"/>
  <c r="W64" i="3" s="1"/>
  <c r="AW62" i="7"/>
  <c r="W61" i="3" s="1"/>
  <c r="BC64" i="7"/>
  <c r="AC63" i="3" s="1"/>
  <c r="AX65" i="7"/>
  <c r="X64" i="3" s="1"/>
  <c r="BG62" i="7"/>
  <c r="AG61" i="3" s="1"/>
  <c r="AX62" i="7"/>
  <c r="X61" i="3" s="1"/>
  <c r="AL64" i="7"/>
  <c r="L63" i="3" s="1"/>
  <c r="BF62" i="7"/>
  <c r="AF61" i="3" s="1"/>
  <c r="AL55" i="7"/>
  <c r="L54" i="3" s="1"/>
  <c r="AL56" i="7"/>
  <c r="L55" i="3" s="1"/>
  <c r="AN56" i="7"/>
  <c r="N55" i="3" s="1"/>
  <c r="BG61" i="7"/>
  <c r="AG60" i="3" s="1"/>
  <c r="AO60" i="7"/>
  <c r="O59" i="3" s="1"/>
  <c r="BB65" i="7"/>
  <c r="AB64" i="3" s="1"/>
  <c r="AO66" i="7"/>
  <c r="O65" i="3" s="1"/>
  <c r="AT65" i="7"/>
  <c r="T64" i="3" s="1"/>
  <c r="AP65" i="7"/>
  <c r="P64" i="3" s="1"/>
  <c r="AO62" i="7"/>
  <c r="O61" i="3" s="1"/>
  <c r="AX59" i="7"/>
  <c r="X58" i="3" s="1"/>
  <c r="AI59" i="7"/>
  <c r="AN58" i="7"/>
  <c r="N57" i="3" s="1"/>
  <c r="AI55" i="7"/>
  <c r="BB55" i="7"/>
  <c r="AB54" i="3" s="1"/>
  <c r="BC57" i="7"/>
  <c r="AC56" i="3" s="1"/>
  <c r="BD56" i="7"/>
  <c r="AD55" i="3" s="1"/>
  <c r="AT56" i="7"/>
  <c r="T55" i="3" s="1"/>
  <c r="BE60" i="7"/>
  <c r="AE59" i="3" s="1"/>
  <c r="BI60" i="7"/>
  <c r="AI59" i="3" s="1"/>
  <c r="BD62" i="7"/>
  <c r="AD61" i="3" s="1"/>
  <c r="AT66" i="7"/>
  <c r="T65" i="3" s="1"/>
  <c r="AZ65" i="7"/>
  <c r="Z64" i="3" s="1"/>
  <c r="BG65" i="7"/>
  <c r="AG64" i="3" s="1"/>
  <c r="AM57" i="7"/>
  <c r="M56" i="3" s="1"/>
  <c r="BG57" i="7"/>
  <c r="AG56" i="3" s="1"/>
  <c r="AQ59" i="7"/>
  <c r="Q58" i="3" s="1"/>
  <c r="BJ59" i="7"/>
  <c r="AJ58" i="3" s="1"/>
  <c r="BF56" i="7"/>
  <c r="AF55" i="3" s="1"/>
  <c r="AX56" i="7"/>
  <c r="X55" i="3" s="1"/>
  <c r="AU60" i="7"/>
  <c r="U59" i="3" s="1"/>
  <c r="BB56" i="7"/>
  <c r="AB55" i="3" s="1"/>
  <c r="AN66" i="7"/>
  <c r="N65" i="3" s="1"/>
  <c r="AZ62" i="7"/>
  <c r="Z61" i="3" s="1"/>
  <c r="AN55" i="7"/>
  <c r="N54" i="3" s="1"/>
  <c r="BD59" i="7"/>
  <c r="AD58" i="3" s="1"/>
  <c r="AM59" i="7"/>
  <c r="M58" i="3" s="1"/>
  <c r="AQ58" i="7"/>
  <c r="Q57" i="3" s="1"/>
  <c r="BE61" i="7"/>
  <c r="AE60" i="3" s="1"/>
  <c r="BG60" i="7"/>
  <c r="AG59" i="3" s="1"/>
  <c r="AJ61" i="7"/>
  <c r="J60" i="3" s="1"/>
  <c r="BI64" i="7"/>
  <c r="AI63" i="3" s="1"/>
  <c r="AY62" i="7"/>
  <c r="Y61" i="3" s="1"/>
  <c r="AX64" i="7"/>
  <c r="X63" i="3" s="1"/>
  <c r="AR64" i="7"/>
  <c r="R63" i="3" s="1"/>
  <c r="BF64" i="7"/>
  <c r="AF63" i="3" s="1"/>
  <c r="BD65" i="7"/>
  <c r="AD64" i="3" s="1"/>
  <c r="AY65" i="7"/>
  <c r="Y64" i="3" s="1"/>
  <c r="BD64" i="7"/>
  <c r="AD63" i="3" s="1"/>
  <c r="AO65" i="7"/>
  <c r="O64" i="3" s="1"/>
  <c r="AM65" i="7"/>
  <c r="M64" i="3" s="1"/>
  <c r="AI62" i="7"/>
  <c r="AN62" i="7"/>
  <c r="N61" i="3" s="1"/>
  <c r="AN65" i="7"/>
  <c r="N64" i="3" s="1"/>
  <c r="BF65" i="7"/>
  <c r="AF64" i="3" s="1"/>
  <c r="AV64" i="7"/>
  <c r="V63" i="3" s="1"/>
  <c r="AT64" i="7"/>
  <c r="T63" i="3" s="1"/>
  <c r="AW64" i="7"/>
  <c r="W63" i="3" s="1"/>
  <c r="AU64" i="7"/>
  <c r="U63" i="3" s="1"/>
  <c r="BE65" i="7"/>
  <c r="AE64" i="3" s="1"/>
  <c r="AL65" i="7"/>
  <c r="L64" i="3" s="1"/>
  <c r="AI65" i="7"/>
  <c r="BA62" i="7"/>
  <c r="AA61" i="3" s="1"/>
  <c r="AM64" i="7"/>
  <c r="M63" i="3" s="1"/>
  <c r="AN64" i="7"/>
  <c r="N63" i="3" s="1"/>
  <c r="BE64" i="7"/>
  <c r="AE63" i="3" s="1"/>
  <c r="AI60" i="7"/>
  <c r="BA60" i="7"/>
  <c r="AA59" i="3" s="1"/>
  <c r="AL60" i="7"/>
  <c r="L59" i="3" s="1"/>
  <c r="AS66" i="7"/>
  <c r="S65" i="3" s="1"/>
  <c r="AR56" i="7"/>
  <c r="R55" i="3" s="1"/>
  <c r="BB60" i="7"/>
  <c r="AB59" i="3" s="1"/>
  <c r="AK60" i="7"/>
  <c r="K59" i="3" s="1"/>
  <c r="AZ66" i="7"/>
  <c r="Z65" i="3" s="1"/>
  <c r="Q26" i="4" l="1"/>
  <c r="Q25" i="4"/>
  <c r="AJ29" i="3" l="1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B18" i="3"/>
  <c r="AJ21" i="3"/>
  <c r="AI21" i="3"/>
  <c r="AH21" i="3"/>
  <c r="AG21" i="3"/>
  <c r="AF21" i="3"/>
  <c r="AE21" i="3"/>
  <c r="AD21" i="3"/>
  <c r="AC21" i="3"/>
  <c r="AB21" i="3"/>
  <c r="AA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C18" i="6" l="1"/>
  <c r="J17" i="6" s="1"/>
  <c r="C17" i="6"/>
  <c r="J16" i="6" s="1"/>
  <c r="Q36" i="4" l="1"/>
  <c r="B36" i="4"/>
  <c r="C16" i="6" l="1"/>
  <c r="J15" i="6" s="1"/>
  <c r="C21" i="6"/>
  <c r="C20" i="6"/>
  <c r="C19" i="6"/>
  <c r="I5" i="4"/>
  <c r="I6" i="4"/>
  <c r="I7" i="4"/>
  <c r="I8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3" i="4"/>
  <c r="C15" i="6"/>
  <c r="J14" i="6"/>
  <c r="C14" i="6"/>
  <c r="J13" i="6" s="1"/>
  <c r="C13" i="6"/>
  <c r="J12" i="6"/>
  <c r="C12" i="6"/>
  <c r="J11" i="6" s="1"/>
  <c r="C11" i="6"/>
  <c r="J10" i="6" s="1"/>
  <c r="C10" i="6"/>
  <c r="J9" i="6" s="1"/>
  <c r="C8" i="6"/>
  <c r="J8" i="6" s="1"/>
  <c r="C7" i="6"/>
  <c r="J7" i="6"/>
  <c r="C6" i="6"/>
  <c r="J6" i="6"/>
  <c r="C5" i="6"/>
  <c r="J5" i="6"/>
  <c r="Y9" i="4"/>
  <c r="B29" i="4"/>
  <c r="B28" i="4"/>
  <c r="Y4" i="4"/>
  <c r="Y5" i="4"/>
  <c r="Y6" i="4"/>
  <c r="Y8" i="4"/>
  <c r="Y3" i="4"/>
  <c r="B26" i="4"/>
  <c r="B24" i="4"/>
  <c r="Q24" i="4"/>
  <c r="B25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9" i="4"/>
  <c r="B9" i="4"/>
  <c r="Q8" i="4"/>
  <c r="B8" i="4"/>
  <c r="Q7" i="4"/>
  <c r="B7" i="4"/>
  <c r="Q6" i="4"/>
  <c r="B6" i="4"/>
  <c r="Q5" i="4"/>
  <c r="B5" i="4"/>
  <c r="Q4" i="4"/>
  <c r="B4" i="4"/>
  <c r="Q3" i="4"/>
  <c r="B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ese-veda01</author>
  </authors>
  <commentList>
    <comment ref="H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ese-veda01:</t>
        </r>
        <r>
          <rPr>
            <sz val="9"/>
            <color indexed="81"/>
            <rFont val="Tahoma"/>
            <family val="2"/>
          </rPr>
          <t xml:space="preserve">
To prohibit investment in existing stock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I22" authorId="0" shapeId="0" xr:uid="{5A7B1BBB-8C9C-4C19-A91E-2F5F00C1374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4/23/2020
default value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Sofia Simoes</author>
  </authors>
  <commentList>
    <comment ref="AG1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10/8/2016
Max EFF if absurd
</t>
        </r>
      </text>
    </comment>
    <comment ref="AU36" authorId="1" shapeId="0" xr:uid="{852CB43C-0192-48A2-A57A-6D8AEEE9784F}">
      <text>
        <r>
          <rPr>
            <b/>
            <sz val="9"/>
            <color indexed="81"/>
            <rFont val="Tahoma"/>
            <family val="2"/>
          </rPr>
          <t>Sofia Simoes:</t>
        </r>
        <r>
          <rPr>
            <sz val="9"/>
            <color indexed="81"/>
            <rFont val="Tahoma"/>
            <family val="2"/>
          </rPr>
          <t xml:space="preserve">
97</t>
        </r>
      </text>
    </comment>
  </commentList>
</comments>
</file>

<file path=xl/sharedStrings.xml><?xml version="1.0" encoding="utf-8"?>
<sst xmlns="http://schemas.openxmlformats.org/spreadsheetml/2006/main" count="16688" uniqueCount="241">
  <si>
    <t>~FI_T</t>
  </si>
  <si>
    <t>~FI_Process</t>
  </si>
  <si>
    <t>TechName</t>
  </si>
  <si>
    <t>Comm-IN</t>
  </si>
  <si>
    <t>Comm-OUT</t>
  </si>
  <si>
    <t>ELIFE</t>
  </si>
  <si>
    <t>EFF</t>
  </si>
  <si>
    <t>CHPR~FX</t>
  </si>
  <si>
    <t>Sets</t>
  </si>
  <si>
    <t>TechDesc</t>
  </si>
  <si>
    <t>Tact</t>
  </si>
  <si>
    <t>Tcap</t>
  </si>
  <si>
    <t>Tslvl</t>
  </si>
  <si>
    <t>Vintage</t>
  </si>
  <si>
    <t>ELCHIG,HETHTH</t>
  </si>
  <si>
    <t>CHP</t>
  </si>
  <si>
    <t>ECHP_biomass_thermal</t>
  </si>
  <si>
    <t>PJ</t>
  </si>
  <si>
    <t>GW</t>
  </si>
  <si>
    <t>DAYNITE</t>
  </si>
  <si>
    <t>YES</t>
  </si>
  <si>
    <t>ELCCOH</t>
  </si>
  <si>
    <t>SEASON</t>
  </si>
  <si>
    <t>ECHP_coal_thermal</t>
  </si>
  <si>
    <t>ELCHFO</t>
  </si>
  <si>
    <t>ECHP_HFO_thermal</t>
  </si>
  <si>
    <t>ELCDST</t>
  </si>
  <si>
    <t>ECHP_LFO_thermal</t>
  </si>
  <si>
    <t>ELCCOL</t>
  </si>
  <si>
    <t>ECHP_lignite_thermal</t>
  </si>
  <si>
    <t>ELCGAS</t>
  </si>
  <si>
    <t>ECHP_naturalgas_CCGT</t>
  </si>
  <si>
    <t>ECHP_naturalgas_OCGT</t>
  </si>
  <si>
    <t>ECHP_naturalgas_thermal</t>
  </si>
  <si>
    <t>ELCSOL</t>
  </si>
  <si>
    <t>ECHP_PV</t>
  </si>
  <si>
    <t>ELCHIG</t>
  </si>
  <si>
    <t>ELE</t>
  </si>
  <si>
    <t>EEPP_biomass_CCGT</t>
  </si>
  <si>
    <t>EEPP_biomass_thermal</t>
  </si>
  <si>
    <t>EEPP_coal_CCGT</t>
  </si>
  <si>
    <t>EEPP_coal_thermal</t>
  </si>
  <si>
    <t>ELCGEO</t>
  </si>
  <si>
    <t>EEPP_geothermal</t>
  </si>
  <si>
    <t>EEPP_HFO_thermal</t>
  </si>
  <si>
    <t>EEPP_LFO_thermal</t>
  </si>
  <si>
    <t>EEPP_lignite_thermal</t>
  </si>
  <si>
    <t>EEPP_naturalgas_CCGT</t>
  </si>
  <si>
    <t>EEPP_naturalgas_OCGT</t>
  </si>
  <si>
    <t>EEPP_naturalgas_thermal</t>
  </si>
  <si>
    <t>EEPP_PV</t>
  </si>
  <si>
    <t>ELCWIN</t>
  </si>
  <si>
    <t>ELCWOO</t>
  </si>
  <si>
    <t>FIXOM</t>
  </si>
  <si>
    <t>AFA</t>
  </si>
  <si>
    <t>LIFE</t>
  </si>
  <si>
    <t>Attribute</t>
  </si>
  <si>
    <t>FOMX</t>
  </si>
  <si>
    <t>EFFX</t>
  </si>
  <si>
    <t>EEPP_CSP</t>
  </si>
  <si>
    <t>EEPP_windOFF</t>
  </si>
  <si>
    <t>EEPP_windON</t>
  </si>
  <si>
    <t>HETHTH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</si>
  <si>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</si>
  <si>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</si>
  <si>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</si>
  <si>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</si>
  <si>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</si>
  <si>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</si>
  <si>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</si>
  <si>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</si>
  <si>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</si>
  <si>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ELC</t>
  </si>
  <si>
    <t>LTHEAT</t>
  </si>
  <si>
    <t>EUHYDDAM00</t>
  </si>
  <si>
    <t>EUHYDRUN00</t>
  </si>
  <si>
    <t>Existing Hydro Dams</t>
  </si>
  <si>
    <t>Existing Run-of-river hydro</t>
  </si>
  <si>
    <t>ELCHYD</t>
  </si>
  <si>
    <t>PrimaryCG</t>
  </si>
  <si>
    <t>PRE</t>
  </si>
  <si>
    <t>PJa</t>
  </si>
  <si>
    <t>COAHAR</t>
  </si>
  <si>
    <t>OILDST</t>
  </si>
  <si>
    <t>GASNAT</t>
  </si>
  <si>
    <t>RENGEO</t>
  </si>
  <si>
    <t>OILHFO</t>
  </si>
  <si>
    <t>RENSOL</t>
  </si>
  <si>
    <t>COALIG</t>
  </si>
  <si>
    <t>RENHYD</t>
  </si>
  <si>
    <t>RENWIN</t>
  </si>
  <si>
    <t>ANNUAL</t>
  </si>
  <si>
    <t>BIOWOO</t>
  </si>
  <si>
    <t>Electricity - High Voltage WITHOUT grid costs</t>
  </si>
  <si>
    <t>EVTRANS_H-H</t>
  </si>
  <si>
    <t>EVTRANS_H-M</t>
  </si>
  <si>
    <t>EVTRANS_M-L</t>
  </si>
  <si>
    <t>Grid High Voltage</t>
  </si>
  <si>
    <t>Grid medium Voltage and Voltage Transformer: High to Medium</t>
  </si>
  <si>
    <t>Grid low Voltage and Voltage Transformer: Medium to Low</t>
  </si>
  <si>
    <t>ELCHIGG</t>
  </si>
  <si>
    <t>ELCMED</t>
  </si>
  <si>
    <t>ELCLOW</t>
  </si>
  <si>
    <t>Cap2ACT</t>
  </si>
  <si>
    <t>~COMEMI</t>
  </si>
  <si>
    <t>ELCOIL</t>
  </si>
  <si>
    <t>ELCRFG</t>
  </si>
  <si>
    <t>ELCDGS</t>
  </si>
  <si>
    <t>ELCBGS</t>
  </si>
  <si>
    <t>ELCMUN</t>
  </si>
  <si>
    <t>ELCSLU</t>
  </si>
  <si>
    <t>ELCCO2N</t>
  </si>
  <si>
    <t>BIOGAS</t>
  </si>
  <si>
    <t>MovedToSysSettings</t>
  </si>
  <si>
    <t>ELE,STS</t>
  </si>
  <si>
    <t>EEPP_HYDPS</t>
  </si>
  <si>
    <t>BIOMUN</t>
  </si>
  <si>
    <t>BIOSLU</t>
  </si>
  <si>
    <t>Column Labels</t>
  </si>
  <si>
    <t>Sum of MaxShare</t>
  </si>
  <si>
    <t>Row Labels</t>
  </si>
  <si>
    <t>AL</t>
  </si>
  <si>
    <t>AT</t>
  </si>
  <si>
    <t>BE</t>
  </si>
  <si>
    <t>BG</t>
  </si>
  <si>
    <t>CZ</t>
  </si>
  <si>
    <t>DE</t>
  </si>
  <si>
    <t>DK</t>
  </si>
  <si>
    <t>EE</t>
  </si>
  <si>
    <t>FI</t>
  </si>
  <si>
    <t>FR</t>
  </si>
  <si>
    <t>HR</t>
  </si>
  <si>
    <t>HU</t>
  </si>
  <si>
    <t>IS</t>
  </si>
  <si>
    <t>IT</t>
  </si>
  <si>
    <t>LT</t>
  </si>
  <si>
    <t>LU</t>
  </si>
  <si>
    <t>LV</t>
  </si>
  <si>
    <t>MD</t>
  </si>
  <si>
    <t>MK</t>
  </si>
  <si>
    <t>NL</t>
  </si>
  <si>
    <t>NO</t>
  </si>
  <si>
    <t>PL</t>
  </si>
  <si>
    <t>RO</t>
  </si>
  <si>
    <t>RS</t>
  </si>
  <si>
    <t>SE</t>
  </si>
  <si>
    <t>SI</t>
  </si>
  <si>
    <t>SK</t>
  </si>
  <si>
    <t>UK</t>
  </si>
  <si>
    <t>XK</t>
  </si>
  <si>
    <t>EEHP_DistHeating</t>
  </si>
  <si>
    <t>Year</t>
  </si>
  <si>
    <t>ACT_BND</t>
  </si>
  <si>
    <t>LO</t>
  </si>
  <si>
    <t>HPL</t>
  </si>
  <si>
    <t>Existing Dist Heating Stock</t>
  </si>
  <si>
    <t>PASTI</t>
  </si>
  <si>
    <t>~FI_T: Share-I~UP</t>
  </si>
  <si>
    <t>NCAP_BND</t>
  </si>
  <si>
    <t>Sum of PJ</t>
  </si>
  <si>
    <t>CY</t>
  </si>
  <si>
    <t>EL</t>
  </si>
  <si>
    <t>ES</t>
  </si>
  <si>
    <t>IE</t>
  </si>
  <si>
    <t>ME</t>
  </si>
  <si>
    <t>MT</t>
  </si>
  <si>
    <t>PT</t>
  </si>
  <si>
    <t>TR</t>
  </si>
  <si>
    <t>UA</t>
  </si>
  <si>
    <t>nrg_100a</t>
  </si>
  <si>
    <t>B_101009</t>
  </si>
  <si>
    <t>EFFICIENCY</t>
  </si>
  <si>
    <t>All products</t>
  </si>
  <si>
    <t>Electrical energy</t>
  </si>
  <si>
    <t>Gas</t>
  </si>
  <si>
    <t>Solid fuels</t>
  </si>
  <si>
    <t>Total petroleum products</t>
  </si>
  <si>
    <t>Waste (non-renewable)</t>
  </si>
  <si>
    <t>Biomass and renewable wastes</t>
  </si>
  <si>
    <t>Geothermal Energy</t>
  </si>
  <si>
    <t>Solar thermal</t>
  </si>
  <si>
    <t>Municipal waste (renewable)</t>
  </si>
  <si>
    <t>Renewable energies</t>
  </si>
  <si>
    <t>Bio jet kerosene</t>
  </si>
  <si>
    <t>Biodiesels</t>
  </si>
  <si>
    <t>Biogas</t>
  </si>
  <si>
    <t>Biogasoline</t>
  </si>
  <si>
    <t>Liquid biofuels</t>
  </si>
  <si>
    <t>Solid biofuels (excluding charcoal)</t>
  </si>
  <si>
    <t>SHARES</t>
  </si>
  <si>
    <t>B_101109</t>
  </si>
  <si>
    <t>Derived heat</t>
  </si>
  <si>
    <t>nrg_107a</t>
  </si>
  <si>
    <t>Other liquid biofuels</t>
  </si>
  <si>
    <t>scenario</t>
  </si>
  <si>
    <t>indic_nrg</t>
  </si>
  <si>
    <t>geo</t>
  </si>
  <si>
    <t>time</t>
  </si>
  <si>
    <t>Commodity</t>
  </si>
  <si>
    <t>select T1.scenario, T1.indic_nrg,T1.geo,T1.time,TRY_CONVERT(float,T1.PV)*.001 as [PJ],T2.eledesc as [Commodity] from [LMA_PET].[dbo].[VD_Euro2016] T1</t>
  </si>
  <si>
    <t>JOIN</t>
  </si>
  <si>
    <t>[LMA_PET].[dbo].[VDE_Euro2016] T2</t>
  </si>
  <si>
    <t>ON T1.product=T2.EleName</t>
  </si>
  <si>
    <t xml:space="preserve"> where T1.indic_nrg in</t>
  </si>
  <si>
    <t>(SELECT [EleName] FROM [LMA_PET].[dbo].[VDE_Euro2016] where EleDesc like '%transfor%District heating plants%' group by EleName)</t>
  </si>
  <si>
    <t>and [time]&gt;2009 and Scenario IN ('nrg_107a','nrg_100a')</t>
  </si>
  <si>
    <t>AND T2.DimName='Product' and T1.unit='TJ' and len(T1.geo)=2</t>
  </si>
  <si>
    <t>NULL</t>
  </si>
  <si>
    <t>GASP2G</t>
  </si>
  <si>
    <t>Fuel Tech - Hard Coal (ELC)</t>
  </si>
  <si>
    <t>Fuel Tech - Lignite (ELC)</t>
  </si>
  <si>
    <t>Fuel Tech - Diesel (ELC)</t>
  </si>
  <si>
    <t>Fuel Tech - Natural Gas  (ELC)</t>
  </si>
  <si>
    <t>Fuel Tech - Geothermal  (ELC)</t>
  </si>
  <si>
    <t>Fuel Tech - Heavy Fuel Oil  (ELC)</t>
  </si>
  <si>
    <t>Fuel Tech - Hydro (ELC)</t>
  </si>
  <si>
    <t>Fuel Tech - Solar  (ELC)</t>
  </si>
  <si>
    <t>Fuel Tech - Wind (ELC)</t>
  </si>
  <si>
    <t>Fuel Tech - Biomass (ELC)</t>
  </si>
  <si>
    <t>Fuel Tech - Biogas (ELC)</t>
  </si>
  <si>
    <t>Fuel Tech - Municipal Solid Waste (ELC)</t>
  </si>
  <si>
    <t>Fuel Tech - Sludge (ELC)</t>
  </si>
  <si>
    <t>EVTRANS_L-M</t>
  </si>
  <si>
    <t>Grid low Voltage and Voltage Transformer: Low to Medium</t>
  </si>
  <si>
    <t>Existing pumped storage was moved to non-EEpp processes</t>
  </si>
  <si>
    <t>EEPP_OCE</t>
  </si>
  <si>
    <t>ELCTID</t>
  </si>
  <si>
    <t>Used for FOMX</t>
  </si>
  <si>
    <t>NCAP_BND~UP~0</t>
  </si>
  <si>
    <t>ELCN2ON</t>
  </si>
  <si>
    <t>ELCCH4N</t>
  </si>
  <si>
    <t>Anthracite=COH</t>
  </si>
  <si>
    <t>lignite=COL</t>
  </si>
  <si>
    <t>Sludge Gas = SLU</t>
  </si>
  <si>
    <t>SUP_REE</t>
  </si>
  <si>
    <t>Supply of Rare Earths (Nd/Pr)</t>
  </si>
  <si>
    <t>CR_REE</t>
  </si>
  <si>
    <t>NEPP_windON</t>
  </si>
  <si>
    <t>NEPP_windOFF</t>
  </si>
  <si>
    <t>SUP_RENWIN</t>
  </si>
  <si>
    <t>wind resource supply 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</si>
</sst>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\Te\x\t"/>
  </numFmts>
  <fonts count="3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8"/>
      <color indexed="56"/>
      <name val="Cambria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b/>
      <sz val="11"/>
      <color indexed="9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52"/>
      <name val="Calibri"/>
      <family val="2"/>
      <charset val="238"/>
    </font>
    <font>
      <sz val="11"/>
      <color indexed="17"/>
      <name val="Calibri"/>
      <family val="2"/>
      <charset val="238"/>
    </font>
    <font>
      <b/>
      <sz val="11"/>
      <color indexed="63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0"/>
      <name val="Arial"/>
      <family val="2"/>
      <charset val="238"/>
    </font>
    <font>
      <sz val="10"/>
      <color indexed="8"/>
      <name val="Arial"/>
      <family val="2"/>
    </font>
    <font>
      <b/>
      <sz val="11"/>
      <color indexed="8"/>
      <name val="Calibri"/>
      <family val="2"/>
      <charset val="238"/>
    </font>
    <font>
      <sz val="11"/>
      <color indexed="20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sz val="11"/>
      <color rgb="FF9C65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3">
    <xf numFmtId="0" fontId="0" fillId="0" borderId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8" borderId="0" applyNumberFormat="0" applyBorder="0" applyAlignment="0" applyProtection="0"/>
    <xf numFmtId="0" fontId="3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5" fillId="7" borderId="1" applyNumberFormat="0" applyAlignment="0" applyProtection="0"/>
    <xf numFmtId="0" fontId="6" fillId="0" borderId="0" applyNumberFormat="0" applyFill="0" applyBorder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9" fillId="0" borderId="5" applyNumberFormat="0" applyFill="0" applyAlignment="0" applyProtection="0"/>
    <xf numFmtId="0" fontId="9" fillId="0" borderId="0" applyNumberFormat="0" applyFill="0" applyBorder="0" applyAlignment="0" applyProtection="0"/>
    <xf numFmtId="0" fontId="10" fillId="21" borderId="2" applyNumberFormat="0" applyAlignment="0" applyProtection="0"/>
    <xf numFmtId="164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3" fillId="22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9" borderId="0" applyNumberFormat="0" applyBorder="0" applyAlignment="0" applyProtection="0"/>
    <xf numFmtId="0" fontId="13" fillId="4" borderId="0" applyNumberFormat="0" applyBorder="0" applyAlignment="0" applyProtection="0"/>
    <xf numFmtId="0" fontId="14" fillId="20" borderId="8" applyNumberFormat="0" applyAlignment="0" applyProtection="0"/>
    <xf numFmtId="0" fontId="15" fillId="0" borderId="0" applyNumberFormat="0" applyFill="0" applyBorder="0" applyAlignment="0" applyProtection="0"/>
    <xf numFmtId="0" fontId="1" fillId="0" borderId="0"/>
    <xf numFmtId="0" fontId="16" fillId="0" borderId="0"/>
    <xf numFmtId="0" fontId="1" fillId="0" borderId="0"/>
    <xf numFmtId="0" fontId="17" fillId="0" borderId="0"/>
    <xf numFmtId="0" fontId="18" fillId="0" borderId="9" applyNumberFormat="0" applyFill="0" applyAlignment="0" applyProtection="0"/>
    <xf numFmtId="0" fontId="19" fillId="3" borderId="0" applyNumberFormat="0" applyBorder="0" applyAlignment="0" applyProtection="0"/>
    <xf numFmtId="0" fontId="20" fillId="23" borderId="0" applyNumberFormat="0" applyBorder="0" applyAlignment="0" applyProtection="0"/>
    <xf numFmtId="0" fontId="21" fillId="20" borderId="1" applyNumberFormat="0" applyAlignment="0" applyProtection="0"/>
    <xf numFmtId="0" fontId="22" fillId="24" borderId="0" applyNumberFormat="0" applyBorder="0" applyAlignment="0" applyProtection="0"/>
    <xf numFmtId="9" fontId="23" fillId="0" borderId="0" applyFont="0" applyFill="0" applyBorder="0" applyAlignment="0" applyProtection="0"/>
    <xf numFmtId="0" fontId="24" fillId="25" borderId="0" applyNumberFormat="0" applyBorder="0" applyAlignment="0" applyProtection="0"/>
    <xf numFmtId="0" fontId="25" fillId="26" borderId="10" applyNumberFormat="0" applyAlignment="0" applyProtection="0"/>
    <xf numFmtId="0" fontId="23" fillId="27" borderId="11" applyNumberFormat="0" applyFont="0" applyAlignment="0" applyProtection="0"/>
    <xf numFmtId="0" fontId="23" fillId="0" borderId="0"/>
  </cellStyleXfs>
  <cellXfs count="24">
    <xf numFmtId="0" fontId="0" fillId="0" borderId="0" xfId="0"/>
    <xf numFmtId="0" fontId="1" fillId="0" borderId="0" xfId="39"/>
    <xf numFmtId="0" fontId="2" fillId="0" borderId="0" xfId="39" applyFont="1"/>
    <xf numFmtId="165" fontId="1" fillId="0" borderId="0" xfId="39" applyNumberFormat="1"/>
    <xf numFmtId="165" fontId="0" fillId="0" borderId="0" xfId="0" applyNumberFormat="1"/>
    <xf numFmtId="0" fontId="22" fillId="24" borderId="0" xfId="47"/>
    <xf numFmtId="2" fontId="0" fillId="0" borderId="0" xfId="0" applyNumberFormat="1"/>
    <xf numFmtId="0" fontId="26" fillId="25" borderId="0" xfId="49" applyFont="1" applyAlignment="1">
      <alignment horizontal="right"/>
    </xf>
    <xf numFmtId="1" fontId="0" fillId="0" borderId="0" xfId="0" applyNumberFormat="1"/>
    <xf numFmtId="9" fontId="0" fillId="0" borderId="0" xfId="0" applyNumberFormat="1"/>
    <xf numFmtId="0" fontId="25" fillId="26" borderId="10" xfId="50"/>
    <xf numFmtId="9" fontId="0" fillId="0" borderId="0" xfId="48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27" borderId="11" xfId="51" applyFont="1"/>
    <xf numFmtId="0" fontId="29" fillId="0" borderId="0" xfId="0" applyFont="1"/>
    <xf numFmtId="9" fontId="0" fillId="28" borderId="0" xfId="48" applyFont="1" applyFill="1"/>
    <xf numFmtId="0" fontId="1" fillId="28" borderId="0" xfId="39" applyFill="1"/>
    <xf numFmtId="165" fontId="30" fillId="0" borderId="0" xfId="39" applyNumberFormat="1" applyFont="1"/>
    <xf numFmtId="0" fontId="30" fillId="0" borderId="0" xfId="39" applyFont="1"/>
    <xf numFmtId="0" fontId="1" fillId="0" borderId="0" xfId="39" applyFont="1"/>
    <xf numFmtId="165" fontId="29" fillId="0" borderId="0" xfId="0" applyNumberFormat="1" applyFont="1"/>
  </cellXfs>
  <cellStyles count="53">
    <cellStyle name="20% - 1. jelölőszín" xfId="1" xr:uid="{00000000-0005-0000-0000-000000000000}"/>
    <cellStyle name="20% - 2. jelölőszín" xfId="2" xr:uid="{00000000-0005-0000-0000-000001000000}"/>
    <cellStyle name="20% - 3. jelölőszín" xfId="3" xr:uid="{00000000-0005-0000-0000-000002000000}"/>
    <cellStyle name="20% - 4. jelölőszín" xfId="4" xr:uid="{00000000-0005-0000-0000-000003000000}"/>
    <cellStyle name="20% - 5. jelölőszín" xfId="5" xr:uid="{00000000-0005-0000-0000-000004000000}"/>
    <cellStyle name="20% - 6. jelölőszín" xfId="6" xr:uid="{00000000-0005-0000-0000-000005000000}"/>
    <cellStyle name="40% - 1. jelölőszín" xfId="7" xr:uid="{00000000-0005-0000-0000-000006000000}"/>
    <cellStyle name="40% - 2. jelölőszín" xfId="8" xr:uid="{00000000-0005-0000-0000-000007000000}"/>
    <cellStyle name="40% - 3. jelölőszín" xfId="9" xr:uid="{00000000-0005-0000-0000-000008000000}"/>
    <cellStyle name="40% - 4. jelölőszín" xfId="10" xr:uid="{00000000-0005-0000-0000-000009000000}"/>
    <cellStyle name="40% - 5. jelölőszín" xfId="11" xr:uid="{00000000-0005-0000-0000-00000A000000}"/>
    <cellStyle name="40% - 6. jelölőszín" xfId="12" xr:uid="{00000000-0005-0000-0000-00000B000000}"/>
    <cellStyle name="60% - 1. jelölőszín" xfId="13" xr:uid="{00000000-0005-0000-0000-00000C000000}"/>
    <cellStyle name="60% - 2. jelölőszín" xfId="14" xr:uid="{00000000-0005-0000-0000-00000D000000}"/>
    <cellStyle name="60% - 3. jelölőszín" xfId="15" xr:uid="{00000000-0005-0000-0000-00000E000000}"/>
    <cellStyle name="60% - 4. jelölőszín" xfId="16" xr:uid="{00000000-0005-0000-0000-00000F000000}"/>
    <cellStyle name="60% - 5. jelölőszín" xfId="17" xr:uid="{00000000-0005-0000-0000-000010000000}"/>
    <cellStyle name="60% - 6. jelölőszín" xfId="18" xr:uid="{00000000-0005-0000-0000-000011000000}"/>
    <cellStyle name="Bevitel" xfId="19" xr:uid="{00000000-0005-0000-0000-000012000000}"/>
    <cellStyle name="Cím" xfId="20" xr:uid="{00000000-0005-0000-0000-000013000000}"/>
    <cellStyle name="Címsor 1" xfId="21" xr:uid="{00000000-0005-0000-0000-000014000000}"/>
    <cellStyle name="Címsor 2" xfId="22" xr:uid="{00000000-0005-0000-0000-000015000000}"/>
    <cellStyle name="Címsor 3" xfId="23" xr:uid="{00000000-0005-0000-0000-000016000000}"/>
    <cellStyle name="Címsor 4" xfId="24" xr:uid="{00000000-0005-0000-0000-000017000000}"/>
    <cellStyle name="Ellenőrzőcella" xfId="25" xr:uid="{00000000-0005-0000-0000-000018000000}"/>
    <cellStyle name="Ezres_vegleges_en" xfId="26" xr:uid="{00000000-0005-0000-0000-000019000000}"/>
    <cellStyle name="Figyelmeztetés" xfId="27" xr:uid="{00000000-0005-0000-0000-00001A000000}"/>
    <cellStyle name="Good" xfId="49" builtinId="26"/>
    <cellStyle name="Hivatkozott cella" xfId="28" xr:uid="{00000000-0005-0000-0000-00001C000000}"/>
    <cellStyle name="Input" xfId="50" builtinId="20"/>
    <cellStyle name="Jegyzet" xfId="29" xr:uid="{00000000-0005-0000-0000-00001E000000}"/>
    <cellStyle name="Jelölőszín (1)" xfId="30" xr:uid="{00000000-0005-0000-0000-00001F000000}"/>
    <cellStyle name="Jelölőszín (2)" xfId="31" xr:uid="{00000000-0005-0000-0000-000020000000}"/>
    <cellStyle name="Jelölőszín (3)" xfId="32" xr:uid="{00000000-0005-0000-0000-000021000000}"/>
    <cellStyle name="Jelölőszín (4)" xfId="33" xr:uid="{00000000-0005-0000-0000-000022000000}"/>
    <cellStyle name="Jelölőszín (5)" xfId="34" xr:uid="{00000000-0005-0000-0000-000023000000}"/>
    <cellStyle name="Jelölőszín (6)" xfId="35" xr:uid="{00000000-0005-0000-0000-000024000000}"/>
    <cellStyle name="Jó" xfId="36" xr:uid="{00000000-0005-0000-0000-000025000000}"/>
    <cellStyle name="Kimenet" xfId="37" xr:uid="{00000000-0005-0000-0000-000026000000}"/>
    <cellStyle name="Magyarázó szöveg" xfId="38" xr:uid="{00000000-0005-0000-0000-000027000000}"/>
    <cellStyle name="Neutral" xfId="47" builtinId="28"/>
    <cellStyle name="Normal" xfId="0" builtinId="0"/>
    <cellStyle name="Normal 14" xfId="52" xr:uid="{00000000-0005-0000-0000-00002A000000}"/>
    <cellStyle name="Normal 2" xfId="39" xr:uid="{00000000-0005-0000-0000-00002B000000}"/>
    <cellStyle name="Normál 2" xfId="40" xr:uid="{00000000-0005-0000-0000-00002C000000}"/>
    <cellStyle name="Normál_C3EM_v2" xfId="41" xr:uid="{00000000-0005-0000-0000-00002D000000}"/>
    <cellStyle name="normální_List1" xfId="42" xr:uid="{00000000-0005-0000-0000-00002E000000}"/>
    <cellStyle name="Note" xfId="51" builtinId="10"/>
    <cellStyle name="Összesen" xfId="43" xr:uid="{00000000-0005-0000-0000-000030000000}"/>
    <cellStyle name="Percent" xfId="48" builtinId="5"/>
    <cellStyle name="Rossz" xfId="44" xr:uid="{00000000-0005-0000-0000-000032000000}"/>
    <cellStyle name="Semleges" xfId="45" xr:uid="{00000000-0005-0000-0000-000033000000}"/>
    <cellStyle name="Számítás" xfId="46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EDA\VEDA_Models\2-NewVeda\EU-TIMES\EU-TIMES_DistHeat%20calibration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2651.542187268518" createdVersion="5" refreshedVersion="4" minRefreshableVersion="3" recordCount="3990" xr:uid="{00000000-000A-0000-FFFF-FFFF00000000}">
  <cacheSource type="worksheet">
    <worksheetSource ref="A1:F3991" sheet="DistHeat-Eurostat dump" r:id="rId2"/>
  </cacheSource>
  <cacheFields count="6">
    <cacheField name="scenario" numFmtId="0">
      <sharedItems count="2">
        <s v="nrg_100a"/>
        <s v="nrg_107a"/>
      </sharedItems>
    </cacheField>
    <cacheField name="indic_nrg" numFmtId="0">
      <sharedItems count="2">
        <s v="B_101009"/>
        <s v="B_101109"/>
      </sharedItems>
    </cacheField>
    <cacheField name="geo" numFmtId="0">
      <sharedItems count="38">
        <s v="AL"/>
        <s v="AT"/>
        <s v="BE"/>
        <s v="BG"/>
        <s v="CY"/>
        <s v="CZ"/>
        <s v="DE"/>
        <s v="DK"/>
        <s v="EE"/>
        <s v="EL"/>
        <s v="ES"/>
        <s v="FI"/>
        <s v="FR"/>
        <s v="HR"/>
        <s v="HU"/>
        <s v="IE"/>
        <s v="IS"/>
        <s v="IT"/>
        <s v="LT"/>
        <s v="LU"/>
        <s v="LV"/>
        <s v="MD"/>
        <s v="ME"/>
        <s v="MK"/>
        <s v="MT"/>
        <s v="NL"/>
        <s v="NO"/>
        <s v="PL"/>
        <s v="PT"/>
        <s v="RO"/>
        <s v="RS"/>
        <s v="SE"/>
        <s v="SI"/>
        <s v="SK"/>
        <s v="TR"/>
        <s v="UA"/>
        <s v="UK"/>
        <s v="XK"/>
      </sharedItems>
    </cacheField>
    <cacheField name="time" numFmtId="0">
      <sharedItems containsSemiMixedTypes="0" containsString="0" containsNumber="1" containsInteger="1" minValue="2010" maxValue="2014" count="5">
        <n v="2014"/>
        <n v="2013"/>
        <n v="2012"/>
        <n v="2011"/>
        <n v="2010"/>
      </sharedItems>
    </cacheField>
    <cacheField name="PJ" numFmtId="0">
      <sharedItems containsMixedTypes="1" containsNumber="1" minValue="0" maxValue="442.26600000000002"/>
    </cacheField>
    <cacheField name="Commodity" numFmtId="0">
      <sharedItems count="19">
        <s v="All products"/>
        <s v="Solid fuels"/>
        <s v="Total petroleum products"/>
        <s v="Gas"/>
        <s v="Renewable energies"/>
        <s v="Electrical energy"/>
        <s v="Waste (non-renewable)"/>
        <s v="Solar thermal"/>
        <s v="Biomass and renewable wastes"/>
        <s v="Solid biofuels (excluding charcoal)"/>
        <s v="Biogas"/>
        <s v="Municipal waste (renewable)"/>
        <s v="Liquid biofuels"/>
        <s v="Biogasoline"/>
        <s v="Biodiesels"/>
        <s v="Other liquid biofuels"/>
        <s v="Bio jet kerosene"/>
        <s v="Geothermal Energy"/>
        <s v="Derived hea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0">
  <r>
    <x v="0"/>
    <x v="0"/>
    <x v="0"/>
    <x v="0"/>
    <n v="0.57699999999999996"/>
    <x v="0"/>
  </r>
  <r>
    <x v="0"/>
    <x v="0"/>
    <x v="0"/>
    <x v="1"/>
    <n v="0"/>
    <x v="0"/>
  </r>
  <r>
    <x v="0"/>
    <x v="0"/>
    <x v="0"/>
    <x v="2"/>
    <n v="0"/>
    <x v="0"/>
  </r>
  <r>
    <x v="0"/>
    <x v="0"/>
    <x v="0"/>
    <x v="3"/>
    <n v="0"/>
    <x v="0"/>
  </r>
  <r>
    <x v="0"/>
    <x v="0"/>
    <x v="0"/>
    <x v="4"/>
    <n v="0"/>
    <x v="0"/>
  </r>
  <r>
    <x v="0"/>
    <x v="0"/>
    <x v="1"/>
    <x v="0"/>
    <n v="42.393999999999998"/>
    <x v="0"/>
  </r>
  <r>
    <x v="0"/>
    <x v="0"/>
    <x v="1"/>
    <x v="1"/>
    <n v="42.533999999999999"/>
    <x v="0"/>
  </r>
  <r>
    <x v="0"/>
    <x v="0"/>
    <x v="1"/>
    <x v="2"/>
    <n v="39.311999999999998"/>
    <x v="0"/>
  </r>
  <r>
    <x v="0"/>
    <x v="0"/>
    <x v="1"/>
    <x v="3"/>
    <n v="34.340000000000003"/>
    <x v="0"/>
  </r>
  <r>
    <x v="0"/>
    <x v="0"/>
    <x v="1"/>
    <x v="4"/>
    <n v="38.201000000000001"/>
    <x v="0"/>
  </r>
  <r>
    <x v="0"/>
    <x v="0"/>
    <x v="2"/>
    <x v="0"/>
    <n v="0.63500000000000001"/>
    <x v="0"/>
  </r>
  <r>
    <x v="0"/>
    <x v="0"/>
    <x v="2"/>
    <x v="1"/>
    <n v="0.58099999999999996"/>
    <x v="0"/>
  </r>
  <r>
    <x v="0"/>
    <x v="0"/>
    <x v="2"/>
    <x v="2"/>
    <n v="0.61"/>
    <x v="0"/>
  </r>
  <r>
    <x v="0"/>
    <x v="0"/>
    <x v="2"/>
    <x v="3"/>
    <n v="0.89300000000000002"/>
    <x v="0"/>
  </r>
  <r>
    <x v="0"/>
    <x v="0"/>
    <x v="2"/>
    <x v="4"/>
    <n v="0.25600000000000001"/>
    <x v="0"/>
  </r>
  <r>
    <x v="0"/>
    <x v="0"/>
    <x v="3"/>
    <x v="0"/>
    <n v="7.9240000000000004"/>
    <x v="0"/>
  </r>
  <r>
    <x v="0"/>
    <x v="0"/>
    <x v="3"/>
    <x v="1"/>
    <n v="6.5490000000000004"/>
    <x v="0"/>
  </r>
  <r>
    <x v="0"/>
    <x v="0"/>
    <x v="3"/>
    <x v="2"/>
    <n v="8.8710000000000004"/>
    <x v="0"/>
  </r>
  <r>
    <x v="0"/>
    <x v="0"/>
    <x v="3"/>
    <x v="3"/>
    <n v="11.491"/>
    <x v="0"/>
  </r>
  <r>
    <x v="0"/>
    <x v="0"/>
    <x v="3"/>
    <x v="4"/>
    <n v="12.736000000000001"/>
    <x v="0"/>
  </r>
  <r>
    <x v="0"/>
    <x v="0"/>
    <x v="4"/>
    <x v="0"/>
    <n v="0"/>
    <x v="0"/>
  </r>
  <r>
    <x v="0"/>
    <x v="0"/>
    <x v="4"/>
    <x v="1"/>
    <n v="0"/>
    <x v="0"/>
  </r>
  <r>
    <x v="0"/>
    <x v="0"/>
    <x v="4"/>
    <x v="2"/>
    <n v="0"/>
    <x v="0"/>
  </r>
  <r>
    <x v="0"/>
    <x v="0"/>
    <x v="4"/>
    <x v="3"/>
    <n v="0"/>
    <x v="0"/>
  </r>
  <r>
    <x v="0"/>
    <x v="0"/>
    <x v="4"/>
    <x v="4"/>
    <n v="0"/>
    <x v="0"/>
  </r>
  <r>
    <x v="0"/>
    <x v="0"/>
    <x v="5"/>
    <x v="0"/>
    <n v="25.904"/>
    <x v="0"/>
  </r>
  <r>
    <x v="0"/>
    <x v="0"/>
    <x v="5"/>
    <x v="1"/>
    <n v="30.940999999999999"/>
    <x v="0"/>
  </r>
  <r>
    <x v="0"/>
    <x v="0"/>
    <x v="5"/>
    <x v="2"/>
    <n v="32.470999999999997"/>
    <x v="0"/>
  </r>
  <r>
    <x v="0"/>
    <x v="0"/>
    <x v="5"/>
    <x v="3"/>
    <n v="28.161000000000001"/>
    <x v="0"/>
  </r>
  <r>
    <x v="0"/>
    <x v="0"/>
    <x v="5"/>
    <x v="4"/>
    <n v="32.942999999999998"/>
    <x v="0"/>
  </r>
  <r>
    <x v="0"/>
    <x v="0"/>
    <x v="6"/>
    <x v="0"/>
    <n v="162.59399999999999"/>
    <x v="0"/>
  </r>
  <r>
    <x v="0"/>
    <x v="0"/>
    <x v="6"/>
    <x v="1"/>
    <n v="179.99199999999999"/>
    <x v="0"/>
  </r>
  <r>
    <x v="0"/>
    <x v="0"/>
    <x v="6"/>
    <x v="2"/>
    <n v="197.59899999999999"/>
    <x v="0"/>
  </r>
  <r>
    <x v="0"/>
    <x v="0"/>
    <x v="6"/>
    <x v="3"/>
    <n v="189.108"/>
    <x v="0"/>
  </r>
  <r>
    <x v="0"/>
    <x v="0"/>
    <x v="6"/>
    <x v="4"/>
    <n v="199.047"/>
    <x v="0"/>
  </r>
  <r>
    <x v="0"/>
    <x v="0"/>
    <x v="7"/>
    <x v="0"/>
    <n v="38.625999999999998"/>
    <x v="0"/>
  </r>
  <r>
    <x v="0"/>
    <x v="0"/>
    <x v="7"/>
    <x v="1"/>
    <n v="37.561999999999998"/>
    <x v="0"/>
  </r>
  <r>
    <x v="0"/>
    <x v="0"/>
    <x v="7"/>
    <x v="2"/>
    <n v="37.871000000000002"/>
    <x v="0"/>
  </r>
  <r>
    <x v="0"/>
    <x v="0"/>
    <x v="7"/>
    <x v="3"/>
    <n v="31.678999999999998"/>
    <x v="0"/>
  </r>
  <r>
    <x v="0"/>
    <x v="0"/>
    <x v="7"/>
    <x v="4"/>
    <n v="36.387999999999998"/>
    <x v="0"/>
  </r>
  <r>
    <x v="0"/>
    <x v="0"/>
    <x v="8"/>
    <x v="0"/>
    <n v="13.286"/>
    <x v="0"/>
  </r>
  <r>
    <x v="0"/>
    <x v="0"/>
    <x v="8"/>
    <x v="1"/>
    <n v="15.807"/>
    <x v="0"/>
  </r>
  <r>
    <x v="0"/>
    <x v="0"/>
    <x v="8"/>
    <x v="2"/>
    <n v="18.713999999999999"/>
    <x v="0"/>
  </r>
  <r>
    <x v="0"/>
    <x v="0"/>
    <x v="8"/>
    <x v="3"/>
    <n v="17.245000000000001"/>
    <x v="0"/>
  </r>
  <r>
    <x v="0"/>
    <x v="0"/>
    <x v="8"/>
    <x v="4"/>
    <n v="18.689"/>
    <x v="0"/>
  </r>
  <r>
    <x v="0"/>
    <x v="0"/>
    <x v="9"/>
    <x v="0"/>
    <n v="0"/>
    <x v="0"/>
  </r>
  <r>
    <x v="0"/>
    <x v="0"/>
    <x v="9"/>
    <x v="1"/>
    <n v="0"/>
    <x v="0"/>
  </r>
  <r>
    <x v="0"/>
    <x v="0"/>
    <x v="9"/>
    <x v="2"/>
    <n v="0"/>
    <x v="0"/>
  </r>
  <r>
    <x v="0"/>
    <x v="0"/>
    <x v="9"/>
    <x v="3"/>
    <n v="0"/>
    <x v="0"/>
  </r>
  <r>
    <x v="0"/>
    <x v="0"/>
    <x v="9"/>
    <x v="4"/>
    <n v="0"/>
    <x v="0"/>
  </r>
  <r>
    <x v="0"/>
    <x v="0"/>
    <x v="10"/>
    <x v="0"/>
    <n v="0"/>
    <x v="0"/>
  </r>
  <r>
    <x v="0"/>
    <x v="0"/>
    <x v="10"/>
    <x v="1"/>
    <n v="0"/>
    <x v="0"/>
  </r>
  <r>
    <x v="0"/>
    <x v="0"/>
    <x v="10"/>
    <x v="2"/>
    <n v="0"/>
    <x v="0"/>
  </r>
  <r>
    <x v="0"/>
    <x v="0"/>
    <x v="10"/>
    <x v="3"/>
    <n v="0"/>
    <x v="0"/>
  </r>
  <r>
    <x v="0"/>
    <x v="0"/>
    <x v="10"/>
    <x v="4"/>
    <n v="0"/>
    <x v="0"/>
  </r>
  <r>
    <x v="0"/>
    <x v="0"/>
    <x v="11"/>
    <x v="0"/>
    <n v="62.09"/>
    <x v="0"/>
  </r>
  <r>
    <x v="0"/>
    <x v="0"/>
    <x v="11"/>
    <x v="1"/>
    <n v="59.073999999999998"/>
    <x v="0"/>
  </r>
  <r>
    <x v="0"/>
    <x v="0"/>
    <x v="11"/>
    <x v="2"/>
    <n v="67.665000000000006"/>
    <x v="0"/>
  </r>
  <r>
    <x v="0"/>
    <x v="0"/>
    <x v="11"/>
    <x v="3"/>
    <n v="57.814"/>
    <x v="0"/>
  </r>
  <r>
    <x v="0"/>
    <x v="0"/>
    <x v="11"/>
    <x v="4"/>
    <n v="65.783000000000001"/>
    <x v="0"/>
  </r>
  <r>
    <x v="0"/>
    <x v="0"/>
    <x v="12"/>
    <x v="0"/>
    <n v="65.05"/>
    <x v="0"/>
  </r>
  <r>
    <x v="0"/>
    <x v="0"/>
    <x v="12"/>
    <x v="1"/>
    <n v="74.899000000000001"/>
    <x v="0"/>
  </r>
  <r>
    <x v="0"/>
    <x v="0"/>
    <x v="12"/>
    <x v="2"/>
    <n v="66.403999999999996"/>
    <x v="0"/>
  </r>
  <r>
    <x v="0"/>
    <x v="0"/>
    <x v="12"/>
    <x v="3"/>
    <n v="19.488"/>
    <x v="0"/>
  </r>
  <r>
    <x v="0"/>
    <x v="0"/>
    <x v="12"/>
    <x v="4"/>
    <n v="25.335000000000001"/>
    <x v="0"/>
  </r>
  <r>
    <x v="0"/>
    <x v="0"/>
    <x v="13"/>
    <x v="0"/>
    <n v="2.726"/>
    <x v="0"/>
  </r>
  <r>
    <x v="0"/>
    <x v="0"/>
    <x v="13"/>
    <x v="1"/>
    <n v="3.2909999999999999"/>
    <x v="0"/>
  </r>
  <r>
    <x v="0"/>
    <x v="0"/>
    <x v="13"/>
    <x v="2"/>
    <n v="3.2930000000000001"/>
    <x v="0"/>
  </r>
  <r>
    <x v="0"/>
    <x v="0"/>
    <x v="13"/>
    <x v="3"/>
    <n v="3.7570000000000001"/>
    <x v="0"/>
  </r>
  <r>
    <x v="0"/>
    <x v="0"/>
    <x v="13"/>
    <x v="4"/>
    <n v="4.0750000000000002"/>
    <x v="0"/>
  </r>
  <r>
    <x v="0"/>
    <x v="0"/>
    <x v="14"/>
    <x v="0"/>
    <n v="23.539000000000001"/>
    <x v="0"/>
  </r>
  <r>
    <x v="0"/>
    <x v="0"/>
    <x v="14"/>
    <x v="1"/>
    <n v="27.99"/>
    <x v="0"/>
  </r>
  <r>
    <x v="0"/>
    <x v="0"/>
    <x v="14"/>
    <x v="2"/>
    <n v="27.358000000000001"/>
    <x v="0"/>
  </r>
  <r>
    <x v="0"/>
    <x v="0"/>
    <x v="14"/>
    <x v="3"/>
    <n v="22.873000000000001"/>
    <x v="0"/>
  </r>
  <r>
    <x v="0"/>
    <x v="0"/>
    <x v="14"/>
    <x v="4"/>
    <n v="19.553000000000001"/>
    <x v="0"/>
  </r>
  <r>
    <x v="0"/>
    <x v="0"/>
    <x v="15"/>
    <x v="0"/>
    <n v="0"/>
    <x v="0"/>
  </r>
  <r>
    <x v="0"/>
    <x v="0"/>
    <x v="15"/>
    <x v="1"/>
    <n v="0"/>
    <x v="0"/>
  </r>
  <r>
    <x v="0"/>
    <x v="0"/>
    <x v="15"/>
    <x v="2"/>
    <n v="0"/>
    <x v="0"/>
  </r>
  <r>
    <x v="0"/>
    <x v="0"/>
    <x v="15"/>
    <x v="3"/>
    <n v="0"/>
    <x v="0"/>
  </r>
  <r>
    <x v="0"/>
    <x v="0"/>
    <x v="15"/>
    <x v="4"/>
    <n v="0"/>
    <x v="0"/>
  </r>
  <r>
    <x v="0"/>
    <x v="0"/>
    <x v="16"/>
    <x v="0"/>
    <n v="30.722000000000001"/>
    <x v="0"/>
  </r>
  <r>
    <x v="0"/>
    <x v="0"/>
    <x v="16"/>
    <x v="1"/>
    <n v="25.541"/>
    <x v="0"/>
  </r>
  <r>
    <x v="0"/>
    <x v="0"/>
    <x v="16"/>
    <x v="2"/>
    <n v="26.798999999999999"/>
    <x v="0"/>
  </r>
  <r>
    <x v="0"/>
    <x v="0"/>
    <x v="16"/>
    <x v="3"/>
    <n v="26.248000000000001"/>
    <x v="0"/>
  </r>
  <r>
    <x v="0"/>
    <x v="0"/>
    <x v="16"/>
    <x v="4"/>
    <n v="25.689"/>
    <x v="0"/>
  </r>
  <r>
    <x v="0"/>
    <x v="0"/>
    <x v="17"/>
    <x v="0"/>
    <n v="5.0119999999999996"/>
    <x v="0"/>
  </r>
  <r>
    <x v="0"/>
    <x v="0"/>
    <x v="17"/>
    <x v="1"/>
    <n v="5.3109999999999999"/>
    <x v="0"/>
  </r>
  <r>
    <x v="0"/>
    <x v="0"/>
    <x v="17"/>
    <x v="2"/>
    <n v="5.2770000000000001"/>
    <x v="0"/>
  </r>
  <r>
    <x v="0"/>
    <x v="0"/>
    <x v="17"/>
    <x v="3"/>
    <n v="4.8650000000000002"/>
    <x v="0"/>
  </r>
  <r>
    <x v="0"/>
    <x v="0"/>
    <x v="17"/>
    <x v="4"/>
    <n v="4.585"/>
    <x v="0"/>
  </r>
  <r>
    <x v="0"/>
    <x v="0"/>
    <x v="18"/>
    <x v="0"/>
    <n v="19.515000000000001"/>
    <x v="0"/>
  </r>
  <r>
    <x v="0"/>
    <x v="0"/>
    <x v="18"/>
    <x v="1"/>
    <n v="17.722999999999999"/>
    <x v="0"/>
  </r>
  <r>
    <x v="0"/>
    <x v="0"/>
    <x v="18"/>
    <x v="2"/>
    <n v="19.998999999999999"/>
    <x v="0"/>
  </r>
  <r>
    <x v="0"/>
    <x v="0"/>
    <x v="18"/>
    <x v="3"/>
    <n v="18.311"/>
    <x v="0"/>
  </r>
  <r>
    <x v="0"/>
    <x v="0"/>
    <x v="18"/>
    <x v="4"/>
    <n v="20.780999999999999"/>
    <x v="0"/>
  </r>
  <r>
    <x v="0"/>
    <x v="0"/>
    <x v="19"/>
    <x v="0"/>
    <n v="0.20300000000000001"/>
    <x v="0"/>
  </r>
  <r>
    <x v="0"/>
    <x v="0"/>
    <x v="19"/>
    <x v="1"/>
    <n v="0.23200000000000001"/>
    <x v="0"/>
  </r>
  <r>
    <x v="0"/>
    <x v="0"/>
    <x v="19"/>
    <x v="2"/>
    <n v="0.17799999999999999"/>
    <x v="0"/>
  </r>
  <r>
    <x v="0"/>
    <x v="0"/>
    <x v="19"/>
    <x v="3"/>
    <n v="0.19700000000000001"/>
    <x v="0"/>
  </r>
  <r>
    <x v="0"/>
    <x v="0"/>
    <x v="19"/>
    <x v="4"/>
    <n v="0.16400000000000001"/>
    <x v="0"/>
  </r>
  <r>
    <x v="0"/>
    <x v="0"/>
    <x v="20"/>
    <x v="0"/>
    <n v="9.2040000000000006"/>
    <x v="0"/>
  </r>
  <r>
    <x v="0"/>
    <x v="0"/>
    <x v="20"/>
    <x v="1"/>
    <n v="10.647"/>
    <x v="0"/>
  </r>
  <r>
    <x v="0"/>
    <x v="0"/>
    <x v="20"/>
    <x v="2"/>
    <n v="12.609"/>
    <x v="0"/>
  </r>
  <r>
    <x v="0"/>
    <x v="0"/>
    <x v="20"/>
    <x v="3"/>
    <n v="12.881"/>
    <x v="0"/>
  </r>
  <r>
    <x v="0"/>
    <x v="0"/>
    <x v="20"/>
    <x v="4"/>
    <n v="14.885999999999999"/>
    <x v="0"/>
  </r>
  <r>
    <x v="0"/>
    <x v="0"/>
    <x v="21"/>
    <x v="0"/>
    <n v="3.7090000000000001"/>
    <x v="0"/>
  </r>
  <r>
    <x v="0"/>
    <x v="0"/>
    <x v="21"/>
    <x v="1"/>
    <n v="4.1420000000000003"/>
    <x v="0"/>
  </r>
  <r>
    <x v="0"/>
    <x v="0"/>
    <x v="21"/>
    <x v="2"/>
    <n v="4.0049999999999999"/>
    <x v="0"/>
  </r>
  <r>
    <x v="0"/>
    <x v="0"/>
    <x v="21"/>
    <x v="3"/>
    <n v="4.319"/>
    <x v="0"/>
  </r>
  <r>
    <x v="0"/>
    <x v="0"/>
    <x v="21"/>
    <x v="4"/>
    <n v="4.6689999999999996"/>
    <x v="0"/>
  </r>
  <r>
    <x v="0"/>
    <x v="0"/>
    <x v="22"/>
    <x v="0"/>
    <n v="0"/>
    <x v="0"/>
  </r>
  <r>
    <x v="0"/>
    <x v="0"/>
    <x v="22"/>
    <x v="1"/>
    <n v="0"/>
    <x v="0"/>
  </r>
  <r>
    <x v="0"/>
    <x v="0"/>
    <x v="22"/>
    <x v="2"/>
    <n v="0"/>
    <x v="0"/>
  </r>
  <r>
    <x v="0"/>
    <x v="0"/>
    <x v="22"/>
    <x v="3"/>
    <n v="0"/>
    <x v="0"/>
  </r>
  <r>
    <x v="0"/>
    <x v="0"/>
    <x v="22"/>
    <x v="4"/>
    <n v="0"/>
    <x v="0"/>
  </r>
  <r>
    <x v="0"/>
    <x v="0"/>
    <x v="23"/>
    <x v="0"/>
    <n v="1.6879999999999999"/>
    <x v="0"/>
  </r>
  <r>
    <x v="0"/>
    <x v="0"/>
    <x v="23"/>
    <x v="1"/>
    <n v="1.2509999999999999"/>
    <x v="0"/>
  </r>
  <r>
    <x v="0"/>
    <x v="0"/>
    <x v="23"/>
    <x v="2"/>
    <n v="1.728"/>
    <x v="0"/>
  </r>
  <r>
    <x v="0"/>
    <x v="0"/>
    <x v="23"/>
    <x v="3"/>
    <n v="2.3879999999999999"/>
    <x v="0"/>
  </r>
  <r>
    <x v="0"/>
    <x v="0"/>
    <x v="23"/>
    <x v="4"/>
    <n v="3.2320000000000002"/>
    <x v="0"/>
  </r>
  <r>
    <x v="0"/>
    <x v="0"/>
    <x v="24"/>
    <x v="0"/>
    <n v="0"/>
    <x v="0"/>
  </r>
  <r>
    <x v="0"/>
    <x v="0"/>
    <x v="24"/>
    <x v="1"/>
    <n v="0"/>
    <x v="0"/>
  </r>
  <r>
    <x v="0"/>
    <x v="0"/>
    <x v="24"/>
    <x v="2"/>
    <n v="0"/>
    <x v="0"/>
  </r>
  <r>
    <x v="0"/>
    <x v="0"/>
    <x v="24"/>
    <x v="3"/>
    <n v="0"/>
    <x v="0"/>
  </r>
  <r>
    <x v="0"/>
    <x v="0"/>
    <x v="24"/>
    <x v="4"/>
    <n v="0"/>
    <x v="0"/>
  </r>
  <r>
    <x v="0"/>
    <x v="0"/>
    <x v="25"/>
    <x v="0"/>
    <n v="28.091000000000001"/>
    <x v="0"/>
  </r>
  <r>
    <x v="0"/>
    <x v="0"/>
    <x v="25"/>
    <x v="1"/>
    <n v="20.890999999999998"/>
    <x v="0"/>
  </r>
  <r>
    <x v="0"/>
    <x v="0"/>
    <x v="25"/>
    <x v="2"/>
    <n v="19.73"/>
    <x v="0"/>
  </r>
  <r>
    <x v="0"/>
    <x v="0"/>
    <x v="25"/>
    <x v="3"/>
    <n v="29.035"/>
    <x v="0"/>
  </r>
  <r>
    <x v="0"/>
    <x v="0"/>
    <x v="25"/>
    <x v="4"/>
    <n v="30.779"/>
    <x v="0"/>
  </r>
  <r>
    <x v="0"/>
    <x v="0"/>
    <x v="26"/>
    <x v="0"/>
    <n v="14.672000000000001"/>
    <x v="0"/>
  </r>
  <r>
    <x v="0"/>
    <x v="0"/>
    <x v="26"/>
    <x v="1"/>
    <n v="14.878"/>
    <x v="0"/>
  </r>
  <r>
    <x v="0"/>
    <x v="0"/>
    <x v="26"/>
    <x v="2"/>
    <n v="14.606999999999999"/>
    <x v="0"/>
  </r>
  <r>
    <x v="0"/>
    <x v="0"/>
    <x v="26"/>
    <x v="3"/>
    <n v="15.913"/>
    <x v="0"/>
  </r>
  <r>
    <x v="0"/>
    <x v="0"/>
    <x v="26"/>
    <x v="4"/>
    <n v="15.035"/>
    <x v="0"/>
  </r>
  <r>
    <x v="0"/>
    <x v="0"/>
    <x v="27"/>
    <x v="0"/>
    <n v="118.04900000000001"/>
    <x v="0"/>
  </r>
  <r>
    <x v="0"/>
    <x v="0"/>
    <x v="27"/>
    <x v="1"/>
    <n v="130.13399999999999"/>
    <x v="0"/>
  </r>
  <r>
    <x v="0"/>
    <x v="0"/>
    <x v="27"/>
    <x v="2"/>
    <n v="135.21899999999999"/>
    <x v="0"/>
  </r>
  <r>
    <x v="0"/>
    <x v="0"/>
    <x v="27"/>
    <x v="3"/>
    <n v="126.34"/>
    <x v="0"/>
  </r>
  <r>
    <x v="0"/>
    <x v="0"/>
    <x v="27"/>
    <x v="4"/>
    <n v="154.875"/>
    <x v="0"/>
  </r>
  <r>
    <x v="0"/>
    <x v="0"/>
    <x v="28"/>
    <x v="0"/>
    <n v="0"/>
    <x v="0"/>
  </r>
  <r>
    <x v="0"/>
    <x v="0"/>
    <x v="28"/>
    <x v="1"/>
    <n v="0"/>
    <x v="0"/>
  </r>
  <r>
    <x v="0"/>
    <x v="0"/>
    <x v="28"/>
    <x v="2"/>
    <n v="0"/>
    <x v="0"/>
  </r>
  <r>
    <x v="0"/>
    <x v="0"/>
    <x v="28"/>
    <x v="3"/>
    <n v="0"/>
    <x v="0"/>
  </r>
  <r>
    <x v="0"/>
    <x v="0"/>
    <x v="28"/>
    <x v="4"/>
    <n v="0"/>
    <x v="0"/>
  </r>
  <r>
    <x v="0"/>
    <x v="0"/>
    <x v="29"/>
    <x v="0"/>
    <n v="21.12"/>
    <x v="0"/>
  </r>
  <r>
    <x v="0"/>
    <x v="0"/>
    <x v="29"/>
    <x v="1"/>
    <n v="23.975999999999999"/>
    <x v="0"/>
  </r>
  <r>
    <x v="0"/>
    <x v="0"/>
    <x v="29"/>
    <x v="2"/>
    <n v="19.224"/>
    <x v="0"/>
  </r>
  <r>
    <x v="0"/>
    <x v="0"/>
    <x v="29"/>
    <x v="3"/>
    <n v="25.617000000000001"/>
    <x v="0"/>
  </r>
  <r>
    <x v="0"/>
    <x v="0"/>
    <x v="29"/>
    <x v="4"/>
    <n v="28.835000000000001"/>
    <x v="0"/>
  </r>
  <r>
    <x v="0"/>
    <x v="0"/>
    <x v="30"/>
    <x v="0"/>
    <n v="26.260999999999999"/>
    <x v="0"/>
  </r>
  <r>
    <x v="0"/>
    <x v="0"/>
    <x v="30"/>
    <x v="1"/>
    <n v="30.683"/>
    <x v="0"/>
  </r>
  <r>
    <x v="0"/>
    <x v="0"/>
    <x v="30"/>
    <x v="2"/>
    <n v="30.126000000000001"/>
    <x v="0"/>
  </r>
  <r>
    <x v="0"/>
    <x v="0"/>
    <x v="30"/>
    <x v="3"/>
    <n v="33.64"/>
    <x v="0"/>
  </r>
  <r>
    <x v="0"/>
    <x v="0"/>
    <x v="30"/>
    <x v="4"/>
    <n v="31.815999999999999"/>
    <x v="0"/>
  </r>
  <r>
    <x v="0"/>
    <x v="0"/>
    <x v="31"/>
    <x v="0"/>
    <n v="50.271000000000001"/>
    <x v="0"/>
  </r>
  <r>
    <x v="0"/>
    <x v="0"/>
    <x v="31"/>
    <x v="1"/>
    <n v="54.018000000000001"/>
    <x v="0"/>
  </r>
  <r>
    <x v="0"/>
    <x v="0"/>
    <x v="31"/>
    <x v="2"/>
    <n v="60.052999999999997"/>
    <x v="0"/>
  </r>
  <r>
    <x v="0"/>
    <x v="0"/>
    <x v="31"/>
    <x v="3"/>
    <n v="63.198999999999998"/>
    <x v="0"/>
  </r>
  <r>
    <x v="0"/>
    <x v="0"/>
    <x v="31"/>
    <x v="4"/>
    <n v="72.656999999999996"/>
    <x v="0"/>
  </r>
  <r>
    <x v="0"/>
    <x v="0"/>
    <x v="32"/>
    <x v="0"/>
    <n v="2.04"/>
    <x v="0"/>
  </r>
  <r>
    <x v="0"/>
    <x v="0"/>
    <x v="32"/>
    <x v="1"/>
    <n v="2.3879999999999999"/>
    <x v="0"/>
  </r>
  <r>
    <x v="0"/>
    <x v="0"/>
    <x v="32"/>
    <x v="2"/>
    <n v="2.61"/>
    <x v="0"/>
  </r>
  <r>
    <x v="0"/>
    <x v="0"/>
    <x v="32"/>
    <x v="3"/>
    <n v="2.6520000000000001"/>
    <x v="0"/>
  </r>
  <r>
    <x v="0"/>
    <x v="0"/>
    <x v="32"/>
    <x v="4"/>
    <n v="2.3969999999999998"/>
    <x v="0"/>
  </r>
  <r>
    <x v="0"/>
    <x v="0"/>
    <x v="33"/>
    <x v="0"/>
    <n v="12.318"/>
    <x v="0"/>
  </r>
  <r>
    <x v="0"/>
    <x v="0"/>
    <x v="33"/>
    <x v="1"/>
    <n v="15.202999999999999"/>
    <x v="0"/>
  </r>
  <r>
    <x v="0"/>
    <x v="0"/>
    <x v="33"/>
    <x v="2"/>
    <n v="17.405999999999999"/>
    <x v="0"/>
  </r>
  <r>
    <x v="0"/>
    <x v="0"/>
    <x v="33"/>
    <x v="3"/>
    <n v="17.818999999999999"/>
    <x v="0"/>
  </r>
  <r>
    <x v="0"/>
    <x v="0"/>
    <x v="33"/>
    <x v="4"/>
    <n v="20.829000000000001"/>
    <x v="0"/>
  </r>
  <r>
    <x v="0"/>
    <x v="0"/>
    <x v="34"/>
    <x v="0"/>
    <n v="0"/>
    <x v="0"/>
  </r>
  <r>
    <x v="0"/>
    <x v="0"/>
    <x v="34"/>
    <x v="1"/>
    <n v="0"/>
    <x v="0"/>
  </r>
  <r>
    <x v="0"/>
    <x v="0"/>
    <x v="34"/>
    <x v="2"/>
    <n v="0"/>
    <x v="0"/>
  </r>
  <r>
    <x v="0"/>
    <x v="0"/>
    <x v="34"/>
    <x v="3"/>
    <n v="0"/>
    <x v="0"/>
  </r>
  <r>
    <x v="0"/>
    <x v="0"/>
    <x v="34"/>
    <x v="4"/>
    <n v="0"/>
    <x v="0"/>
  </r>
  <r>
    <x v="0"/>
    <x v="0"/>
    <x v="35"/>
    <x v="0"/>
    <n v="283.34399999999999"/>
    <x v="0"/>
  </r>
  <r>
    <x v="0"/>
    <x v="0"/>
    <x v="35"/>
    <x v="1"/>
    <n v="403.30200000000002"/>
    <x v="0"/>
  </r>
  <r>
    <x v="0"/>
    <x v="0"/>
    <x v="35"/>
    <x v="2"/>
    <n v="407.75299999999999"/>
    <x v="0"/>
  </r>
  <r>
    <x v="0"/>
    <x v="0"/>
    <x v="35"/>
    <x v="3"/>
    <n v="438.226"/>
    <x v="0"/>
  </r>
  <r>
    <x v="0"/>
    <x v="0"/>
    <x v="35"/>
    <x v="4"/>
    <n v="442.26600000000002"/>
    <x v="0"/>
  </r>
  <r>
    <x v="0"/>
    <x v="0"/>
    <x v="36"/>
    <x v="0"/>
    <n v="105.17700000000001"/>
    <x v="0"/>
  </r>
  <r>
    <x v="0"/>
    <x v="0"/>
    <x v="36"/>
    <x v="1"/>
    <n v="102.69199999999999"/>
    <x v="0"/>
  </r>
  <r>
    <x v="0"/>
    <x v="0"/>
    <x v="36"/>
    <x v="2"/>
    <n v="102.86199999999999"/>
    <x v="0"/>
  </r>
  <r>
    <x v="0"/>
    <x v="0"/>
    <x v="36"/>
    <x v="3"/>
    <n v="97.233999999999995"/>
    <x v="0"/>
  </r>
  <r>
    <x v="0"/>
    <x v="0"/>
    <x v="36"/>
    <x v="4"/>
    <n v="95.495000000000005"/>
    <x v="0"/>
  </r>
  <r>
    <x v="0"/>
    <x v="0"/>
    <x v="37"/>
    <x v="0"/>
    <n v="0.12"/>
    <x v="0"/>
  </r>
  <r>
    <x v="0"/>
    <x v="0"/>
    <x v="37"/>
    <x v="1"/>
    <n v="0.24"/>
    <x v="0"/>
  </r>
  <r>
    <x v="0"/>
    <x v="0"/>
    <x v="37"/>
    <x v="2"/>
    <n v="0.24"/>
    <x v="0"/>
  </r>
  <r>
    <x v="0"/>
    <x v="0"/>
    <x v="37"/>
    <x v="3"/>
    <n v="0.2"/>
    <x v="0"/>
  </r>
  <r>
    <x v="0"/>
    <x v="0"/>
    <x v="37"/>
    <x v="4"/>
    <n v="0.28000000000000003"/>
    <x v="0"/>
  </r>
  <r>
    <x v="0"/>
    <x v="0"/>
    <x v="0"/>
    <x v="0"/>
    <n v="0"/>
    <x v="1"/>
  </r>
  <r>
    <x v="0"/>
    <x v="0"/>
    <x v="0"/>
    <x v="1"/>
    <n v="0"/>
    <x v="1"/>
  </r>
  <r>
    <x v="0"/>
    <x v="0"/>
    <x v="0"/>
    <x v="2"/>
    <n v="0"/>
    <x v="1"/>
  </r>
  <r>
    <x v="0"/>
    <x v="0"/>
    <x v="0"/>
    <x v="3"/>
    <n v="0"/>
    <x v="1"/>
  </r>
  <r>
    <x v="0"/>
    <x v="0"/>
    <x v="0"/>
    <x v="4"/>
    <n v="0"/>
    <x v="1"/>
  </r>
  <r>
    <x v="0"/>
    <x v="0"/>
    <x v="1"/>
    <x v="0"/>
    <n v="0"/>
    <x v="1"/>
  </r>
  <r>
    <x v="0"/>
    <x v="0"/>
    <x v="1"/>
    <x v="1"/>
    <n v="0"/>
    <x v="1"/>
  </r>
  <r>
    <x v="0"/>
    <x v="0"/>
    <x v="1"/>
    <x v="2"/>
    <n v="0"/>
    <x v="1"/>
  </r>
  <r>
    <x v="0"/>
    <x v="0"/>
    <x v="1"/>
    <x v="3"/>
    <n v="0"/>
    <x v="1"/>
  </r>
  <r>
    <x v="0"/>
    <x v="0"/>
    <x v="1"/>
    <x v="4"/>
    <n v="0"/>
    <x v="1"/>
  </r>
  <r>
    <x v="0"/>
    <x v="0"/>
    <x v="2"/>
    <x v="0"/>
    <n v="0"/>
    <x v="1"/>
  </r>
  <r>
    <x v="0"/>
    <x v="0"/>
    <x v="2"/>
    <x v="1"/>
    <n v="0"/>
    <x v="1"/>
  </r>
  <r>
    <x v="0"/>
    <x v="0"/>
    <x v="2"/>
    <x v="2"/>
    <n v="0"/>
    <x v="1"/>
  </r>
  <r>
    <x v="0"/>
    <x v="0"/>
    <x v="2"/>
    <x v="3"/>
    <n v="0"/>
    <x v="1"/>
  </r>
  <r>
    <x v="0"/>
    <x v="0"/>
    <x v="2"/>
    <x v="4"/>
    <n v="0"/>
    <x v="1"/>
  </r>
  <r>
    <x v="0"/>
    <x v="0"/>
    <x v="3"/>
    <x v="0"/>
    <n v="0.28199999999999997"/>
    <x v="1"/>
  </r>
  <r>
    <x v="0"/>
    <x v="0"/>
    <x v="3"/>
    <x v="1"/>
    <n v="0.23200000000000001"/>
    <x v="1"/>
  </r>
  <r>
    <x v="0"/>
    <x v="0"/>
    <x v="3"/>
    <x v="2"/>
    <n v="0.33300000000000002"/>
    <x v="1"/>
  </r>
  <r>
    <x v="0"/>
    <x v="0"/>
    <x v="3"/>
    <x v="3"/>
    <n v="1.075"/>
    <x v="1"/>
  </r>
  <r>
    <x v="0"/>
    <x v="0"/>
    <x v="3"/>
    <x v="4"/>
    <n v="0.64700000000000002"/>
    <x v="1"/>
  </r>
  <r>
    <x v="0"/>
    <x v="0"/>
    <x v="4"/>
    <x v="0"/>
    <n v="0"/>
    <x v="1"/>
  </r>
  <r>
    <x v="0"/>
    <x v="0"/>
    <x v="4"/>
    <x v="1"/>
    <n v="0"/>
    <x v="1"/>
  </r>
  <r>
    <x v="0"/>
    <x v="0"/>
    <x v="4"/>
    <x v="2"/>
    <n v="0"/>
    <x v="1"/>
  </r>
  <r>
    <x v="0"/>
    <x v="0"/>
    <x v="4"/>
    <x v="3"/>
    <n v="0"/>
    <x v="1"/>
  </r>
  <r>
    <x v="0"/>
    <x v="0"/>
    <x v="4"/>
    <x v="4"/>
    <n v="0"/>
    <x v="1"/>
  </r>
  <r>
    <x v="0"/>
    <x v="0"/>
    <x v="5"/>
    <x v="0"/>
    <n v="2.2690000000000001"/>
    <x v="1"/>
  </r>
  <r>
    <x v="0"/>
    <x v="0"/>
    <x v="5"/>
    <x v="1"/>
    <n v="2.79"/>
    <x v="1"/>
  </r>
  <r>
    <x v="0"/>
    <x v="0"/>
    <x v="5"/>
    <x v="2"/>
    <n v="3.01"/>
    <x v="1"/>
  </r>
  <r>
    <x v="0"/>
    <x v="0"/>
    <x v="5"/>
    <x v="3"/>
    <n v="3.5579999999999998"/>
    <x v="1"/>
  </r>
  <r>
    <x v="0"/>
    <x v="0"/>
    <x v="5"/>
    <x v="4"/>
    <n v="4.4580000000000002"/>
    <x v="1"/>
  </r>
  <r>
    <x v="0"/>
    <x v="0"/>
    <x v="6"/>
    <x v="0"/>
    <n v="15.689"/>
    <x v="1"/>
  </r>
  <r>
    <x v="0"/>
    <x v="0"/>
    <x v="6"/>
    <x v="1"/>
    <n v="16.984000000000002"/>
    <x v="1"/>
  </r>
  <r>
    <x v="0"/>
    <x v="0"/>
    <x v="6"/>
    <x v="2"/>
    <n v="33.582999999999998"/>
    <x v="1"/>
  </r>
  <r>
    <x v="0"/>
    <x v="0"/>
    <x v="6"/>
    <x v="3"/>
    <n v="32.177"/>
    <x v="1"/>
  </r>
  <r>
    <x v="0"/>
    <x v="0"/>
    <x v="6"/>
    <x v="4"/>
    <n v="29.375"/>
    <x v="1"/>
  </r>
  <r>
    <x v="0"/>
    <x v="0"/>
    <x v="7"/>
    <x v="0"/>
    <n v="7.3999999999999996E-2"/>
    <x v="1"/>
  </r>
  <r>
    <x v="0"/>
    <x v="0"/>
    <x v="7"/>
    <x v="1"/>
    <n v="9.8000000000000004E-2"/>
    <x v="1"/>
  </r>
  <r>
    <x v="0"/>
    <x v="0"/>
    <x v="7"/>
    <x v="2"/>
    <n v="9.7000000000000003E-2"/>
    <x v="1"/>
  </r>
  <r>
    <x v="0"/>
    <x v="0"/>
    <x v="7"/>
    <x v="3"/>
    <n v="7.2999999999999995E-2"/>
    <x v="1"/>
  </r>
  <r>
    <x v="0"/>
    <x v="0"/>
    <x v="7"/>
    <x v="4"/>
    <n v="0.122"/>
    <x v="1"/>
  </r>
  <r>
    <x v="0"/>
    <x v="0"/>
    <x v="8"/>
    <x v="0"/>
    <n v="0.57099999999999995"/>
    <x v="1"/>
  </r>
  <r>
    <x v="0"/>
    <x v="0"/>
    <x v="8"/>
    <x v="1"/>
    <n v="0.56299999999999994"/>
    <x v="1"/>
  </r>
  <r>
    <x v="0"/>
    <x v="0"/>
    <x v="8"/>
    <x v="2"/>
    <n v="0.71599999999999997"/>
    <x v="1"/>
  </r>
  <r>
    <x v="0"/>
    <x v="0"/>
    <x v="8"/>
    <x v="3"/>
    <n v="0.624"/>
    <x v="1"/>
  </r>
  <r>
    <x v="0"/>
    <x v="0"/>
    <x v="8"/>
    <x v="4"/>
    <n v="1.01"/>
    <x v="1"/>
  </r>
  <r>
    <x v="0"/>
    <x v="0"/>
    <x v="9"/>
    <x v="0"/>
    <n v="0"/>
    <x v="1"/>
  </r>
  <r>
    <x v="0"/>
    <x v="0"/>
    <x v="9"/>
    <x v="1"/>
    <n v="0"/>
    <x v="1"/>
  </r>
  <r>
    <x v="0"/>
    <x v="0"/>
    <x v="9"/>
    <x v="2"/>
    <n v="0"/>
    <x v="1"/>
  </r>
  <r>
    <x v="0"/>
    <x v="0"/>
    <x v="9"/>
    <x v="3"/>
    <n v="0"/>
    <x v="1"/>
  </r>
  <r>
    <x v="0"/>
    <x v="0"/>
    <x v="9"/>
    <x v="4"/>
    <n v="0"/>
    <x v="1"/>
  </r>
  <r>
    <x v="0"/>
    <x v="0"/>
    <x v="10"/>
    <x v="0"/>
    <n v="0"/>
    <x v="1"/>
  </r>
  <r>
    <x v="0"/>
    <x v="0"/>
    <x v="10"/>
    <x v="1"/>
    <n v="0"/>
    <x v="1"/>
  </r>
  <r>
    <x v="0"/>
    <x v="0"/>
    <x v="10"/>
    <x v="2"/>
    <n v="0"/>
    <x v="1"/>
  </r>
  <r>
    <x v="0"/>
    <x v="0"/>
    <x v="10"/>
    <x v="3"/>
    <n v="0"/>
    <x v="1"/>
  </r>
  <r>
    <x v="0"/>
    <x v="0"/>
    <x v="10"/>
    <x v="4"/>
    <n v="0"/>
    <x v="1"/>
  </r>
  <r>
    <x v="0"/>
    <x v="0"/>
    <x v="11"/>
    <x v="0"/>
    <n v="10.071"/>
    <x v="1"/>
  </r>
  <r>
    <x v="0"/>
    <x v="0"/>
    <x v="11"/>
    <x v="1"/>
    <n v="10.945"/>
    <x v="1"/>
  </r>
  <r>
    <x v="0"/>
    <x v="0"/>
    <x v="11"/>
    <x v="2"/>
    <n v="10.994999999999999"/>
    <x v="1"/>
  </r>
  <r>
    <x v="0"/>
    <x v="0"/>
    <x v="11"/>
    <x v="3"/>
    <n v="9.0210000000000008"/>
    <x v="1"/>
  </r>
  <r>
    <x v="0"/>
    <x v="0"/>
    <x v="11"/>
    <x v="4"/>
    <n v="10.35"/>
    <x v="1"/>
  </r>
  <r>
    <x v="0"/>
    <x v="0"/>
    <x v="12"/>
    <x v="0"/>
    <n v="9.49"/>
    <x v="1"/>
  </r>
  <r>
    <x v="0"/>
    <x v="0"/>
    <x v="12"/>
    <x v="1"/>
    <n v="10.842000000000001"/>
    <x v="1"/>
  </r>
  <r>
    <x v="0"/>
    <x v="0"/>
    <x v="12"/>
    <x v="2"/>
    <n v="8.58"/>
    <x v="1"/>
  </r>
  <r>
    <x v="0"/>
    <x v="0"/>
    <x v="12"/>
    <x v="3"/>
    <n v="0"/>
    <x v="1"/>
  </r>
  <r>
    <x v="0"/>
    <x v="0"/>
    <x v="12"/>
    <x v="4"/>
    <n v="0"/>
    <x v="1"/>
  </r>
  <r>
    <x v="0"/>
    <x v="0"/>
    <x v="13"/>
    <x v="0"/>
    <n v="0"/>
    <x v="1"/>
  </r>
  <r>
    <x v="0"/>
    <x v="0"/>
    <x v="13"/>
    <x v="1"/>
    <n v="0"/>
    <x v="1"/>
  </r>
  <r>
    <x v="0"/>
    <x v="0"/>
    <x v="13"/>
    <x v="2"/>
    <n v="0"/>
    <x v="1"/>
  </r>
  <r>
    <x v="0"/>
    <x v="0"/>
    <x v="13"/>
    <x v="3"/>
    <n v="0"/>
    <x v="1"/>
  </r>
  <r>
    <x v="0"/>
    <x v="0"/>
    <x v="13"/>
    <x v="4"/>
    <n v="0"/>
    <x v="1"/>
  </r>
  <r>
    <x v="0"/>
    <x v="0"/>
    <x v="14"/>
    <x v="0"/>
    <n v="0.10100000000000001"/>
    <x v="1"/>
  </r>
  <r>
    <x v="0"/>
    <x v="0"/>
    <x v="14"/>
    <x v="1"/>
    <n v="0.89500000000000002"/>
    <x v="1"/>
  </r>
  <r>
    <x v="0"/>
    <x v="0"/>
    <x v="14"/>
    <x v="2"/>
    <n v="1.617"/>
    <x v="1"/>
  </r>
  <r>
    <x v="0"/>
    <x v="0"/>
    <x v="14"/>
    <x v="3"/>
    <n v="1.63"/>
    <x v="1"/>
  </r>
  <r>
    <x v="0"/>
    <x v="0"/>
    <x v="14"/>
    <x v="4"/>
    <n v="1.5920000000000001"/>
    <x v="1"/>
  </r>
  <r>
    <x v="0"/>
    <x v="0"/>
    <x v="15"/>
    <x v="0"/>
    <n v="0"/>
    <x v="1"/>
  </r>
  <r>
    <x v="0"/>
    <x v="0"/>
    <x v="15"/>
    <x v="1"/>
    <n v="0"/>
    <x v="1"/>
  </r>
  <r>
    <x v="0"/>
    <x v="0"/>
    <x v="15"/>
    <x v="2"/>
    <n v="0"/>
    <x v="1"/>
  </r>
  <r>
    <x v="0"/>
    <x v="0"/>
    <x v="15"/>
    <x v="3"/>
    <n v="0"/>
    <x v="1"/>
  </r>
  <r>
    <x v="0"/>
    <x v="0"/>
    <x v="15"/>
    <x v="4"/>
    <n v="0"/>
    <x v="1"/>
  </r>
  <r>
    <x v="0"/>
    <x v="0"/>
    <x v="16"/>
    <x v="0"/>
    <n v="0"/>
    <x v="1"/>
  </r>
  <r>
    <x v="0"/>
    <x v="0"/>
    <x v="16"/>
    <x v="1"/>
    <n v="0"/>
    <x v="1"/>
  </r>
  <r>
    <x v="0"/>
    <x v="0"/>
    <x v="16"/>
    <x v="2"/>
    <n v="0"/>
    <x v="1"/>
  </r>
  <r>
    <x v="0"/>
    <x v="0"/>
    <x v="16"/>
    <x v="3"/>
    <n v="0"/>
    <x v="1"/>
  </r>
  <r>
    <x v="0"/>
    <x v="0"/>
    <x v="16"/>
    <x v="4"/>
    <n v="0"/>
    <x v="1"/>
  </r>
  <r>
    <x v="0"/>
    <x v="0"/>
    <x v="17"/>
    <x v="0"/>
    <n v="0"/>
    <x v="1"/>
  </r>
  <r>
    <x v="0"/>
    <x v="0"/>
    <x v="17"/>
    <x v="1"/>
    <n v="0"/>
    <x v="1"/>
  </r>
  <r>
    <x v="0"/>
    <x v="0"/>
    <x v="17"/>
    <x v="2"/>
    <n v="0"/>
    <x v="1"/>
  </r>
  <r>
    <x v="0"/>
    <x v="0"/>
    <x v="17"/>
    <x v="3"/>
    <n v="0"/>
    <x v="1"/>
  </r>
  <r>
    <x v="0"/>
    <x v="0"/>
    <x v="17"/>
    <x v="4"/>
    <n v="0"/>
    <x v="1"/>
  </r>
  <r>
    <x v="0"/>
    <x v="0"/>
    <x v="18"/>
    <x v="0"/>
    <n v="0.20399999999999999"/>
    <x v="1"/>
  </r>
  <r>
    <x v="0"/>
    <x v="0"/>
    <x v="18"/>
    <x v="1"/>
    <n v="0.53200000000000003"/>
    <x v="1"/>
  </r>
  <r>
    <x v="0"/>
    <x v="0"/>
    <x v="18"/>
    <x v="2"/>
    <n v="0.22600000000000001"/>
    <x v="1"/>
  </r>
  <r>
    <x v="0"/>
    <x v="0"/>
    <x v="18"/>
    <x v="3"/>
    <n v="0.27"/>
    <x v="1"/>
  </r>
  <r>
    <x v="0"/>
    <x v="0"/>
    <x v="18"/>
    <x v="4"/>
    <n v="0.26900000000000002"/>
    <x v="1"/>
  </r>
  <r>
    <x v="0"/>
    <x v="0"/>
    <x v="19"/>
    <x v="0"/>
    <n v="0"/>
    <x v="1"/>
  </r>
  <r>
    <x v="0"/>
    <x v="0"/>
    <x v="19"/>
    <x v="1"/>
    <n v="0"/>
    <x v="1"/>
  </r>
  <r>
    <x v="0"/>
    <x v="0"/>
    <x v="19"/>
    <x v="2"/>
    <n v="0"/>
    <x v="1"/>
  </r>
  <r>
    <x v="0"/>
    <x v="0"/>
    <x v="19"/>
    <x v="3"/>
    <n v="0"/>
    <x v="1"/>
  </r>
  <r>
    <x v="0"/>
    <x v="0"/>
    <x v="19"/>
    <x v="4"/>
    <n v="0"/>
    <x v="1"/>
  </r>
  <r>
    <x v="0"/>
    <x v="0"/>
    <x v="20"/>
    <x v="0"/>
    <n v="7.1999999999999995E-2"/>
    <x v="1"/>
  </r>
  <r>
    <x v="0"/>
    <x v="0"/>
    <x v="20"/>
    <x v="1"/>
    <n v="9.6000000000000002E-2"/>
    <x v="1"/>
  </r>
  <r>
    <x v="0"/>
    <x v="0"/>
    <x v="20"/>
    <x v="2"/>
    <n v="7.9000000000000001E-2"/>
    <x v="1"/>
  </r>
  <r>
    <x v="0"/>
    <x v="0"/>
    <x v="20"/>
    <x v="3"/>
    <n v="0.14099999999999999"/>
    <x v="1"/>
  </r>
  <r>
    <x v="0"/>
    <x v="0"/>
    <x v="20"/>
    <x v="4"/>
    <n v="0.16700000000000001"/>
    <x v="1"/>
  </r>
  <r>
    <x v="0"/>
    <x v="0"/>
    <x v="21"/>
    <x v="0"/>
    <n v="7.1999999999999995E-2"/>
    <x v="1"/>
  </r>
  <r>
    <x v="0"/>
    <x v="0"/>
    <x v="21"/>
    <x v="1"/>
    <n v="0.34"/>
    <x v="1"/>
  </r>
  <r>
    <x v="0"/>
    <x v="0"/>
    <x v="21"/>
    <x v="2"/>
    <n v="7.1999999999999995E-2"/>
    <x v="1"/>
  </r>
  <r>
    <x v="0"/>
    <x v="0"/>
    <x v="21"/>
    <x v="3"/>
    <n v="7.1999999999999995E-2"/>
    <x v="1"/>
  </r>
  <r>
    <x v="0"/>
    <x v="0"/>
    <x v="21"/>
    <x v="4"/>
    <n v="7.3999999999999996E-2"/>
    <x v="1"/>
  </r>
  <r>
    <x v="0"/>
    <x v="0"/>
    <x v="22"/>
    <x v="0"/>
    <n v="0"/>
    <x v="1"/>
  </r>
  <r>
    <x v="0"/>
    <x v="0"/>
    <x v="22"/>
    <x v="1"/>
    <n v="0"/>
    <x v="1"/>
  </r>
  <r>
    <x v="0"/>
    <x v="0"/>
    <x v="22"/>
    <x v="2"/>
    <n v="0"/>
    <x v="1"/>
  </r>
  <r>
    <x v="0"/>
    <x v="0"/>
    <x v="22"/>
    <x v="3"/>
    <n v="0"/>
    <x v="1"/>
  </r>
  <r>
    <x v="0"/>
    <x v="0"/>
    <x v="22"/>
    <x v="4"/>
    <n v="0"/>
    <x v="1"/>
  </r>
  <r>
    <x v="0"/>
    <x v="0"/>
    <x v="23"/>
    <x v="0"/>
    <n v="0"/>
    <x v="1"/>
  </r>
  <r>
    <x v="0"/>
    <x v="0"/>
    <x v="23"/>
    <x v="1"/>
    <n v="0"/>
    <x v="1"/>
  </r>
  <r>
    <x v="0"/>
    <x v="0"/>
    <x v="23"/>
    <x v="2"/>
    <n v="0"/>
    <x v="1"/>
  </r>
  <r>
    <x v="0"/>
    <x v="0"/>
    <x v="23"/>
    <x v="3"/>
    <n v="0"/>
    <x v="1"/>
  </r>
  <r>
    <x v="0"/>
    <x v="0"/>
    <x v="23"/>
    <x v="4"/>
    <n v="0"/>
    <x v="1"/>
  </r>
  <r>
    <x v="0"/>
    <x v="0"/>
    <x v="24"/>
    <x v="0"/>
    <s v="NULL"/>
    <x v="1"/>
  </r>
  <r>
    <x v="0"/>
    <x v="0"/>
    <x v="24"/>
    <x v="1"/>
    <s v="NULL"/>
    <x v="1"/>
  </r>
  <r>
    <x v="0"/>
    <x v="0"/>
    <x v="24"/>
    <x v="2"/>
    <n v="0"/>
    <x v="1"/>
  </r>
  <r>
    <x v="0"/>
    <x v="0"/>
    <x v="24"/>
    <x v="3"/>
    <n v="0"/>
    <x v="1"/>
  </r>
  <r>
    <x v="0"/>
    <x v="0"/>
    <x v="24"/>
    <x v="4"/>
    <n v="0"/>
    <x v="1"/>
  </r>
  <r>
    <x v="0"/>
    <x v="0"/>
    <x v="25"/>
    <x v="0"/>
    <n v="0"/>
    <x v="1"/>
  </r>
  <r>
    <x v="0"/>
    <x v="0"/>
    <x v="25"/>
    <x v="1"/>
    <n v="0"/>
    <x v="1"/>
  </r>
  <r>
    <x v="0"/>
    <x v="0"/>
    <x v="25"/>
    <x v="2"/>
    <n v="0"/>
    <x v="1"/>
  </r>
  <r>
    <x v="0"/>
    <x v="0"/>
    <x v="25"/>
    <x v="3"/>
    <n v="0"/>
    <x v="1"/>
  </r>
  <r>
    <x v="0"/>
    <x v="0"/>
    <x v="25"/>
    <x v="4"/>
    <n v="0"/>
    <x v="1"/>
  </r>
  <r>
    <x v="0"/>
    <x v="0"/>
    <x v="26"/>
    <x v="0"/>
    <n v="0"/>
    <x v="1"/>
  </r>
  <r>
    <x v="0"/>
    <x v="0"/>
    <x v="26"/>
    <x v="1"/>
    <n v="0"/>
    <x v="1"/>
  </r>
  <r>
    <x v="0"/>
    <x v="0"/>
    <x v="26"/>
    <x v="2"/>
    <n v="0"/>
    <x v="1"/>
  </r>
  <r>
    <x v="0"/>
    <x v="0"/>
    <x v="26"/>
    <x v="3"/>
    <n v="0"/>
    <x v="1"/>
  </r>
  <r>
    <x v="0"/>
    <x v="0"/>
    <x v="26"/>
    <x v="4"/>
    <n v="0"/>
    <x v="1"/>
  </r>
  <r>
    <x v="0"/>
    <x v="0"/>
    <x v="27"/>
    <x v="0"/>
    <n v="105.89100000000001"/>
    <x v="1"/>
  </r>
  <r>
    <x v="0"/>
    <x v="0"/>
    <x v="27"/>
    <x v="1"/>
    <n v="116.05500000000001"/>
    <x v="1"/>
  </r>
  <r>
    <x v="0"/>
    <x v="0"/>
    <x v="27"/>
    <x v="2"/>
    <n v="121.54900000000001"/>
    <x v="1"/>
  </r>
  <r>
    <x v="0"/>
    <x v="0"/>
    <x v="27"/>
    <x v="3"/>
    <n v="112.765"/>
    <x v="1"/>
  </r>
  <r>
    <x v="0"/>
    <x v="0"/>
    <x v="27"/>
    <x v="4"/>
    <n v="139.28800000000001"/>
    <x v="1"/>
  </r>
  <r>
    <x v="0"/>
    <x v="0"/>
    <x v="28"/>
    <x v="0"/>
    <n v="0"/>
    <x v="1"/>
  </r>
  <r>
    <x v="0"/>
    <x v="0"/>
    <x v="28"/>
    <x v="1"/>
    <n v="0"/>
    <x v="1"/>
  </r>
  <r>
    <x v="0"/>
    <x v="0"/>
    <x v="28"/>
    <x v="2"/>
    <n v="0"/>
    <x v="1"/>
  </r>
  <r>
    <x v="0"/>
    <x v="0"/>
    <x v="28"/>
    <x v="3"/>
    <n v="0"/>
    <x v="1"/>
  </r>
  <r>
    <x v="0"/>
    <x v="0"/>
    <x v="28"/>
    <x v="4"/>
    <n v="0"/>
    <x v="1"/>
  </r>
  <r>
    <x v="0"/>
    <x v="0"/>
    <x v="29"/>
    <x v="0"/>
    <n v="0.26900000000000002"/>
    <x v="1"/>
  </r>
  <r>
    <x v="0"/>
    <x v="0"/>
    <x v="29"/>
    <x v="1"/>
    <n v="0.19"/>
    <x v="1"/>
  </r>
  <r>
    <x v="0"/>
    <x v="0"/>
    <x v="29"/>
    <x v="2"/>
    <n v="8.5999999999999993E-2"/>
    <x v="1"/>
  </r>
  <r>
    <x v="0"/>
    <x v="0"/>
    <x v="29"/>
    <x v="3"/>
    <n v="0.126"/>
    <x v="1"/>
  </r>
  <r>
    <x v="0"/>
    <x v="0"/>
    <x v="29"/>
    <x v="4"/>
    <n v="0.13400000000000001"/>
    <x v="1"/>
  </r>
  <r>
    <x v="0"/>
    <x v="0"/>
    <x v="30"/>
    <x v="0"/>
    <n v="4.1500000000000004"/>
    <x v="1"/>
  </r>
  <r>
    <x v="0"/>
    <x v="0"/>
    <x v="30"/>
    <x v="1"/>
    <n v="7.016"/>
    <x v="1"/>
  </r>
  <r>
    <x v="0"/>
    <x v="0"/>
    <x v="30"/>
    <x v="2"/>
    <n v="5.9080000000000004"/>
    <x v="1"/>
  </r>
  <r>
    <x v="0"/>
    <x v="0"/>
    <x v="30"/>
    <x v="3"/>
    <n v="6.6"/>
    <x v="1"/>
  </r>
  <r>
    <x v="0"/>
    <x v="0"/>
    <x v="30"/>
    <x v="4"/>
    <n v="5.9850000000000003"/>
    <x v="1"/>
  </r>
  <r>
    <x v="0"/>
    <x v="0"/>
    <x v="31"/>
    <x v="0"/>
    <n v="1.5529999999999999"/>
    <x v="1"/>
  </r>
  <r>
    <x v="0"/>
    <x v="0"/>
    <x v="31"/>
    <x v="1"/>
    <n v="1.825"/>
    <x v="1"/>
  </r>
  <r>
    <x v="0"/>
    <x v="0"/>
    <x v="31"/>
    <x v="2"/>
    <n v="1.462"/>
    <x v="1"/>
  </r>
  <r>
    <x v="0"/>
    <x v="0"/>
    <x v="31"/>
    <x v="3"/>
    <n v="2.3940000000000001"/>
    <x v="1"/>
  </r>
  <r>
    <x v="0"/>
    <x v="0"/>
    <x v="31"/>
    <x v="4"/>
    <n v="1.85"/>
    <x v="1"/>
  </r>
  <r>
    <x v="0"/>
    <x v="0"/>
    <x v="32"/>
    <x v="0"/>
    <n v="7.4999999999999997E-2"/>
    <x v="1"/>
  </r>
  <r>
    <x v="0"/>
    <x v="0"/>
    <x v="32"/>
    <x v="1"/>
    <n v="0"/>
    <x v="1"/>
  </r>
  <r>
    <x v="0"/>
    <x v="0"/>
    <x v="32"/>
    <x v="2"/>
    <n v="0"/>
    <x v="1"/>
  </r>
  <r>
    <x v="0"/>
    <x v="0"/>
    <x v="32"/>
    <x v="3"/>
    <n v="0"/>
    <x v="1"/>
  </r>
  <r>
    <x v="0"/>
    <x v="0"/>
    <x v="32"/>
    <x v="4"/>
    <n v="0"/>
    <x v="1"/>
  </r>
  <r>
    <x v="0"/>
    <x v="0"/>
    <x v="33"/>
    <x v="0"/>
    <n v="6.8000000000000005E-2"/>
    <x v="1"/>
  </r>
  <r>
    <x v="0"/>
    <x v="0"/>
    <x v="33"/>
    <x v="1"/>
    <n v="0.13800000000000001"/>
    <x v="1"/>
  </r>
  <r>
    <x v="0"/>
    <x v="0"/>
    <x v="33"/>
    <x v="2"/>
    <n v="0.13700000000000001"/>
    <x v="1"/>
  </r>
  <r>
    <x v="0"/>
    <x v="0"/>
    <x v="33"/>
    <x v="3"/>
    <n v="0.13900000000000001"/>
    <x v="1"/>
  </r>
  <r>
    <x v="0"/>
    <x v="0"/>
    <x v="33"/>
    <x v="4"/>
    <n v="0.16400000000000001"/>
    <x v="1"/>
  </r>
  <r>
    <x v="0"/>
    <x v="0"/>
    <x v="34"/>
    <x v="0"/>
    <n v="0"/>
    <x v="1"/>
  </r>
  <r>
    <x v="0"/>
    <x v="0"/>
    <x v="34"/>
    <x v="1"/>
    <n v="0"/>
    <x v="1"/>
  </r>
  <r>
    <x v="0"/>
    <x v="0"/>
    <x v="34"/>
    <x v="2"/>
    <n v="0"/>
    <x v="1"/>
  </r>
  <r>
    <x v="0"/>
    <x v="0"/>
    <x v="34"/>
    <x v="3"/>
    <n v="0"/>
    <x v="1"/>
  </r>
  <r>
    <x v="0"/>
    <x v="0"/>
    <x v="34"/>
    <x v="4"/>
    <n v="0"/>
    <x v="1"/>
  </r>
  <r>
    <x v="0"/>
    <x v="0"/>
    <x v="35"/>
    <x v="0"/>
    <n v="26.792999999999999"/>
    <x v="1"/>
  </r>
  <r>
    <x v="0"/>
    <x v="0"/>
    <x v="35"/>
    <x v="1"/>
    <n v="28.451000000000001"/>
    <x v="1"/>
  </r>
  <r>
    <x v="0"/>
    <x v="0"/>
    <x v="35"/>
    <x v="2"/>
    <n v="30.135000000000002"/>
    <x v="1"/>
  </r>
  <r>
    <x v="0"/>
    <x v="0"/>
    <x v="35"/>
    <x v="3"/>
    <n v="31.048999999999999"/>
    <x v="1"/>
  </r>
  <r>
    <x v="0"/>
    <x v="0"/>
    <x v="35"/>
    <x v="4"/>
    <n v="32.886000000000003"/>
    <x v="1"/>
  </r>
  <r>
    <x v="0"/>
    <x v="0"/>
    <x v="36"/>
    <x v="0"/>
    <n v="13.108000000000001"/>
    <x v="1"/>
  </r>
  <r>
    <x v="0"/>
    <x v="0"/>
    <x v="36"/>
    <x v="1"/>
    <n v="15.52"/>
    <x v="1"/>
  </r>
  <r>
    <x v="0"/>
    <x v="0"/>
    <x v="36"/>
    <x v="2"/>
    <n v="11.755000000000001"/>
    <x v="1"/>
  </r>
  <r>
    <x v="0"/>
    <x v="0"/>
    <x v="36"/>
    <x v="3"/>
    <n v="14.326000000000001"/>
    <x v="1"/>
  </r>
  <r>
    <x v="0"/>
    <x v="0"/>
    <x v="36"/>
    <x v="4"/>
    <n v="12.547000000000001"/>
    <x v="1"/>
  </r>
  <r>
    <x v="0"/>
    <x v="0"/>
    <x v="37"/>
    <x v="0"/>
    <n v="0"/>
    <x v="1"/>
  </r>
  <r>
    <x v="0"/>
    <x v="0"/>
    <x v="37"/>
    <x v="1"/>
    <n v="0"/>
    <x v="1"/>
  </r>
  <r>
    <x v="0"/>
    <x v="0"/>
    <x v="37"/>
    <x v="2"/>
    <n v="0"/>
    <x v="1"/>
  </r>
  <r>
    <x v="0"/>
    <x v="0"/>
    <x v="37"/>
    <x v="3"/>
    <n v="0"/>
    <x v="1"/>
  </r>
  <r>
    <x v="0"/>
    <x v="0"/>
    <x v="37"/>
    <x v="4"/>
    <n v="0"/>
    <x v="1"/>
  </r>
  <r>
    <x v="0"/>
    <x v="0"/>
    <x v="0"/>
    <x v="0"/>
    <n v="0.57699999999999996"/>
    <x v="2"/>
  </r>
  <r>
    <x v="0"/>
    <x v="0"/>
    <x v="0"/>
    <x v="1"/>
    <n v="0"/>
    <x v="2"/>
  </r>
  <r>
    <x v="0"/>
    <x v="0"/>
    <x v="0"/>
    <x v="2"/>
    <n v="0"/>
    <x v="2"/>
  </r>
  <r>
    <x v="0"/>
    <x v="0"/>
    <x v="0"/>
    <x v="3"/>
    <n v="0"/>
    <x v="2"/>
  </r>
  <r>
    <x v="0"/>
    <x v="0"/>
    <x v="0"/>
    <x v="4"/>
    <n v="0"/>
    <x v="2"/>
  </r>
  <r>
    <x v="0"/>
    <x v="0"/>
    <x v="1"/>
    <x v="0"/>
    <n v="1.4470000000000001"/>
    <x v="2"/>
  </r>
  <r>
    <x v="0"/>
    <x v="0"/>
    <x v="1"/>
    <x v="1"/>
    <n v="1.363"/>
    <x v="2"/>
  </r>
  <r>
    <x v="0"/>
    <x v="0"/>
    <x v="1"/>
    <x v="2"/>
    <n v="1.4430000000000001"/>
    <x v="2"/>
  </r>
  <r>
    <x v="0"/>
    <x v="0"/>
    <x v="1"/>
    <x v="3"/>
    <n v="1.1220000000000001"/>
    <x v="2"/>
  </r>
  <r>
    <x v="0"/>
    <x v="0"/>
    <x v="1"/>
    <x v="4"/>
    <n v="1.4830000000000001"/>
    <x v="2"/>
  </r>
  <r>
    <x v="0"/>
    <x v="0"/>
    <x v="2"/>
    <x v="0"/>
    <n v="0"/>
    <x v="2"/>
  </r>
  <r>
    <x v="0"/>
    <x v="0"/>
    <x v="2"/>
    <x v="1"/>
    <n v="0"/>
    <x v="2"/>
  </r>
  <r>
    <x v="0"/>
    <x v="0"/>
    <x v="2"/>
    <x v="2"/>
    <n v="0"/>
    <x v="2"/>
  </r>
  <r>
    <x v="0"/>
    <x v="0"/>
    <x v="2"/>
    <x v="3"/>
    <n v="0"/>
    <x v="2"/>
  </r>
  <r>
    <x v="0"/>
    <x v="0"/>
    <x v="2"/>
    <x v="4"/>
    <n v="0"/>
    <x v="2"/>
  </r>
  <r>
    <x v="0"/>
    <x v="0"/>
    <x v="3"/>
    <x v="0"/>
    <n v="0.26500000000000001"/>
    <x v="2"/>
  </r>
  <r>
    <x v="0"/>
    <x v="0"/>
    <x v="3"/>
    <x v="1"/>
    <n v="0.157"/>
    <x v="2"/>
  </r>
  <r>
    <x v="0"/>
    <x v="0"/>
    <x v="3"/>
    <x v="2"/>
    <n v="0.27700000000000002"/>
    <x v="2"/>
  </r>
  <r>
    <x v="0"/>
    <x v="0"/>
    <x v="3"/>
    <x v="3"/>
    <n v="0.45500000000000002"/>
    <x v="2"/>
  </r>
  <r>
    <x v="0"/>
    <x v="0"/>
    <x v="3"/>
    <x v="4"/>
    <n v="0.59299999999999997"/>
    <x v="2"/>
  </r>
  <r>
    <x v="0"/>
    <x v="0"/>
    <x v="4"/>
    <x v="0"/>
    <n v="0"/>
    <x v="2"/>
  </r>
  <r>
    <x v="0"/>
    <x v="0"/>
    <x v="4"/>
    <x v="1"/>
    <n v="0"/>
    <x v="2"/>
  </r>
  <r>
    <x v="0"/>
    <x v="0"/>
    <x v="4"/>
    <x v="2"/>
    <n v="0"/>
    <x v="2"/>
  </r>
  <r>
    <x v="0"/>
    <x v="0"/>
    <x v="4"/>
    <x v="3"/>
    <n v="0"/>
    <x v="2"/>
  </r>
  <r>
    <x v="0"/>
    <x v="0"/>
    <x v="4"/>
    <x v="4"/>
    <n v="0"/>
    <x v="2"/>
  </r>
  <r>
    <x v="0"/>
    <x v="0"/>
    <x v="5"/>
    <x v="0"/>
    <n v="0.16"/>
    <x v="2"/>
  </r>
  <r>
    <x v="0"/>
    <x v="0"/>
    <x v="5"/>
    <x v="1"/>
    <n v="0.36599999999999999"/>
    <x v="2"/>
  </r>
  <r>
    <x v="0"/>
    <x v="0"/>
    <x v="5"/>
    <x v="2"/>
    <n v="0.48299999999999998"/>
    <x v="2"/>
  </r>
  <r>
    <x v="0"/>
    <x v="0"/>
    <x v="5"/>
    <x v="3"/>
    <n v="0.52"/>
    <x v="2"/>
  </r>
  <r>
    <x v="0"/>
    <x v="0"/>
    <x v="5"/>
    <x v="4"/>
    <n v="0.88600000000000001"/>
    <x v="2"/>
  </r>
  <r>
    <x v="0"/>
    <x v="0"/>
    <x v="6"/>
    <x v="0"/>
    <n v="4.7080000000000002"/>
    <x v="2"/>
  </r>
  <r>
    <x v="0"/>
    <x v="0"/>
    <x v="6"/>
    <x v="1"/>
    <n v="5.7229999999999999"/>
    <x v="2"/>
  </r>
  <r>
    <x v="0"/>
    <x v="0"/>
    <x v="6"/>
    <x v="2"/>
    <n v="7.6689999999999996"/>
    <x v="2"/>
  </r>
  <r>
    <x v="0"/>
    <x v="0"/>
    <x v="6"/>
    <x v="3"/>
    <n v="5.3659999999999997"/>
    <x v="2"/>
  </r>
  <r>
    <x v="0"/>
    <x v="0"/>
    <x v="6"/>
    <x v="4"/>
    <n v="7.8150000000000004"/>
    <x v="2"/>
  </r>
  <r>
    <x v="0"/>
    <x v="0"/>
    <x v="7"/>
    <x v="0"/>
    <n v="1.526"/>
    <x v="2"/>
  </r>
  <r>
    <x v="0"/>
    <x v="0"/>
    <x v="7"/>
    <x v="1"/>
    <n v="1.526"/>
    <x v="2"/>
  </r>
  <r>
    <x v="0"/>
    <x v="0"/>
    <x v="7"/>
    <x v="2"/>
    <n v="1.774"/>
    <x v="2"/>
  </r>
  <r>
    <x v="0"/>
    <x v="0"/>
    <x v="7"/>
    <x v="3"/>
    <n v="1.9"/>
    <x v="2"/>
  </r>
  <r>
    <x v="0"/>
    <x v="0"/>
    <x v="7"/>
    <x v="4"/>
    <n v="3.3330000000000002"/>
    <x v="2"/>
  </r>
  <r>
    <x v="0"/>
    <x v="0"/>
    <x v="8"/>
    <x v="0"/>
    <n v="0.52"/>
    <x v="2"/>
  </r>
  <r>
    <x v="0"/>
    <x v="0"/>
    <x v="8"/>
    <x v="1"/>
    <n v="0.64"/>
    <x v="2"/>
  </r>
  <r>
    <x v="0"/>
    <x v="0"/>
    <x v="8"/>
    <x v="2"/>
    <n v="1.3620000000000001"/>
    <x v="2"/>
  </r>
  <r>
    <x v="0"/>
    <x v="0"/>
    <x v="8"/>
    <x v="3"/>
    <n v="1.52"/>
    <x v="2"/>
  </r>
  <r>
    <x v="0"/>
    <x v="0"/>
    <x v="8"/>
    <x v="4"/>
    <n v="2.12"/>
    <x v="2"/>
  </r>
  <r>
    <x v="0"/>
    <x v="0"/>
    <x v="9"/>
    <x v="0"/>
    <n v="0"/>
    <x v="2"/>
  </r>
  <r>
    <x v="0"/>
    <x v="0"/>
    <x v="9"/>
    <x v="1"/>
    <n v="0"/>
    <x v="2"/>
  </r>
  <r>
    <x v="0"/>
    <x v="0"/>
    <x v="9"/>
    <x v="2"/>
    <n v="0"/>
    <x v="2"/>
  </r>
  <r>
    <x v="0"/>
    <x v="0"/>
    <x v="9"/>
    <x v="3"/>
    <n v="0"/>
    <x v="2"/>
  </r>
  <r>
    <x v="0"/>
    <x v="0"/>
    <x v="9"/>
    <x v="4"/>
    <n v="0"/>
    <x v="2"/>
  </r>
  <r>
    <x v="0"/>
    <x v="0"/>
    <x v="10"/>
    <x v="0"/>
    <n v="0"/>
    <x v="2"/>
  </r>
  <r>
    <x v="0"/>
    <x v="0"/>
    <x v="10"/>
    <x v="1"/>
    <n v="0"/>
    <x v="2"/>
  </r>
  <r>
    <x v="0"/>
    <x v="0"/>
    <x v="10"/>
    <x v="2"/>
    <n v="0"/>
    <x v="2"/>
  </r>
  <r>
    <x v="0"/>
    <x v="0"/>
    <x v="10"/>
    <x v="3"/>
    <n v="0"/>
    <x v="2"/>
  </r>
  <r>
    <x v="0"/>
    <x v="0"/>
    <x v="10"/>
    <x v="4"/>
    <n v="0"/>
    <x v="2"/>
  </r>
  <r>
    <x v="0"/>
    <x v="0"/>
    <x v="11"/>
    <x v="0"/>
    <n v="5.3230000000000004"/>
    <x v="2"/>
  </r>
  <r>
    <x v="0"/>
    <x v="0"/>
    <x v="11"/>
    <x v="1"/>
    <n v="5.8879999999999999"/>
    <x v="2"/>
  </r>
  <r>
    <x v="0"/>
    <x v="0"/>
    <x v="11"/>
    <x v="2"/>
    <n v="9.782"/>
    <x v="2"/>
  </r>
  <r>
    <x v="0"/>
    <x v="0"/>
    <x v="11"/>
    <x v="3"/>
    <n v="9.9730000000000008"/>
    <x v="2"/>
  </r>
  <r>
    <x v="0"/>
    <x v="0"/>
    <x v="11"/>
    <x v="4"/>
    <n v="13.125999999999999"/>
    <x v="2"/>
  </r>
  <r>
    <x v="0"/>
    <x v="0"/>
    <x v="12"/>
    <x v="0"/>
    <n v="2.6139999999999999"/>
    <x v="2"/>
  </r>
  <r>
    <x v="0"/>
    <x v="0"/>
    <x v="12"/>
    <x v="1"/>
    <n v="6.0650000000000004"/>
    <x v="2"/>
  </r>
  <r>
    <x v="0"/>
    <x v="0"/>
    <x v="12"/>
    <x v="2"/>
    <n v="5.9269999999999996"/>
    <x v="2"/>
  </r>
  <r>
    <x v="0"/>
    <x v="0"/>
    <x v="12"/>
    <x v="3"/>
    <n v="0"/>
    <x v="2"/>
  </r>
  <r>
    <x v="0"/>
    <x v="0"/>
    <x v="12"/>
    <x v="4"/>
    <n v="0"/>
    <x v="2"/>
  </r>
  <r>
    <x v="0"/>
    <x v="0"/>
    <x v="13"/>
    <x v="0"/>
    <n v="0.248"/>
    <x v="2"/>
  </r>
  <r>
    <x v="0"/>
    <x v="0"/>
    <x v="13"/>
    <x v="1"/>
    <n v="0.371"/>
    <x v="2"/>
  </r>
  <r>
    <x v="0"/>
    <x v="0"/>
    <x v="13"/>
    <x v="2"/>
    <n v="0.68799999999999994"/>
    <x v="2"/>
  </r>
  <r>
    <x v="0"/>
    <x v="0"/>
    <x v="13"/>
    <x v="3"/>
    <n v="1.1739999999999999"/>
    <x v="2"/>
  </r>
  <r>
    <x v="0"/>
    <x v="0"/>
    <x v="13"/>
    <x v="4"/>
    <n v="1.1339999999999999"/>
    <x v="2"/>
  </r>
  <r>
    <x v="0"/>
    <x v="0"/>
    <x v="14"/>
    <x v="0"/>
    <n v="0.17"/>
    <x v="2"/>
  </r>
  <r>
    <x v="0"/>
    <x v="0"/>
    <x v="14"/>
    <x v="1"/>
    <n v="0.20799999999999999"/>
    <x v="2"/>
  </r>
  <r>
    <x v="0"/>
    <x v="0"/>
    <x v="14"/>
    <x v="2"/>
    <n v="0.24"/>
    <x v="2"/>
  </r>
  <r>
    <x v="0"/>
    <x v="0"/>
    <x v="14"/>
    <x v="3"/>
    <n v="0.16"/>
    <x v="2"/>
  </r>
  <r>
    <x v="0"/>
    <x v="0"/>
    <x v="14"/>
    <x v="4"/>
    <n v="0.24"/>
    <x v="2"/>
  </r>
  <r>
    <x v="0"/>
    <x v="0"/>
    <x v="15"/>
    <x v="0"/>
    <n v="0"/>
    <x v="2"/>
  </r>
  <r>
    <x v="0"/>
    <x v="0"/>
    <x v="15"/>
    <x v="1"/>
    <n v="0"/>
    <x v="2"/>
  </r>
  <r>
    <x v="0"/>
    <x v="0"/>
    <x v="15"/>
    <x v="2"/>
    <n v="0"/>
    <x v="2"/>
  </r>
  <r>
    <x v="0"/>
    <x v="0"/>
    <x v="15"/>
    <x v="3"/>
    <n v="0"/>
    <x v="2"/>
  </r>
  <r>
    <x v="0"/>
    <x v="0"/>
    <x v="15"/>
    <x v="4"/>
    <n v="0"/>
    <x v="2"/>
  </r>
  <r>
    <x v="0"/>
    <x v="0"/>
    <x v="16"/>
    <x v="0"/>
    <n v="0"/>
    <x v="2"/>
  </r>
  <r>
    <x v="0"/>
    <x v="0"/>
    <x v="16"/>
    <x v="1"/>
    <n v="0"/>
    <x v="2"/>
  </r>
  <r>
    <x v="0"/>
    <x v="0"/>
    <x v="16"/>
    <x v="2"/>
    <n v="0"/>
    <x v="2"/>
  </r>
  <r>
    <x v="0"/>
    <x v="0"/>
    <x v="16"/>
    <x v="3"/>
    <n v="0"/>
    <x v="2"/>
  </r>
  <r>
    <x v="0"/>
    <x v="0"/>
    <x v="16"/>
    <x v="4"/>
    <n v="0"/>
    <x v="2"/>
  </r>
  <r>
    <x v="0"/>
    <x v="0"/>
    <x v="17"/>
    <x v="0"/>
    <n v="0"/>
    <x v="2"/>
  </r>
  <r>
    <x v="0"/>
    <x v="0"/>
    <x v="17"/>
    <x v="1"/>
    <n v="0"/>
    <x v="2"/>
  </r>
  <r>
    <x v="0"/>
    <x v="0"/>
    <x v="17"/>
    <x v="2"/>
    <n v="0"/>
    <x v="2"/>
  </r>
  <r>
    <x v="0"/>
    <x v="0"/>
    <x v="17"/>
    <x v="3"/>
    <n v="0"/>
    <x v="2"/>
  </r>
  <r>
    <x v="0"/>
    <x v="0"/>
    <x v="17"/>
    <x v="4"/>
    <n v="0"/>
    <x v="2"/>
  </r>
  <r>
    <x v="0"/>
    <x v="0"/>
    <x v="18"/>
    <x v="0"/>
    <n v="0.53600000000000003"/>
    <x v="2"/>
  </r>
  <r>
    <x v="0"/>
    <x v="0"/>
    <x v="18"/>
    <x v="1"/>
    <n v="0.496"/>
    <x v="2"/>
  </r>
  <r>
    <x v="0"/>
    <x v="0"/>
    <x v="18"/>
    <x v="2"/>
    <n v="0.65600000000000003"/>
    <x v="2"/>
  </r>
  <r>
    <x v="0"/>
    <x v="0"/>
    <x v="18"/>
    <x v="3"/>
    <n v="0.53600000000000003"/>
    <x v="2"/>
  </r>
  <r>
    <x v="0"/>
    <x v="0"/>
    <x v="18"/>
    <x v="4"/>
    <n v="0.81599999999999995"/>
    <x v="2"/>
  </r>
  <r>
    <x v="0"/>
    <x v="0"/>
    <x v="19"/>
    <x v="0"/>
    <n v="0"/>
    <x v="2"/>
  </r>
  <r>
    <x v="0"/>
    <x v="0"/>
    <x v="19"/>
    <x v="1"/>
    <n v="0"/>
    <x v="2"/>
  </r>
  <r>
    <x v="0"/>
    <x v="0"/>
    <x v="19"/>
    <x v="2"/>
    <n v="0"/>
    <x v="2"/>
  </r>
  <r>
    <x v="0"/>
    <x v="0"/>
    <x v="19"/>
    <x v="3"/>
    <n v="0"/>
    <x v="2"/>
  </r>
  <r>
    <x v="0"/>
    <x v="0"/>
    <x v="19"/>
    <x v="4"/>
    <n v="0"/>
    <x v="2"/>
  </r>
  <r>
    <x v="0"/>
    <x v="0"/>
    <x v="20"/>
    <x v="0"/>
    <n v="0"/>
    <x v="2"/>
  </r>
  <r>
    <x v="0"/>
    <x v="0"/>
    <x v="20"/>
    <x v="1"/>
    <n v="8.5000000000000006E-2"/>
    <x v="2"/>
  </r>
  <r>
    <x v="0"/>
    <x v="0"/>
    <x v="20"/>
    <x v="2"/>
    <n v="0.32700000000000001"/>
    <x v="2"/>
  </r>
  <r>
    <x v="0"/>
    <x v="0"/>
    <x v="20"/>
    <x v="3"/>
    <n v="0.40200000000000002"/>
    <x v="2"/>
  </r>
  <r>
    <x v="0"/>
    <x v="0"/>
    <x v="20"/>
    <x v="4"/>
    <n v="0.52"/>
    <x v="2"/>
  </r>
  <r>
    <x v="0"/>
    <x v="0"/>
    <x v="21"/>
    <x v="0"/>
    <n v="0"/>
    <x v="2"/>
  </r>
  <r>
    <x v="0"/>
    <x v="0"/>
    <x v="21"/>
    <x v="1"/>
    <n v="4.2999999999999997E-2"/>
    <x v="2"/>
  </r>
  <r>
    <x v="0"/>
    <x v="0"/>
    <x v="21"/>
    <x v="2"/>
    <n v="0.04"/>
    <x v="2"/>
  </r>
  <r>
    <x v="0"/>
    <x v="0"/>
    <x v="21"/>
    <x v="3"/>
    <n v="0.04"/>
    <x v="2"/>
  </r>
  <r>
    <x v="0"/>
    <x v="0"/>
    <x v="21"/>
    <x v="4"/>
    <n v="0.123"/>
    <x v="2"/>
  </r>
  <r>
    <x v="0"/>
    <x v="0"/>
    <x v="22"/>
    <x v="0"/>
    <n v="0"/>
    <x v="2"/>
  </r>
  <r>
    <x v="0"/>
    <x v="0"/>
    <x v="22"/>
    <x v="1"/>
    <n v="0"/>
    <x v="2"/>
  </r>
  <r>
    <x v="0"/>
    <x v="0"/>
    <x v="22"/>
    <x v="2"/>
    <n v="0"/>
    <x v="2"/>
  </r>
  <r>
    <x v="0"/>
    <x v="0"/>
    <x v="22"/>
    <x v="3"/>
    <n v="0"/>
    <x v="2"/>
  </r>
  <r>
    <x v="0"/>
    <x v="0"/>
    <x v="22"/>
    <x v="4"/>
    <n v="0"/>
    <x v="2"/>
  </r>
  <r>
    <x v="0"/>
    <x v="0"/>
    <x v="23"/>
    <x v="0"/>
    <n v="0"/>
    <x v="2"/>
  </r>
  <r>
    <x v="0"/>
    <x v="0"/>
    <x v="23"/>
    <x v="1"/>
    <n v="0.08"/>
    <x v="2"/>
  </r>
  <r>
    <x v="0"/>
    <x v="0"/>
    <x v="23"/>
    <x v="2"/>
    <n v="0.68"/>
    <x v="2"/>
  </r>
  <r>
    <x v="0"/>
    <x v="0"/>
    <x v="23"/>
    <x v="3"/>
    <n v="0.72"/>
    <x v="2"/>
  </r>
  <r>
    <x v="0"/>
    <x v="0"/>
    <x v="23"/>
    <x v="4"/>
    <n v="1.643"/>
    <x v="2"/>
  </r>
  <r>
    <x v="0"/>
    <x v="0"/>
    <x v="24"/>
    <x v="0"/>
    <n v="0"/>
    <x v="2"/>
  </r>
  <r>
    <x v="0"/>
    <x v="0"/>
    <x v="24"/>
    <x v="1"/>
    <n v="0"/>
    <x v="2"/>
  </r>
  <r>
    <x v="0"/>
    <x v="0"/>
    <x v="24"/>
    <x v="2"/>
    <n v="0"/>
    <x v="2"/>
  </r>
  <r>
    <x v="0"/>
    <x v="0"/>
    <x v="24"/>
    <x v="3"/>
    <n v="0"/>
    <x v="2"/>
  </r>
  <r>
    <x v="0"/>
    <x v="0"/>
    <x v="24"/>
    <x v="4"/>
    <n v="0"/>
    <x v="2"/>
  </r>
  <r>
    <x v="0"/>
    <x v="0"/>
    <x v="25"/>
    <x v="0"/>
    <n v="18.484999999999999"/>
    <x v="2"/>
  </r>
  <r>
    <x v="0"/>
    <x v="0"/>
    <x v="25"/>
    <x v="1"/>
    <n v="11.118"/>
    <x v="2"/>
  </r>
  <r>
    <x v="0"/>
    <x v="0"/>
    <x v="25"/>
    <x v="2"/>
    <n v="10.621"/>
    <x v="2"/>
  </r>
  <r>
    <x v="0"/>
    <x v="0"/>
    <x v="25"/>
    <x v="3"/>
    <n v="10.666"/>
    <x v="2"/>
  </r>
  <r>
    <x v="0"/>
    <x v="0"/>
    <x v="25"/>
    <x v="4"/>
    <n v="10.936999999999999"/>
    <x v="2"/>
  </r>
  <r>
    <x v="0"/>
    <x v="0"/>
    <x v="26"/>
    <x v="0"/>
    <n v="0.48599999999999999"/>
    <x v="2"/>
  </r>
  <r>
    <x v="0"/>
    <x v="0"/>
    <x v="26"/>
    <x v="1"/>
    <n v="0.83699999999999997"/>
    <x v="2"/>
  </r>
  <r>
    <x v="0"/>
    <x v="0"/>
    <x v="26"/>
    <x v="2"/>
    <n v="1.3149999999999999"/>
    <x v="2"/>
  </r>
  <r>
    <x v="0"/>
    <x v="0"/>
    <x v="26"/>
    <x v="3"/>
    <n v="4.5629999999999997"/>
    <x v="2"/>
  </r>
  <r>
    <x v="0"/>
    <x v="0"/>
    <x v="26"/>
    <x v="4"/>
    <n v="3.3420000000000001"/>
    <x v="2"/>
  </r>
  <r>
    <x v="0"/>
    <x v="0"/>
    <x v="27"/>
    <x v="0"/>
    <n v="0.753"/>
    <x v="2"/>
  </r>
  <r>
    <x v="0"/>
    <x v="0"/>
    <x v="27"/>
    <x v="1"/>
    <n v="0.753"/>
    <x v="2"/>
  </r>
  <r>
    <x v="0"/>
    <x v="0"/>
    <x v="27"/>
    <x v="2"/>
    <n v="1.341"/>
    <x v="2"/>
  </r>
  <r>
    <x v="0"/>
    <x v="0"/>
    <x v="27"/>
    <x v="3"/>
    <n v="1.03"/>
    <x v="2"/>
  </r>
  <r>
    <x v="0"/>
    <x v="0"/>
    <x v="27"/>
    <x v="4"/>
    <n v="1.583"/>
    <x v="2"/>
  </r>
  <r>
    <x v="0"/>
    <x v="0"/>
    <x v="28"/>
    <x v="0"/>
    <n v="0"/>
    <x v="2"/>
  </r>
  <r>
    <x v="0"/>
    <x v="0"/>
    <x v="28"/>
    <x v="1"/>
    <n v="0"/>
    <x v="2"/>
  </r>
  <r>
    <x v="0"/>
    <x v="0"/>
    <x v="28"/>
    <x v="2"/>
    <n v="0"/>
    <x v="2"/>
  </r>
  <r>
    <x v="0"/>
    <x v="0"/>
    <x v="28"/>
    <x v="3"/>
    <n v="0"/>
    <x v="2"/>
  </r>
  <r>
    <x v="0"/>
    <x v="0"/>
    <x v="28"/>
    <x v="4"/>
    <n v="0"/>
    <x v="2"/>
  </r>
  <r>
    <x v="0"/>
    <x v="0"/>
    <x v="29"/>
    <x v="0"/>
    <n v="2.6389999999999998"/>
    <x v="2"/>
  </r>
  <r>
    <x v="0"/>
    <x v="0"/>
    <x v="29"/>
    <x v="1"/>
    <n v="2.6709999999999998"/>
    <x v="2"/>
  </r>
  <r>
    <x v="0"/>
    <x v="0"/>
    <x v="29"/>
    <x v="2"/>
    <n v="3.45"/>
    <x v="2"/>
  </r>
  <r>
    <x v="0"/>
    <x v="0"/>
    <x v="29"/>
    <x v="3"/>
    <n v="3.3519999999999999"/>
    <x v="2"/>
  </r>
  <r>
    <x v="0"/>
    <x v="0"/>
    <x v="29"/>
    <x v="4"/>
    <n v="3.9550000000000001"/>
    <x v="2"/>
  </r>
  <r>
    <x v="0"/>
    <x v="0"/>
    <x v="30"/>
    <x v="0"/>
    <n v="4.242"/>
    <x v="2"/>
  </r>
  <r>
    <x v="0"/>
    <x v="0"/>
    <x v="30"/>
    <x v="1"/>
    <n v="4.9820000000000002"/>
    <x v="2"/>
  </r>
  <r>
    <x v="0"/>
    <x v="0"/>
    <x v="30"/>
    <x v="2"/>
    <n v="4.3319999999999999"/>
    <x v="2"/>
  </r>
  <r>
    <x v="0"/>
    <x v="0"/>
    <x v="30"/>
    <x v="3"/>
    <n v="5.766"/>
    <x v="2"/>
  </r>
  <r>
    <x v="0"/>
    <x v="0"/>
    <x v="30"/>
    <x v="4"/>
    <n v="6.4669999999999996"/>
    <x v="2"/>
  </r>
  <r>
    <x v="0"/>
    <x v="0"/>
    <x v="31"/>
    <x v="0"/>
    <n v="1.4239999999999999"/>
    <x v="2"/>
  </r>
  <r>
    <x v="0"/>
    <x v="0"/>
    <x v="31"/>
    <x v="1"/>
    <n v="2.4220000000000002"/>
    <x v="2"/>
  </r>
  <r>
    <x v="0"/>
    <x v="0"/>
    <x v="31"/>
    <x v="2"/>
    <n v="3.214"/>
    <x v="2"/>
  </r>
  <r>
    <x v="0"/>
    <x v="0"/>
    <x v="31"/>
    <x v="3"/>
    <n v="3.831"/>
    <x v="2"/>
  </r>
  <r>
    <x v="0"/>
    <x v="0"/>
    <x v="31"/>
    <x v="4"/>
    <n v="7.9770000000000003"/>
    <x v="2"/>
  </r>
  <r>
    <x v="0"/>
    <x v="0"/>
    <x v="32"/>
    <x v="0"/>
    <n v="0.248"/>
    <x v="2"/>
  </r>
  <r>
    <x v="0"/>
    <x v="0"/>
    <x v="32"/>
    <x v="1"/>
    <n v="0.25"/>
    <x v="2"/>
  </r>
  <r>
    <x v="0"/>
    <x v="0"/>
    <x v="32"/>
    <x v="2"/>
    <n v="0.21299999999999999"/>
    <x v="2"/>
  </r>
  <r>
    <x v="0"/>
    <x v="0"/>
    <x v="32"/>
    <x v="3"/>
    <n v="0.17"/>
    <x v="2"/>
  </r>
  <r>
    <x v="0"/>
    <x v="0"/>
    <x v="32"/>
    <x v="4"/>
    <n v="0.17"/>
    <x v="2"/>
  </r>
  <r>
    <x v="0"/>
    <x v="0"/>
    <x v="33"/>
    <x v="0"/>
    <n v="0"/>
    <x v="2"/>
  </r>
  <r>
    <x v="0"/>
    <x v="0"/>
    <x v="33"/>
    <x v="1"/>
    <n v="0"/>
    <x v="2"/>
  </r>
  <r>
    <x v="0"/>
    <x v="0"/>
    <x v="33"/>
    <x v="2"/>
    <n v="0.04"/>
    <x v="2"/>
  </r>
  <r>
    <x v="0"/>
    <x v="0"/>
    <x v="33"/>
    <x v="3"/>
    <n v="0"/>
    <x v="2"/>
  </r>
  <r>
    <x v="0"/>
    <x v="0"/>
    <x v="33"/>
    <x v="4"/>
    <n v="0"/>
    <x v="2"/>
  </r>
  <r>
    <x v="0"/>
    <x v="0"/>
    <x v="34"/>
    <x v="0"/>
    <n v="0"/>
    <x v="2"/>
  </r>
  <r>
    <x v="0"/>
    <x v="0"/>
    <x v="34"/>
    <x v="1"/>
    <n v="0"/>
    <x v="2"/>
  </r>
  <r>
    <x v="0"/>
    <x v="0"/>
    <x v="34"/>
    <x v="2"/>
    <n v="0"/>
    <x v="2"/>
  </r>
  <r>
    <x v="0"/>
    <x v="0"/>
    <x v="34"/>
    <x v="3"/>
    <n v="0"/>
    <x v="2"/>
  </r>
  <r>
    <x v="0"/>
    <x v="0"/>
    <x v="34"/>
    <x v="4"/>
    <n v="0"/>
    <x v="2"/>
  </r>
  <r>
    <x v="0"/>
    <x v="0"/>
    <x v="35"/>
    <x v="0"/>
    <n v="3.5640000000000001"/>
    <x v="2"/>
  </r>
  <r>
    <x v="0"/>
    <x v="0"/>
    <x v="35"/>
    <x v="1"/>
    <n v="5.9720000000000004"/>
    <x v="2"/>
  </r>
  <r>
    <x v="0"/>
    <x v="0"/>
    <x v="35"/>
    <x v="2"/>
    <n v="3.89"/>
    <x v="2"/>
  </r>
  <r>
    <x v="0"/>
    <x v="0"/>
    <x v="35"/>
    <x v="3"/>
    <n v="3.93"/>
    <x v="2"/>
  </r>
  <r>
    <x v="0"/>
    <x v="0"/>
    <x v="35"/>
    <x v="4"/>
    <n v="4.1760000000000002"/>
    <x v="2"/>
  </r>
  <r>
    <x v="0"/>
    <x v="0"/>
    <x v="36"/>
    <x v="0"/>
    <n v="2.8"/>
    <x v="2"/>
  </r>
  <r>
    <x v="0"/>
    <x v="0"/>
    <x v="36"/>
    <x v="1"/>
    <n v="2.6589999999999998"/>
    <x v="2"/>
  </r>
  <r>
    <x v="0"/>
    <x v="0"/>
    <x v="36"/>
    <x v="2"/>
    <n v="3.1219999999999999"/>
    <x v="2"/>
  </r>
  <r>
    <x v="0"/>
    <x v="0"/>
    <x v="36"/>
    <x v="3"/>
    <n v="2.9340000000000002"/>
    <x v="2"/>
  </r>
  <r>
    <x v="0"/>
    <x v="0"/>
    <x v="36"/>
    <x v="4"/>
    <n v="2.5219999999999998"/>
    <x v="2"/>
  </r>
  <r>
    <x v="0"/>
    <x v="0"/>
    <x v="37"/>
    <x v="0"/>
    <n v="0.12"/>
    <x v="2"/>
  </r>
  <r>
    <x v="0"/>
    <x v="0"/>
    <x v="37"/>
    <x v="1"/>
    <n v="0.24"/>
    <x v="2"/>
  </r>
  <r>
    <x v="0"/>
    <x v="0"/>
    <x v="37"/>
    <x v="2"/>
    <n v="0.24"/>
    <x v="2"/>
  </r>
  <r>
    <x v="0"/>
    <x v="0"/>
    <x v="37"/>
    <x v="3"/>
    <n v="0.2"/>
    <x v="2"/>
  </r>
  <r>
    <x v="0"/>
    <x v="0"/>
    <x v="37"/>
    <x v="4"/>
    <n v="0.28000000000000003"/>
    <x v="2"/>
  </r>
  <r>
    <x v="0"/>
    <x v="0"/>
    <x v="0"/>
    <x v="0"/>
    <n v="0"/>
    <x v="3"/>
  </r>
  <r>
    <x v="0"/>
    <x v="0"/>
    <x v="0"/>
    <x v="1"/>
    <n v="0"/>
    <x v="3"/>
  </r>
  <r>
    <x v="0"/>
    <x v="0"/>
    <x v="0"/>
    <x v="2"/>
    <n v="0"/>
    <x v="3"/>
  </r>
  <r>
    <x v="0"/>
    <x v="0"/>
    <x v="0"/>
    <x v="3"/>
    <n v="0"/>
    <x v="3"/>
  </r>
  <r>
    <x v="0"/>
    <x v="0"/>
    <x v="0"/>
    <x v="4"/>
    <n v="0"/>
    <x v="3"/>
  </r>
  <r>
    <x v="0"/>
    <x v="0"/>
    <x v="1"/>
    <x v="0"/>
    <n v="13.916"/>
    <x v="3"/>
  </r>
  <r>
    <x v="0"/>
    <x v="0"/>
    <x v="1"/>
    <x v="1"/>
    <n v="14.837"/>
    <x v="3"/>
  </r>
  <r>
    <x v="0"/>
    <x v="0"/>
    <x v="1"/>
    <x v="2"/>
    <n v="12.077999999999999"/>
    <x v="3"/>
  </r>
  <r>
    <x v="0"/>
    <x v="0"/>
    <x v="1"/>
    <x v="3"/>
    <n v="10.75"/>
    <x v="3"/>
  </r>
  <r>
    <x v="0"/>
    <x v="0"/>
    <x v="1"/>
    <x v="4"/>
    <n v="10.228999999999999"/>
    <x v="3"/>
  </r>
  <r>
    <x v="0"/>
    <x v="0"/>
    <x v="2"/>
    <x v="0"/>
    <n v="0.155"/>
    <x v="3"/>
  </r>
  <r>
    <x v="0"/>
    <x v="0"/>
    <x v="2"/>
    <x v="1"/>
    <n v="7.4999999999999997E-2"/>
    <x v="3"/>
  </r>
  <r>
    <x v="0"/>
    <x v="0"/>
    <x v="2"/>
    <x v="2"/>
    <n v="0.12"/>
    <x v="3"/>
  </r>
  <r>
    <x v="0"/>
    <x v="0"/>
    <x v="2"/>
    <x v="3"/>
    <n v="0.78300000000000003"/>
    <x v="3"/>
  </r>
  <r>
    <x v="0"/>
    <x v="0"/>
    <x v="2"/>
    <x v="4"/>
    <n v="0.08"/>
    <x v="3"/>
  </r>
  <r>
    <x v="0"/>
    <x v="0"/>
    <x v="3"/>
    <x v="0"/>
    <n v="7.141"/>
    <x v="3"/>
  </r>
  <r>
    <x v="0"/>
    <x v="0"/>
    <x v="3"/>
    <x v="1"/>
    <n v="6.1070000000000002"/>
    <x v="3"/>
  </r>
  <r>
    <x v="0"/>
    <x v="0"/>
    <x v="3"/>
    <x v="2"/>
    <n v="8.1359999999999992"/>
    <x v="3"/>
  </r>
  <r>
    <x v="0"/>
    <x v="0"/>
    <x v="3"/>
    <x v="3"/>
    <n v="9.8699999999999992"/>
    <x v="3"/>
  </r>
  <r>
    <x v="0"/>
    <x v="0"/>
    <x v="3"/>
    <x v="4"/>
    <n v="11.406000000000001"/>
    <x v="3"/>
  </r>
  <r>
    <x v="0"/>
    <x v="0"/>
    <x v="4"/>
    <x v="0"/>
    <n v="0"/>
    <x v="3"/>
  </r>
  <r>
    <x v="0"/>
    <x v="0"/>
    <x v="4"/>
    <x v="1"/>
    <n v="0"/>
    <x v="3"/>
  </r>
  <r>
    <x v="0"/>
    <x v="0"/>
    <x v="4"/>
    <x v="2"/>
    <n v="0"/>
    <x v="3"/>
  </r>
  <r>
    <x v="0"/>
    <x v="0"/>
    <x v="4"/>
    <x v="3"/>
    <n v="0"/>
    <x v="3"/>
  </r>
  <r>
    <x v="0"/>
    <x v="0"/>
    <x v="4"/>
    <x v="4"/>
    <n v="0"/>
    <x v="3"/>
  </r>
  <r>
    <x v="0"/>
    <x v="0"/>
    <x v="5"/>
    <x v="0"/>
    <n v="21.914000000000001"/>
    <x v="3"/>
  </r>
  <r>
    <x v="0"/>
    <x v="0"/>
    <x v="5"/>
    <x v="1"/>
    <n v="26.111000000000001"/>
    <x v="3"/>
  </r>
  <r>
    <x v="0"/>
    <x v="0"/>
    <x v="5"/>
    <x v="2"/>
    <n v="27.31"/>
    <x v="3"/>
  </r>
  <r>
    <x v="0"/>
    <x v="0"/>
    <x v="5"/>
    <x v="3"/>
    <n v="22.026"/>
    <x v="3"/>
  </r>
  <r>
    <x v="0"/>
    <x v="0"/>
    <x v="5"/>
    <x v="4"/>
    <n v="25.991"/>
    <x v="3"/>
  </r>
  <r>
    <x v="0"/>
    <x v="0"/>
    <x v="6"/>
    <x v="0"/>
    <n v="86.518000000000001"/>
    <x v="3"/>
  </r>
  <r>
    <x v="0"/>
    <x v="0"/>
    <x v="6"/>
    <x v="1"/>
    <n v="101.88200000000001"/>
    <x v="3"/>
  </r>
  <r>
    <x v="0"/>
    <x v="0"/>
    <x v="6"/>
    <x v="2"/>
    <n v="90.548000000000002"/>
    <x v="3"/>
  </r>
  <r>
    <x v="0"/>
    <x v="0"/>
    <x v="6"/>
    <x v="3"/>
    <n v="96.06"/>
    <x v="3"/>
  </r>
  <r>
    <x v="0"/>
    <x v="0"/>
    <x v="6"/>
    <x v="4"/>
    <n v="110.53100000000001"/>
    <x v="3"/>
  </r>
  <r>
    <x v="0"/>
    <x v="0"/>
    <x v="7"/>
    <x v="0"/>
    <n v="14.519"/>
    <x v="3"/>
  </r>
  <r>
    <x v="0"/>
    <x v="0"/>
    <x v="7"/>
    <x v="1"/>
    <n v="12.837999999999999"/>
    <x v="3"/>
  </r>
  <r>
    <x v="0"/>
    <x v="0"/>
    <x v="7"/>
    <x v="2"/>
    <n v="12.621"/>
    <x v="3"/>
  </r>
  <r>
    <x v="0"/>
    <x v="0"/>
    <x v="7"/>
    <x v="3"/>
    <n v="8.43"/>
    <x v="3"/>
  </r>
  <r>
    <x v="0"/>
    <x v="0"/>
    <x v="7"/>
    <x v="4"/>
    <n v="9.8149999999999995"/>
    <x v="3"/>
  </r>
  <r>
    <x v="0"/>
    <x v="0"/>
    <x v="8"/>
    <x v="0"/>
    <n v="8.9250000000000007"/>
    <x v="3"/>
  </r>
  <r>
    <x v="0"/>
    <x v="0"/>
    <x v="8"/>
    <x v="1"/>
    <n v="10.35"/>
    <x v="3"/>
  </r>
  <r>
    <x v="0"/>
    <x v="0"/>
    <x v="8"/>
    <x v="2"/>
    <n v="12.606999999999999"/>
    <x v="3"/>
  </r>
  <r>
    <x v="0"/>
    <x v="0"/>
    <x v="8"/>
    <x v="3"/>
    <n v="10.098000000000001"/>
    <x v="3"/>
  </r>
  <r>
    <x v="0"/>
    <x v="0"/>
    <x v="8"/>
    <x v="4"/>
    <n v="11.750999999999999"/>
    <x v="3"/>
  </r>
  <r>
    <x v="0"/>
    <x v="0"/>
    <x v="9"/>
    <x v="0"/>
    <n v="0"/>
    <x v="3"/>
  </r>
  <r>
    <x v="0"/>
    <x v="0"/>
    <x v="9"/>
    <x v="1"/>
    <n v="0"/>
    <x v="3"/>
  </r>
  <r>
    <x v="0"/>
    <x v="0"/>
    <x v="9"/>
    <x v="2"/>
    <n v="0"/>
    <x v="3"/>
  </r>
  <r>
    <x v="0"/>
    <x v="0"/>
    <x v="9"/>
    <x v="3"/>
    <n v="0"/>
    <x v="3"/>
  </r>
  <r>
    <x v="0"/>
    <x v="0"/>
    <x v="9"/>
    <x v="4"/>
    <n v="0"/>
    <x v="3"/>
  </r>
  <r>
    <x v="0"/>
    <x v="0"/>
    <x v="10"/>
    <x v="0"/>
    <n v="0"/>
    <x v="3"/>
  </r>
  <r>
    <x v="0"/>
    <x v="0"/>
    <x v="10"/>
    <x v="1"/>
    <n v="0"/>
    <x v="3"/>
  </r>
  <r>
    <x v="0"/>
    <x v="0"/>
    <x v="10"/>
    <x v="2"/>
    <n v="0"/>
    <x v="3"/>
  </r>
  <r>
    <x v="0"/>
    <x v="0"/>
    <x v="10"/>
    <x v="3"/>
    <n v="0"/>
    <x v="3"/>
  </r>
  <r>
    <x v="0"/>
    <x v="0"/>
    <x v="10"/>
    <x v="4"/>
    <n v="0"/>
    <x v="3"/>
  </r>
  <r>
    <x v="0"/>
    <x v="0"/>
    <x v="11"/>
    <x v="0"/>
    <n v="15.493"/>
    <x v="3"/>
  </r>
  <r>
    <x v="0"/>
    <x v="0"/>
    <x v="11"/>
    <x v="1"/>
    <n v="14.090999999999999"/>
    <x v="3"/>
  </r>
  <r>
    <x v="0"/>
    <x v="0"/>
    <x v="11"/>
    <x v="2"/>
    <n v="17.989000000000001"/>
    <x v="3"/>
  </r>
  <r>
    <x v="0"/>
    <x v="0"/>
    <x v="11"/>
    <x v="3"/>
    <n v="14.196999999999999"/>
    <x v="3"/>
  </r>
  <r>
    <x v="0"/>
    <x v="0"/>
    <x v="11"/>
    <x v="4"/>
    <n v="16.335999999999999"/>
    <x v="3"/>
  </r>
  <r>
    <x v="0"/>
    <x v="0"/>
    <x v="12"/>
    <x v="0"/>
    <n v="23.053999999999998"/>
    <x v="3"/>
  </r>
  <r>
    <x v="0"/>
    <x v="0"/>
    <x v="12"/>
    <x v="1"/>
    <n v="30.39"/>
    <x v="3"/>
  </r>
  <r>
    <x v="0"/>
    <x v="0"/>
    <x v="12"/>
    <x v="2"/>
    <n v="27.361999999999998"/>
    <x v="3"/>
  </r>
  <r>
    <x v="0"/>
    <x v="0"/>
    <x v="12"/>
    <x v="3"/>
    <n v="0"/>
    <x v="3"/>
  </r>
  <r>
    <x v="0"/>
    <x v="0"/>
    <x v="12"/>
    <x v="4"/>
    <n v="0"/>
    <x v="3"/>
  </r>
  <r>
    <x v="0"/>
    <x v="0"/>
    <x v="13"/>
    <x v="0"/>
    <n v="2.4780000000000002"/>
    <x v="3"/>
  </r>
  <r>
    <x v="0"/>
    <x v="0"/>
    <x v="13"/>
    <x v="1"/>
    <n v="2.92"/>
    <x v="3"/>
  </r>
  <r>
    <x v="0"/>
    <x v="0"/>
    <x v="13"/>
    <x v="2"/>
    <n v="2.605"/>
    <x v="3"/>
  </r>
  <r>
    <x v="0"/>
    <x v="0"/>
    <x v="13"/>
    <x v="3"/>
    <n v="2.5840000000000001"/>
    <x v="3"/>
  </r>
  <r>
    <x v="0"/>
    <x v="0"/>
    <x v="13"/>
    <x v="4"/>
    <n v="2.9409999999999998"/>
    <x v="3"/>
  </r>
  <r>
    <x v="0"/>
    <x v="0"/>
    <x v="14"/>
    <x v="0"/>
    <n v="20.353999999999999"/>
    <x v="3"/>
  </r>
  <r>
    <x v="0"/>
    <x v="0"/>
    <x v="14"/>
    <x v="1"/>
    <n v="24.413"/>
    <x v="3"/>
  </r>
  <r>
    <x v="0"/>
    <x v="0"/>
    <x v="14"/>
    <x v="2"/>
    <n v="24.248000000000001"/>
    <x v="3"/>
  </r>
  <r>
    <x v="0"/>
    <x v="0"/>
    <x v="14"/>
    <x v="3"/>
    <n v="20.263000000000002"/>
    <x v="3"/>
  </r>
  <r>
    <x v="0"/>
    <x v="0"/>
    <x v="14"/>
    <x v="4"/>
    <n v="17.263000000000002"/>
    <x v="3"/>
  </r>
  <r>
    <x v="0"/>
    <x v="0"/>
    <x v="15"/>
    <x v="0"/>
    <n v="0"/>
    <x v="3"/>
  </r>
  <r>
    <x v="0"/>
    <x v="0"/>
    <x v="15"/>
    <x v="1"/>
    <n v="0"/>
    <x v="3"/>
  </r>
  <r>
    <x v="0"/>
    <x v="0"/>
    <x v="15"/>
    <x v="2"/>
    <n v="0"/>
    <x v="3"/>
  </r>
  <r>
    <x v="0"/>
    <x v="0"/>
    <x v="15"/>
    <x v="3"/>
    <n v="0"/>
    <x v="3"/>
  </r>
  <r>
    <x v="0"/>
    <x v="0"/>
    <x v="15"/>
    <x v="4"/>
    <n v="0"/>
    <x v="3"/>
  </r>
  <r>
    <x v="0"/>
    <x v="0"/>
    <x v="16"/>
    <x v="0"/>
    <n v="0"/>
    <x v="3"/>
  </r>
  <r>
    <x v="0"/>
    <x v="0"/>
    <x v="16"/>
    <x v="1"/>
    <n v="0"/>
    <x v="3"/>
  </r>
  <r>
    <x v="0"/>
    <x v="0"/>
    <x v="16"/>
    <x v="2"/>
    <n v="0"/>
    <x v="3"/>
  </r>
  <r>
    <x v="0"/>
    <x v="0"/>
    <x v="16"/>
    <x v="3"/>
    <n v="0"/>
    <x v="3"/>
  </r>
  <r>
    <x v="0"/>
    <x v="0"/>
    <x v="16"/>
    <x v="4"/>
    <n v="0"/>
    <x v="3"/>
  </r>
  <r>
    <x v="0"/>
    <x v="0"/>
    <x v="17"/>
    <x v="0"/>
    <n v="0"/>
    <x v="3"/>
  </r>
  <r>
    <x v="0"/>
    <x v="0"/>
    <x v="17"/>
    <x v="1"/>
    <n v="0"/>
    <x v="3"/>
  </r>
  <r>
    <x v="0"/>
    <x v="0"/>
    <x v="17"/>
    <x v="2"/>
    <n v="0"/>
    <x v="3"/>
  </r>
  <r>
    <x v="0"/>
    <x v="0"/>
    <x v="17"/>
    <x v="3"/>
    <n v="0"/>
    <x v="3"/>
  </r>
  <r>
    <x v="0"/>
    <x v="0"/>
    <x v="17"/>
    <x v="4"/>
    <n v="0"/>
    <x v="3"/>
  </r>
  <r>
    <x v="0"/>
    <x v="0"/>
    <x v="18"/>
    <x v="0"/>
    <n v="5.9950000000000001"/>
    <x v="3"/>
  </r>
  <r>
    <x v="0"/>
    <x v="0"/>
    <x v="18"/>
    <x v="1"/>
    <n v="7.8360000000000003"/>
    <x v="3"/>
  </r>
  <r>
    <x v="0"/>
    <x v="0"/>
    <x v="18"/>
    <x v="2"/>
    <n v="9.7119999999999997"/>
    <x v="3"/>
  </r>
  <r>
    <x v="0"/>
    <x v="0"/>
    <x v="18"/>
    <x v="3"/>
    <n v="9.8460000000000001"/>
    <x v="3"/>
  </r>
  <r>
    <x v="0"/>
    <x v="0"/>
    <x v="18"/>
    <x v="4"/>
    <n v="11.454000000000001"/>
    <x v="3"/>
  </r>
  <r>
    <x v="0"/>
    <x v="0"/>
    <x v="19"/>
    <x v="0"/>
    <n v="0.08"/>
    <x v="3"/>
  </r>
  <r>
    <x v="0"/>
    <x v="0"/>
    <x v="19"/>
    <x v="1"/>
    <n v="0.11600000000000001"/>
    <x v="3"/>
  </r>
  <r>
    <x v="0"/>
    <x v="0"/>
    <x v="19"/>
    <x v="2"/>
    <n v="7.5999999999999998E-2"/>
    <x v="3"/>
  </r>
  <r>
    <x v="0"/>
    <x v="0"/>
    <x v="19"/>
    <x v="3"/>
    <n v="9.6000000000000002E-2"/>
    <x v="3"/>
  </r>
  <r>
    <x v="0"/>
    <x v="0"/>
    <x v="19"/>
    <x v="4"/>
    <n v="6.9000000000000006E-2"/>
    <x v="3"/>
  </r>
  <r>
    <x v="0"/>
    <x v="0"/>
    <x v="20"/>
    <x v="0"/>
    <n v="3.2890000000000001"/>
    <x v="3"/>
  </r>
  <r>
    <x v="0"/>
    <x v="0"/>
    <x v="20"/>
    <x v="1"/>
    <n v="4.4630000000000001"/>
    <x v="3"/>
  </r>
  <r>
    <x v="0"/>
    <x v="0"/>
    <x v="20"/>
    <x v="2"/>
    <n v="6.2880000000000003"/>
    <x v="3"/>
  </r>
  <r>
    <x v="0"/>
    <x v="0"/>
    <x v="20"/>
    <x v="3"/>
    <n v="6.8949999999999996"/>
    <x v="3"/>
  </r>
  <r>
    <x v="0"/>
    <x v="0"/>
    <x v="20"/>
    <x v="4"/>
    <n v="8"/>
    <x v="3"/>
  </r>
  <r>
    <x v="0"/>
    <x v="0"/>
    <x v="21"/>
    <x v="0"/>
    <n v="3.2810000000000001"/>
    <x v="3"/>
  </r>
  <r>
    <x v="0"/>
    <x v="0"/>
    <x v="21"/>
    <x v="1"/>
    <n v="3.4889999999999999"/>
    <x v="3"/>
  </r>
  <r>
    <x v="0"/>
    <x v="0"/>
    <x v="21"/>
    <x v="2"/>
    <n v="3.6629999999999998"/>
    <x v="3"/>
  </r>
  <r>
    <x v="0"/>
    <x v="0"/>
    <x v="21"/>
    <x v="3"/>
    <n v="3.8069999999999999"/>
    <x v="3"/>
  </r>
  <r>
    <x v="0"/>
    <x v="0"/>
    <x v="21"/>
    <x v="4"/>
    <n v="3.9540000000000002"/>
    <x v="3"/>
  </r>
  <r>
    <x v="0"/>
    <x v="0"/>
    <x v="22"/>
    <x v="0"/>
    <n v="0"/>
    <x v="3"/>
  </r>
  <r>
    <x v="0"/>
    <x v="0"/>
    <x v="22"/>
    <x v="1"/>
    <n v="0"/>
    <x v="3"/>
  </r>
  <r>
    <x v="0"/>
    <x v="0"/>
    <x v="22"/>
    <x v="2"/>
    <n v="0"/>
    <x v="3"/>
  </r>
  <r>
    <x v="0"/>
    <x v="0"/>
    <x v="22"/>
    <x v="3"/>
    <n v="0"/>
    <x v="3"/>
  </r>
  <r>
    <x v="0"/>
    <x v="0"/>
    <x v="22"/>
    <x v="4"/>
    <n v="0"/>
    <x v="3"/>
  </r>
  <r>
    <x v="0"/>
    <x v="0"/>
    <x v="23"/>
    <x v="0"/>
    <n v="1.6879999999999999"/>
    <x v="3"/>
  </r>
  <r>
    <x v="0"/>
    <x v="0"/>
    <x v="23"/>
    <x v="1"/>
    <n v="1.171"/>
    <x v="3"/>
  </r>
  <r>
    <x v="0"/>
    <x v="0"/>
    <x v="23"/>
    <x v="2"/>
    <n v="1.048"/>
    <x v="3"/>
  </r>
  <r>
    <x v="0"/>
    <x v="0"/>
    <x v="23"/>
    <x v="3"/>
    <n v="1.6679999999999999"/>
    <x v="3"/>
  </r>
  <r>
    <x v="0"/>
    <x v="0"/>
    <x v="23"/>
    <x v="4"/>
    <n v="1.5880000000000001"/>
    <x v="3"/>
  </r>
  <r>
    <x v="0"/>
    <x v="0"/>
    <x v="24"/>
    <x v="0"/>
    <n v="0"/>
    <x v="3"/>
  </r>
  <r>
    <x v="0"/>
    <x v="0"/>
    <x v="24"/>
    <x v="1"/>
    <s v="NULL"/>
    <x v="3"/>
  </r>
  <r>
    <x v="0"/>
    <x v="0"/>
    <x v="24"/>
    <x v="2"/>
    <n v="0"/>
    <x v="3"/>
  </r>
  <r>
    <x v="0"/>
    <x v="0"/>
    <x v="24"/>
    <x v="3"/>
    <n v="0"/>
    <x v="3"/>
  </r>
  <r>
    <x v="0"/>
    <x v="0"/>
    <x v="24"/>
    <x v="4"/>
    <n v="0"/>
    <x v="3"/>
  </r>
  <r>
    <x v="0"/>
    <x v="0"/>
    <x v="25"/>
    <x v="0"/>
    <n v="9.1839999999999993"/>
    <x v="3"/>
  </r>
  <r>
    <x v="0"/>
    <x v="0"/>
    <x v="25"/>
    <x v="1"/>
    <n v="9.6969999999999992"/>
    <x v="3"/>
  </r>
  <r>
    <x v="0"/>
    <x v="0"/>
    <x v="25"/>
    <x v="2"/>
    <n v="9.0860000000000003"/>
    <x v="3"/>
  </r>
  <r>
    <x v="0"/>
    <x v="0"/>
    <x v="25"/>
    <x v="3"/>
    <n v="8.5139999999999993"/>
    <x v="3"/>
  </r>
  <r>
    <x v="0"/>
    <x v="0"/>
    <x v="25"/>
    <x v="4"/>
    <n v="9.42"/>
    <x v="3"/>
  </r>
  <r>
    <x v="0"/>
    <x v="0"/>
    <x v="26"/>
    <x v="0"/>
    <n v="0.48199999999999998"/>
    <x v="3"/>
  </r>
  <r>
    <x v="0"/>
    <x v="0"/>
    <x v="26"/>
    <x v="1"/>
    <n v="0.54100000000000004"/>
    <x v="3"/>
  </r>
  <r>
    <x v="0"/>
    <x v="0"/>
    <x v="26"/>
    <x v="2"/>
    <n v="0.65800000000000003"/>
    <x v="3"/>
  </r>
  <r>
    <x v="0"/>
    <x v="0"/>
    <x v="26"/>
    <x v="3"/>
    <n v="0.68799999999999994"/>
    <x v="3"/>
  </r>
  <r>
    <x v="0"/>
    <x v="0"/>
    <x v="26"/>
    <x v="4"/>
    <n v="0.7"/>
    <x v="3"/>
  </r>
  <r>
    <x v="0"/>
    <x v="0"/>
    <x v="27"/>
    <x v="0"/>
    <n v="9.4640000000000004"/>
    <x v="3"/>
  </r>
  <r>
    <x v="0"/>
    <x v="0"/>
    <x v="27"/>
    <x v="1"/>
    <n v="11.226000000000001"/>
    <x v="3"/>
  </r>
  <r>
    <x v="0"/>
    <x v="0"/>
    <x v="27"/>
    <x v="2"/>
    <n v="10.502000000000001"/>
    <x v="3"/>
  </r>
  <r>
    <x v="0"/>
    <x v="0"/>
    <x v="27"/>
    <x v="3"/>
    <n v="10.643000000000001"/>
    <x v="3"/>
  </r>
  <r>
    <x v="0"/>
    <x v="0"/>
    <x v="27"/>
    <x v="4"/>
    <n v="12.023"/>
    <x v="3"/>
  </r>
  <r>
    <x v="0"/>
    <x v="0"/>
    <x v="28"/>
    <x v="0"/>
    <n v="0"/>
    <x v="3"/>
  </r>
  <r>
    <x v="0"/>
    <x v="0"/>
    <x v="28"/>
    <x v="1"/>
    <n v="0"/>
    <x v="3"/>
  </r>
  <r>
    <x v="0"/>
    <x v="0"/>
    <x v="28"/>
    <x v="2"/>
    <n v="0"/>
    <x v="3"/>
  </r>
  <r>
    <x v="0"/>
    <x v="0"/>
    <x v="28"/>
    <x v="3"/>
    <n v="0"/>
    <x v="3"/>
  </r>
  <r>
    <x v="0"/>
    <x v="0"/>
    <x v="28"/>
    <x v="4"/>
    <n v="0"/>
    <x v="3"/>
  </r>
  <r>
    <x v="0"/>
    <x v="0"/>
    <x v="29"/>
    <x v="0"/>
    <n v="16.132999999999999"/>
    <x v="3"/>
  </r>
  <r>
    <x v="0"/>
    <x v="0"/>
    <x v="29"/>
    <x v="1"/>
    <n v="19.366"/>
    <x v="3"/>
  </r>
  <r>
    <x v="0"/>
    <x v="0"/>
    <x v="29"/>
    <x v="2"/>
    <n v="13.702"/>
    <x v="3"/>
  </r>
  <r>
    <x v="0"/>
    <x v="0"/>
    <x v="29"/>
    <x v="3"/>
    <n v="19.241"/>
    <x v="3"/>
  </r>
  <r>
    <x v="0"/>
    <x v="0"/>
    <x v="29"/>
    <x v="4"/>
    <n v="22.954000000000001"/>
    <x v="3"/>
  </r>
  <r>
    <x v="0"/>
    <x v="0"/>
    <x v="30"/>
    <x v="0"/>
    <n v="17.779"/>
    <x v="3"/>
  </r>
  <r>
    <x v="0"/>
    <x v="0"/>
    <x v="30"/>
    <x v="1"/>
    <n v="18.606999999999999"/>
    <x v="3"/>
  </r>
  <r>
    <x v="0"/>
    <x v="0"/>
    <x v="30"/>
    <x v="2"/>
    <n v="19.814"/>
    <x v="3"/>
  </r>
  <r>
    <x v="0"/>
    <x v="0"/>
    <x v="30"/>
    <x v="3"/>
    <n v="20.896000000000001"/>
    <x v="3"/>
  </r>
  <r>
    <x v="0"/>
    <x v="0"/>
    <x v="30"/>
    <x v="4"/>
    <n v="18.891999999999999"/>
    <x v="3"/>
  </r>
  <r>
    <x v="0"/>
    <x v="0"/>
    <x v="31"/>
    <x v="0"/>
    <n v="0.73"/>
    <x v="3"/>
  </r>
  <r>
    <x v="0"/>
    <x v="0"/>
    <x v="31"/>
    <x v="1"/>
    <n v="0.89500000000000002"/>
    <x v="3"/>
  </r>
  <r>
    <x v="0"/>
    <x v="0"/>
    <x v="31"/>
    <x v="2"/>
    <n v="1.1299999999999999"/>
    <x v="3"/>
  </r>
  <r>
    <x v="0"/>
    <x v="0"/>
    <x v="31"/>
    <x v="3"/>
    <n v="1.0629999999999999"/>
    <x v="3"/>
  </r>
  <r>
    <x v="0"/>
    <x v="0"/>
    <x v="31"/>
    <x v="4"/>
    <n v="1.722"/>
    <x v="3"/>
  </r>
  <r>
    <x v="0"/>
    <x v="0"/>
    <x v="32"/>
    <x v="0"/>
    <n v="1.3680000000000001"/>
    <x v="3"/>
  </r>
  <r>
    <x v="0"/>
    <x v="0"/>
    <x v="32"/>
    <x v="1"/>
    <n v="1.677"/>
    <x v="3"/>
  </r>
  <r>
    <x v="0"/>
    <x v="0"/>
    <x v="32"/>
    <x v="2"/>
    <n v="1.897"/>
    <x v="3"/>
  </r>
  <r>
    <x v="0"/>
    <x v="0"/>
    <x v="32"/>
    <x v="3"/>
    <n v="2.0630000000000002"/>
    <x v="3"/>
  </r>
  <r>
    <x v="0"/>
    <x v="0"/>
    <x v="32"/>
    <x v="4"/>
    <n v="1.875"/>
    <x v="3"/>
  </r>
  <r>
    <x v="0"/>
    <x v="0"/>
    <x v="33"/>
    <x v="0"/>
    <n v="9.7119999999999997"/>
    <x v="3"/>
  </r>
  <r>
    <x v="0"/>
    <x v="0"/>
    <x v="33"/>
    <x v="1"/>
    <n v="11.61"/>
    <x v="3"/>
  </r>
  <r>
    <x v="0"/>
    <x v="0"/>
    <x v="33"/>
    <x v="2"/>
    <n v="13.76"/>
    <x v="3"/>
  </r>
  <r>
    <x v="0"/>
    <x v="0"/>
    <x v="33"/>
    <x v="3"/>
    <n v="14.438000000000001"/>
    <x v="3"/>
  </r>
  <r>
    <x v="0"/>
    <x v="0"/>
    <x v="33"/>
    <x v="4"/>
    <n v="17.484000000000002"/>
    <x v="3"/>
  </r>
  <r>
    <x v="0"/>
    <x v="0"/>
    <x v="34"/>
    <x v="0"/>
    <n v="0"/>
    <x v="3"/>
  </r>
  <r>
    <x v="0"/>
    <x v="0"/>
    <x v="34"/>
    <x v="1"/>
    <n v="0"/>
    <x v="3"/>
  </r>
  <r>
    <x v="0"/>
    <x v="0"/>
    <x v="34"/>
    <x v="2"/>
    <n v="0"/>
    <x v="3"/>
  </r>
  <r>
    <x v="0"/>
    <x v="0"/>
    <x v="34"/>
    <x v="3"/>
    <n v="0"/>
    <x v="3"/>
  </r>
  <r>
    <x v="0"/>
    <x v="0"/>
    <x v="34"/>
    <x v="4"/>
    <n v="0"/>
    <x v="3"/>
  </r>
  <r>
    <x v="0"/>
    <x v="0"/>
    <x v="35"/>
    <x v="0"/>
    <n v="251.56100000000001"/>
    <x v="3"/>
  </r>
  <r>
    <x v="0"/>
    <x v="0"/>
    <x v="35"/>
    <x v="1"/>
    <n v="365.68400000000003"/>
    <x v="3"/>
  </r>
  <r>
    <x v="0"/>
    <x v="0"/>
    <x v="35"/>
    <x v="2"/>
    <n v="371.62"/>
    <x v="3"/>
  </r>
  <r>
    <x v="0"/>
    <x v="0"/>
    <x v="35"/>
    <x v="3"/>
    <n v="401.28300000000002"/>
    <x v="3"/>
  </r>
  <r>
    <x v="0"/>
    <x v="0"/>
    <x v="35"/>
    <x v="4"/>
    <n v="402.44900000000001"/>
    <x v="3"/>
  </r>
  <r>
    <x v="0"/>
    <x v="0"/>
    <x v="36"/>
    <x v="0"/>
    <n v="86.33"/>
    <x v="3"/>
  </r>
  <r>
    <x v="0"/>
    <x v="0"/>
    <x v="36"/>
    <x v="1"/>
    <n v="82.117000000000004"/>
    <x v="3"/>
  </r>
  <r>
    <x v="0"/>
    <x v="0"/>
    <x v="36"/>
    <x v="2"/>
    <n v="83.296000000000006"/>
    <x v="3"/>
  </r>
  <r>
    <x v="0"/>
    <x v="0"/>
    <x v="36"/>
    <x v="3"/>
    <n v="76.311999999999998"/>
    <x v="3"/>
  </r>
  <r>
    <x v="0"/>
    <x v="0"/>
    <x v="36"/>
    <x v="4"/>
    <n v="78.811999999999998"/>
    <x v="3"/>
  </r>
  <r>
    <x v="0"/>
    <x v="0"/>
    <x v="37"/>
    <x v="0"/>
    <n v="0"/>
    <x v="3"/>
  </r>
  <r>
    <x v="0"/>
    <x v="0"/>
    <x v="37"/>
    <x v="1"/>
    <n v="0"/>
    <x v="3"/>
  </r>
  <r>
    <x v="0"/>
    <x v="0"/>
    <x v="37"/>
    <x v="2"/>
    <n v="0"/>
    <x v="3"/>
  </r>
  <r>
    <x v="0"/>
    <x v="0"/>
    <x v="37"/>
    <x v="3"/>
    <n v="0"/>
    <x v="3"/>
  </r>
  <r>
    <x v="0"/>
    <x v="0"/>
    <x v="37"/>
    <x v="4"/>
    <n v="0"/>
    <x v="3"/>
  </r>
  <r>
    <x v="0"/>
    <x v="0"/>
    <x v="0"/>
    <x v="0"/>
    <n v="0"/>
    <x v="4"/>
  </r>
  <r>
    <x v="0"/>
    <x v="0"/>
    <x v="0"/>
    <x v="1"/>
    <n v="0"/>
    <x v="4"/>
  </r>
  <r>
    <x v="0"/>
    <x v="0"/>
    <x v="0"/>
    <x v="2"/>
    <n v="0"/>
    <x v="4"/>
  </r>
  <r>
    <x v="0"/>
    <x v="0"/>
    <x v="0"/>
    <x v="3"/>
    <n v="0"/>
    <x v="4"/>
  </r>
  <r>
    <x v="0"/>
    <x v="0"/>
    <x v="0"/>
    <x v="4"/>
    <n v="0"/>
    <x v="4"/>
  </r>
  <r>
    <x v="0"/>
    <x v="0"/>
    <x v="1"/>
    <x v="0"/>
    <n v="25.396999999999998"/>
    <x v="4"/>
  </r>
  <r>
    <x v="0"/>
    <x v="0"/>
    <x v="1"/>
    <x v="1"/>
    <n v="24.815999999999999"/>
    <x v="4"/>
  </r>
  <r>
    <x v="0"/>
    <x v="0"/>
    <x v="1"/>
    <x v="2"/>
    <n v="23.715"/>
    <x v="4"/>
  </r>
  <r>
    <x v="0"/>
    <x v="0"/>
    <x v="1"/>
    <x v="3"/>
    <n v="20.54"/>
    <x v="4"/>
  </r>
  <r>
    <x v="0"/>
    <x v="0"/>
    <x v="1"/>
    <x v="4"/>
    <n v="24.818999999999999"/>
    <x v="4"/>
  </r>
  <r>
    <x v="0"/>
    <x v="0"/>
    <x v="2"/>
    <x v="0"/>
    <n v="0.29199999999999998"/>
    <x v="4"/>
  </r>
  <r>
    <x v="0"/>
    <x v="0"/>
    <x v="2"/>
    <x v="1"/>
    <n v="0.313"/>
    <x v="4"/>
  </r>
  <r>
    <x v="0"/>
    <x v="0"/>
    <x v="2"/>
    <x v="2"/>
    <n v="0.29699999999999999"/>
    <x v="4"/>
  </r>
  <r>
    <x v="0"/>
    <x v="0"/>
    <x v="2"/>
    <x v="3"/>
    <n v="0.11"/>
    <x v="4"/>
  </r>
  <r>
    <x v="0"/>
    <x v="0"/>
    <x v="2"/>
    <x v="4"/>
    <n v="0.17599999999999999"/>
    <x v="4"/>
  </r>
  <r>
    <x v="0"/>
    <x v="0"/>
    <x v="3"/>
    <x v="0"/>
    <n v="0.23699999999999999"/>
    <x v="4"/>
  </r>
  <r>
    <x v="0"/>
    <x v="0"/>
    <x v="3"/>
    <x v="1"/>
    <n v="5.2999999999999999E-2"/>
    <x v="4"/>
  </r>
  <r>
    <x v="0"/>
    <x v="0"/>
    <x v="3"/>
    <x v="2"/>
    <n v="0.125"/>
    <x v="4"/>
  </r>
  <r>
    <x v="0"/>
    <x v="0"/>
    <x v="3"/>
    <x v="3"/>
    <n v="9.0999999999999998E-2"/>
    <x v="4"/>
  </r>
  <r>
    <x v="0"/>
    <x v="0"/>
    <x v="3"/>
    <x v="4"/>
    <n v="0.09"/>
    <x v="4"/>
  </r>
  <r>
    <x v="0"/>
    <x v="0"/>
    <x v="4"/>
    <x v="0"/>
    <n v="0"/>
    <x v="4"/>
  </r>
  <r>
    <x v="0"/>
    <x v="0"/>
    <x v="4"/>
    <x v="1"/>
    <n v="0"/>
    <x v="4"/>
  </r>
  <r>
    <x v="0"/>
    <x v="0"/>
    <x v="4"/>
    <x v="2"/>
    <n v="0"/>
    <x v="4"/>
  </r>
  <r>
    <x v="0"/>
    <x v="0"/>
    <x v="4"/>
    <x v="3"/>
    <n v="0"/>
    <x v="4"/>
  </r>
  <r>
    <x v="0"/>
    <x v="0"/>
    <x v="4"/>
    <x v="4"/>
    <n v="0"/>
    <x v="4"/>
  </r>
  <r>
    <x v="0"/>
    <x v="0"/>
    <x v="5"/>
    <x v="0"/>
    <n v="1.151"/>
    <x v="4"/>
  </r>
  <r>
    <x v="0"/>
    <x v="0"/>
    <x v="5"/>
    <x v="1"/>
    <n v="1.2869999999999999"/>
    <x v="4"/>
  </r>
  <r>
    <x v="0"/>
    <x v="0"/>
    <x v="5"/>
    <x v="2"/>
    <n v="1.1779999999999999"/>
    <x v="4"/>
  </r>
  <r>
    <x v="0"/>
    <x v="0"/>
    <x v="5"/>
    <x v="3"/>
    <n v="1.4630000000000001"/>
    <x v="4"/>
  </r>
  <r>
    <x v="0"/>
    <x v="0"/>
    <x v="5"/>
    <x v="4"/>
    <n v="1.1359999999999999"/>
    <x v="4"/>
  </r>
  <r>
    <x v="0"/>
    <x v="0"/>
    <x v="6"/>
    <x v="0"/>
    <n v="35.612000000000002"/>
    <x v="4"/>
  </r>
  <r>
    <x v="0"/>
    <x v="0"/>
    <x v="6"/>
    <x v="1"/>
    <n v="33.661999999999999"/>
    <x v="4"/>
  </r>
  <r>
    <x v="0"/>
    <x v="0"/>
    <x v="6"/>
    <x v="2"/>
    <n v="39.433999999999997"/>
    <x v="4"/>
  </r>
  <r>
    <x v="0"/>
    <x v="0"/>
    <x v="6"/>
    <x v="3"/>
    <n v="30.53"/>
    <x v="4"/>
  </r>
  <r>
    <x v="0"/>
    <x v="0"/>
    <x v="6"/>
    <x v="4"/>
    <n v="29.614999999999998"/>
    <x v="4"/>
  </r>
  <r>
    <x v="0"/>
    <x v="0"/>
    <x v="7"/>
    <x v="0"/>
    <n v="20.701000000000001"/>
    <x v="4"/>
  </r>
  <r>
    <x v="0"/>
    <x v="0"/>
    <x v="7"/>
    <x v="1"/>
    <n v="21.11"/>
    <x v="4"/>
  </r>
  <r>
    <x v="0"/>
    <x v="0"/>
    <x v="7"/>
    <x v="2"/>
    <n v="21.308"/>
    <x v="4"/>
  </r>
  <r>
    <x v="0"/>
    <x v="0"/>
    <x v="7"/>
    <x v="3"/>
    <n v="19.445"/>
    <x v="4"/>
  </r>
  <r>
    <x v="0"/>
    <x v="0"/>
    <x v="7"/>
    <x v="4"/>
    <n v="21.452999999999999"/>
    <x v="4"/>
  </r>
  <r>
    <x v="0"/>
    <x v="0"/>
    <x v="8"/>
    <x v="0"/>
    <n v="3.27"/>
    <x v="4"/>
  </r>
  <r>
    <x v="0"/>
    <x v="0"/>
    <x v="8"/>
    <x v="1"/>
    <n v="4.2539999999999996"/>
    <x v="4"/>
  </r>
  <r>
    <x v="0"/>
    <x v="0"/>
    <x v="8"/>
    <x v="2"/>
    <n v="4.0279999999999996"/>
    <x v="4"/>
  </r>
  <r>
    <x v="0"/>
    <x v="0"/>
    <x v="8"/>
    <x v="3"/>
    <n v="5.0030000000000001"/>
    <x v="4"/>
  </r>
  <r>
    <x v="0"/>
    <x v="0"/>
    <x v="8"/>
    <x v="4"/>
    <n v="3.8069999999999999"/>
    <x v="4"/>
  </r>
  <r>
    <x v="0"/>
    <x v="0"/>
    <x v="9"/>
    <x v="0"/>
    <n v="0"/>
    <x v="4"/>
  </r>
  <r>
    <x v="0"/>
    <x v="0"/>
    <x v="9"/>
    <x v="1"/>
    <n v="0"/>
    <x v="4"/>
  </r>
  <r>
    <x v="0"/>
    <x v="0"/>
    <x v="9"/>
    <x v="2"/>
    <n v="0"/>
    <x v="4"/>
  </r>
  <r>
    <x v="0"/>
    <x v="0"/>
    <x v="9"/>
    <x v="3"/>
    <n v="0"/>
    <x v="4"/>
  </r>
  <r>
    <x v="0"/>
    <x v="0"/>
    <x v="9"/>
    <x v="4"/>
    <n v="0"/>
    <x v="4"/>
  </r>
  <r>
    <x v="0"/>
    <x v="0"/>
    <x v="10"/>
    <x v="0"/>
    <n v="0"/>
    <x v="4"/>
  </r>
  <r>
    <x v="0"/>
    <x v="0"/>
    <x v="10"/>
    <x v="1"/>
    <n v="0"/>
    <x v="4"/>
  </r>
  <r>
    <x v="0"/>
    <x v="0"/>
    <x v="10"/>
    <x v="2"/>
    <n v="0"/>
    <x v="4"/>
  </r>
  <r>
    <x v="0"/>
    <x v="0"/>
    <x v="10"/>
    <x v="3"/>
    <n v="0"/>
    <x v="4"/>
  </r>
  <r>
    <x v="0"/>
    <x v="0"/>
    <x v="10"/>
    <x v="4"/>
    <n v="0"/>
    <x v="4"/>
  </r>
  <r>
    <x v="0"/>
    <x v="0"/>
    <x v="11"/>
    <x v="0"/>
    <n v="29.701000000000001"/>
    <x v="4"/>
  </r>
  <r>
    <x v="0"/>
    <x v="0"/>
    <x v="11"/>
    <x v="1"/>
    <n v="27.143999999999998"/>
    <x v="4"/>
  </r>
  <r>
    <x v="0"/>
    <x v="0"/>
    <x v="11"/>
    <x v="2"/>
    <n v="26.725000000000001"/>
    <x v="4"/>
  </r>
  <r>
    <x v="0"/>
    <x v="0"/>
    <x v="11"/>
    <x v="3"/>
    <n v="22.792999999999999"/>
    <x v="4"/>
  </r>
  <r>
    <x v="0"/>
    <x v="0"/>
    <x v="11"/>
    <x v="4"/>
    <n v="24.087"/>
    <x v="4"/>
  </r>
  <r>
    <x v="0"/>
    <x v="0"/>
    <x v="12"/>
    <x v="0"/>
    <n v="25.152999999999999"/>
    <x v="4"/>
  </r>
  <r>
    <x v="0"/>
    <x v="0"/>
    <x v="12"/>
    <x v="1"/>
    <n v="22.908999999999999"/>
    <x v="4"/>
  </r>
  <r>
    <x v="0"/>
    <x v="0"/>
    <x v="12"/>
    <x v="2"/>
    <n v="19.372"/>
    <x v="4"/>
  </r>
  <r>
    <x v="0"/>
    <x v="0"/>
    <x v="12"/>
    <x v="3"/>
    <n v="15.849"/>
    <x v="4"/>
  </r>
  <r>
    <x v="0"/>
    <x v="0"/>
    <x v="12"/>
    <x v="4"/>
    <n v="18.425999999999998"/>
    <x v="4"/>
  </r>
  <r>
    <x v="0"/>
    <x v="0"/>
    <x v="13"/>
    <x v="0"/>
    <n v="0"/>
    <x v="4"/>
  </r>
  <r>
    <x v="0"/>
    <x v="0"/>
    <x v="13"/>
    <x v="1"/>
    <n v="0"/>
    <x v="4"/>
  </r>
  <r>
    <x v="0"/>
    <x v="0"/>
    <x v="13"/>
    <x v="2"/>
    <n v="0"/>
    <x v="4"/>
  </r>
  <r>
    <x v="0"/>
    <x v="0"/>
    <x v="13"/>
    <x v="3"/>
    <n v="0"/>
    <x v="4"/>
  </r>
  <r>
    <x v="0"/>
    <x v="0"/>
    <x v="13"/>
    <x v="4"/>
    <n v="0"/>
    <x v="4"/>
  </r>
  <r>
    <x v="0"/>
    <x v="0"/>
    <x v="14"/>
    <x v="0"/>
    <n v="2.9"/>
    <x v="4"/>
  </r>
  <r>
    <x v="0"/>
    <x v="0"/>
    <x v="14"/>
    <x v="1"/>
    <n v="2.4740000000000002"/>
    <x v="4"/>
  </r>
  <r>
    <x v="0"/>
    <x v="0"/>
    <x v="14"/>
    <x v="2"/>
    <n v="1.2529999999999999"/>
    <x v="4"/>
  </r>
  <r>
    <x v="0"/>
    <x v="0"/>
    <x v="14"/>
    <x v="3"/>
    <n v="0.81899999999999995"/>
    <x v="4"/>
  </r>
  <r>
    <x v="0"/>
    <x v="0"/>
    <x v="14"/>
    <x v="4"/>
    <n v="0.45800000000000002"/>
    <x v="4"/>
  </r>
  <r>
    <x v="0"/>
    <x v="0"/>
    <x v="15"/>
    <x v="0"/>
    <n v="0"/>
    <x v="4"/>
  </r>
  <r>
    <x v="0"/>
    <x v="0"/>
    <x v="15"/>
    <x v="1"/>
    <n v="0"/>
    <x v="4"/>
  </r>
  <r>
    <x v="0"/>
    <x v="0"/>
    <x v="15"/>
    <x v="2"/>
    <n v="0"/>
    <x v="4"/>
  </r>
  <r>
    <x v="0"/>
    <x v="0"/>
    <x v="15"/>
    <x v="3"/>
    <n v="0"/>
    <x v="4"/>
  </r>
  <r>
    <x v="0"/>
    <x v="0"/>
    <x v="15"/>
    <x v="4"/>
    <n v="0"/>
    <x v="4"/>
  </r>
  <r>
    <x v="0"/>
    <x v="0"/>
    <x v="16"/>
    <x v="0"/>
    <n v="30.009"/>
    <x v="4"/>
  </r>
  <r>
    <x v="0"/>
    <x v="0"/>
    <x v="16"/>
    <x v="1"/>
    <n v="24.843"/>
    <x v="4"/>
  </r>
  <r>
    <x v="0"/>
    <x v="0"/>
    <x v="16"/>
    <x v="2"/>
    <n v="26.100999999999999"/>
    <x v="4"/>
  </r>
  <r>
    <x v="0"/>
    <x v="0"/>
    <x v="16"/>
    <x v="3"/>
    <n v="25.542000000000002"/>
    <x v="4"/>
  </r>
  <r>
    <x v="0"/>
    <x v="0"/>
    <x v="16"/>
    <x v="4"/>
    <n v="25.001000000000001"/>
    <x v="4"/>
  </r>
  <r>
    <x v="0"/>
    <x v="0"/>
    <x v="17"/>
    <x v="0"/>
    <n v="5.0119999999999996"/>
    <x v="4"/>
  </r>
  <r>
    <x v="0"/>
    <x v="0"/>
    <x v="17"/>
    <x v="1"/>
    <n v="5.3109999999999999"/>
    <x v="4"/>
  </r>
  <r>
    <x v="0"/>
    <x v="0"/>
    <x v="17"/>
    <x v="2"/>
    <n v="5.2770000000000001"/>
    <x v="4"/>
  </r>
  <r>
    <x v="0"/>
    <x v="0"/>
    <x v="17"/>
    <x v="3"/>
    <n v="4.8650000000000002"/>
    <x v="4"/>
  </r>
  <r>
    <x v="0"/>
    <x v="0"/>
    <x v="17"/>
    <x v="4"/>
    <n v="4.585"/>
    <x v="4"/>
  </r>
  <r>
    <x v="0"/>
    <x v="0"/>
    <x v="18"/>
    <x v="0"/>
    <n v="12.769"/>
    <x v="4"/>
  </r>
  <r>
    <x v="0"/>
    <x v="0"/>
    <x v="18"/>
    <x v="1"/>
    <n v="8.8480000000000008"/>
    <x v="4"/>
  </r>
  <r>
    <x v="0"/>
    <x v="0"/>
    <x v="18"/>
    <x v="2"/>
    <n v="9.3940000000000001"/>
    <x v="4"/>
  </r>
  <r>
    <x v="0"/>
    <x v="0"/>
    <x v="18"/>
    <x v="3"/>
    <n v="7.6449999999999996"/>
    <x v="4"/>
  </r>
  <r>
    <x v="0"/>
    <x v="0"/>
    <x v="18"/>
    <x v="4"/>
    <n v="8.2270000000000003"/>
    <x v="4"/>
  </r>
  <r>
    <x v="0"/>
    <x v="0"/>
    <x v="19"/>
    <x v="0"/>
    <n v="0.123"/>
    <x v="4"/>
  </r>
  <r>
    <x v="0"/>
    <x v="0"/>
    <x v="19"/>
    <x v="1"/>
    <n v="0.11600000000000001"/>
    <x v="4"/>
  </r>
  <r>
    <x v="0"/>
    <x v="0"/>
    <x v="19"/>
    <x v="2"/>
    <n v="0.10199999999999999"/>
    <x v="4"/>
  </r>
  <r>
    <x v="0"/>
    <x v="0"/>
    <x v="19"/>
    <x v="3"/>
    <n v="0.10100000000000001"/>
    <x v="4"/>
  </r>
  <r>
    <x v="0"/>
    <x v="0"/>
    <x v="19"/>
    <x v="4"/>
    <n v="9.5000000000000001E-2"/>
    <x v="4"/>
  </r>
  <r>
    <x v="0"/>
    <x v="0"/>
    <x v="20"/>
    <x v="0"/>
    <n v="5.8360000000000003"/>
    <x v="4"/>
  </r>
  <r>
    <x v="0"/>
    <x v="0"/>
    <x v="20"/>
    <x v="1"/>
    <n v="5.9880000000000004"/>
    <x v="4"/>
  </r>
  <r>
    <x v="0"/>
    <x v="0"/>
    <x v="20"/>
    <x v="2"/>
    <n v="5.9039999999999999"/>
    <x v="4"/>
  </r>
  <r>
    <x v="0"/>
    <x v="0"/>
    <x v="20"/>
    <x v="3"/>
    <n v="5.4349999999999996"/>
    <x v="4"/>
  </r>
  <r>
    <x v="0"/>
    <x v="0"/>
    <x v="20"/>
    <x v="4"/>
    <n v="6.1909999999999998"/>
    <x v="4"/>
  </r>
  <r>
    <x v="0"/>
    <x v="0"/>
    <x v="21"/>
    <x v="0"/>
    <n v="0.35499999999999998"/>
    <x v="4"/>
  </r>
  <r>
    <x v="0"/>
    <x v="0"/>
    <x v="21"/>
    <x v="1"/>
    <n v="0.26900000000000002"/>
    <x v="4"/>
  </r>
  <r>
    <x v="0"/>
    <x v="0"/>
    <x v="21"/>
    <x v="2"/>
    <n v="0.23"/>
    <x v="4"/>
  </r>
  <r>
    <x v="0"/>
    <x v="0"/>
    <x v="21"/>
    <x v="3"/>
    <n v="0.4"/>
    <x v="4"/>
  </r>
  <r>
    <x v="0"/>
    <x v="0"/>
    <x v="21"/>
    <x v="4"/>
    <n v="0.51800000000000002"/>
    <x v="4"/>
  </r>
  <r>
    <x v="0"/>
    <x v="0"/>
    <x v="22"/>
    <x v="0"/>
    <n v="0"/>
    <x v="4"/>
  </r>
  <r>
    <x v="0"/>
    <x v="0"/>
    <x v="22"/>
    <x v="1"/>
    <n v="0"/>
    <x v="4"/>
  </r>
  <r>
    <x v="0"/>
    <x v="0"/>
    <x v="22"/>
    <x v="2"/>
    <n v="0"/>
    <x v="4"/>
  </r>
  <r>
    <x v="0"/>
    <x v="0"/>
    <x v="22"/>
    <x v="3"/>
    <n v="0"/>
    <x v="4"/>
  </r>
  <r>
    <x v="0"/>
    <x v="0"/>
    <x v="22"/>
    <x v="4"/>
    <n v="0"/>
    <x v="4"/>
  </r>
  <r>
    <x v="0"/>
    <x v="0"/>
    <x v="23"/>
    <x v="0"/>
    <n v="0"/>
    <x v="4"/>
  </r>
  <r>
    <x v="0"/>
    <x v="0"/>
    <x v="23"/>
    <x v="1"/>
    <n v="0"/>
    <x v="4"/>
  </r>
  <r>
    <x v="0"/>
    <x v="0"/>
    <x v="23"/>
    <x v="2"/>
    <n v="0"/>
    <x v="4"/>
  </r>
  <r>
    <x v="0"/>
    <x v="0"/>
    <x v="23"/>
    <x v="3"/>
    <n v="0"/>
    <x v="4"/>
  </r>
  <r>
    <x v="0"/>
    <x v="0"/>
    <x v="23"/>
    <x v="4"/>
    <n v="0"/>
    <x v="4"/>
  </r>
  <r>
    <x v="0"/>
    <x v="0"/>
    <x v="24"/>
    <x v="0"/>
    <n v="0"/>
    <x v="4"/>
  </r>
  <r>
    <x v="0"/>
    <x v="0"/>
    <x v="24"/>
    <x v="1"/>
    <n v="0"/>
    <x v="4"/>
  </r>
  <r>
    <x v="0"/>
    <x v="0"/>
    <x v="24"/>
    <x v="2"/>
    <n v="0"/>
    <x v="4"/>
  </r>
  <r>
    <x v="0"/>
    <x v="0"/>
    <x v="24"/>
    <x v="3"/>
    <n v="0"/>
    <x v="4"/>
  </r>
  <r>
    <x v="0"/>
    <x v="0"/>
    <x v="24"/>
    <x v="4"/>
    <n v="0"/>
    <x v="4"/>
  </r>
  <r>
    <x v="0"/>
    <x v="0"/>
    <x v="25"/>
    <x v="0"/>
    <n v="0.42199999999999999"/>
    <x v="4"/>
  </r>
  <r>
    <x v="0"/>
    <x v="0"/>
    <x v="25"/>
    <x v="1"/>
    <n v="7.5999999999999998E-2"/>
    <x v="4"/>
  </r>
  <r>
    <x v="0"/>
    <x v="0"/>
    <x v="25"/>
    <x v="2"/>
    <n v="2.3E-2"/>
    <x v="4"/>
  </r>
  <r>
    <x v="0"/>
    <x v="0"/>
    <x v="25"/>
    <x v="3"/>
    <n v="5.3220000000000001"/>
    <x v="4"/>
  </r>
  <r>
    <x v="0"/>
    <x v="0"/>
    <x v="25"/>
    <x v="4"/>
    <n v="5.5229999999999997"/>
    <x v="4"/>
  </r>
  <r>
    <x v="0"/>
    <x v="0"/>
    <x v="26"/>
    <x v="0"/>
    <n v="8.0399999999999991"/>
    <x v="4"/>
  </r>
  <r>
    <x v="0"/>
    <x v="0"/>
    <x v="26"/>
    <x v="1"/>
    <n v="7.82"/>
    <x v="4"/>
  </r>
  <r>
    <x v="0"/>
    <x v="0"/>
    <x v="26"/>
    <x v="2"/>
    <n v="7.3109999999999999"/>
    <x v="4"/>
  </r>
  <r>
    <x v="0"/>
    <x v="0"/>
    <x v="26"/>
    <x v="3"/>
    <n v="6.3419999999999996"/>
    <x v="4"/>
  </r>
  <r>
    <x v="0"/>
    <x v="0"/>
    <x v="26"/>
    <x v="4"/>
    <n v="6.452"/>
    <x v="4"/>
  </r>
  <r>
    <x v="0"/>
    <x v="0"/>
    <x v="27"/>
    <x v="0"/>
    <n v="1.742"/>
    <x v="4"/>
  </r>
  <r>
    <x v="0"/>
    <x v="0"/>
    <x v="27"/>
    <x v="1"/>
    <n v="2.0099999999999998"/>
    <x v="4"/>
  </r>
  <r>
    <x v="0"/>
    <x v="0"/>
    <x v="27"/>
    <x v="2"/>
    <n v="1.7"/>
    <x v="4"/>
  </r>
  <r>
    <x v="0"/>
    <x v="0"/>
    <x v="27"/>
    <x v="3"/>
    <n v="1.788"/>
    <x v="4"/>
  </r>
  <r>
    <x v="0"/>
    <x v="0"/>
    <x v="27"/>
    <x v="4"/>
    <n v="1.893"/>
    <x v="4"/>
  </r>
  <r>
    <x v="0"/>
    <x v="0"/>
    <x v="28"/>
    <x v="0"/>
    <n v="0"/>
    <x v="4"/>
  </r>
  <r>
    <x v="0"/>
    <x v="0"/>
    <x v="28"/>
    <x v="1"/>
    <n v="0"/>
    <x v="4"/>
  </r>
  <r>
    <x v="0"/>
    <x v="0"/>
    <x v="28"/>
    <x v="2"/>
    <n v="0"/>
    <x v="4"/>
  </r>
  <r>
    <x v="0"/>
    <x v="0"/>
    <x v="28"/>
    <x v="3"/>
    <n v="0"/>
    <x v="4"/>
  </r>
  <r>
    <x v="0"/>
    <x v="0"/>
    <x v="28"/>
    <x v="4"/>
    <n v="0"/>
    <x v="4"/>
  </r>
  <r>
    <x v="0"/>
    <x v="0"/>
    <x v="29"/>
    <x v="0"/>
    <n v="2.0550000000000002"/>
    <x v="4"/>
  </r>
  <r>
    <x v="0"/>
    <x v="0"/>
    <x v="29"/>
    <x v="1"/>
    <n v="1.728"/>
    <x v="4"/>
  </r>
  <r>
    <x v="0"/>
    <x v="0"/>
    <x v="29"/>
    <x v="2"/>
    <n v="1.976"/>
    <x v="4"/>
  </r>
  <r>
    <x v="0"/>
    <x v="0"/>
    <x v="29"/>
    <x v="3"/>
    <n v="2.8839999999999999"/>
    <x v="4"/>
  </r>
  <r>
    <x v="0"/>
    <x v="0"/>
    <x v="29"/>
    <x v="4"/>
    <n v="1.7789999999999999"/>
    <x v="4"/>
  </r>
  <r>
    <x v="0"/>
    <x v="0"/>
    <x v="30"/>
    <x v="0"/>
    <n v="0.09"/>
    <x v="4"/>
  </r>
  <r>
    <x v="0"/>
    <x v="0"/>
    <x v="30"/>
    <x v="1"/>
    <n v="7.9000000000000001E-2"/>
    <x v="4"/>
  </r>
  <r>
    <x v="0"/>
    <x v="0"/>
    <x v="30"/>
    <x v="2"/>
    <n v="7.2999999999999995E-2"/>
    <x v="4"/>
  </r>
  <r>
    <x v="0"/>
    <x v="0"/>
    <x v="30"/>
    <x v="3"/>
    <n v="0.09"/>
    <x v="4"/>
  </r>
  <r>
    <x v="0"/>
    <x v="0"/>
    <x v="30"/>
    <x v="4"/>
    <n v="8.4000000000000005E-2"/>
    <x v="4"/>
  </r>
  <r>
    <x v="0"/>
    <x v="0"/>
    <x v="31"/>
    <x v="0"/>
    <n v="38.71"/>
    <x v="4"/>
  </r>
  <r>
    <x v="0"/>
    <x v="0"/>
    <x v="31"/>
    <x v="1"/>
    <n v="42.128"/>
    <x v="4"/>
  </r>
  <r>
    <x v="0"/>
    <x v="0"/>
    <x v="31"/>
    <x v="2"/>
    <n v="46.206000000000003"/>
    <x v="4"/>
  </r>
  <r>
    <x v="0"/>
    <x v="0"/>
    <x v="31"/>
    <x v="3"/>
    <n v="49.485999999999997"/>
    <x v="4"/>
  </r>
  <r>
    <x v="0"/>
    <x v="0"/>
    <x v="31"/>
    <x v="4"/>
    <n v="52.1"/>
    <x v="4"/>
  </r>
  <r>
    <x v="0"/>
    <x v="0"/>
    <x v="32"/>
    <x v="0"/>
    <n v="0.34899999999999998"/>
    <x v="4"/>
  </r>
  <r>
    <x v="0"/>
    <x v="0"/>
    <x v="32"/>
    <x v="1"/>
    <n v="0.46100000000000002"/>
    <x v="4"/>
  </r>
  <r>
    <x v="0"/>
    <x v="0"/>
    <x v="32"/>
    <x v="2"/>
    <n v="0.5"/>
    <x v="4"/>
  </r>
  <r>
    <x v="0"/>
    <x v="0"/>
    <x v="32"/>
    <x v="3"/>
    <n v="0.41899999999999998"/>
    <x v="4"/>
  </r>
  <r>
    <x v="0"/>
    <x v="0"/>
    <x v="32"/>
    <x v="4"/>
    <n v="0.35199999999999998"/>
    <x v="4"/>
  </r>
  <r>
    <x v="0"/>
    <x v="0"/>
    <x v="33"/>
    <x v="0"/>
    <n v="2.4409999999999998"/>
    <x v="4"/>
  </r>
  <r>
    <x v="0"/>
    <x v="0"/>
    <x v="33"/>
    <x v="1"/>
    <n v="3.1949999999999998"/>
    <x v="4"/>
  </r>
  <r>
    <x v="0"/>
    <x v="0"/>
    <x v="33"/>
    <x v="2"/>
    <n v="3.1970000000000001"/>
    <x v="4"/>
  </r>
  <r>
    <x v="0"/>
    <x v="0"/>
    <x v="33"/>
    <x v="3"/>
    <n v="3.028"/>
    <x v="4"/>
  </r>
  <r>
    <x v="0"/>
    <x v="0"/>
    <x v="33"/>
    <x v="4"/>
    <n v="3.0430000000000001"/>
    <x v="4"/>
  </r>
  <r>
    <x v="0"/>
    <x v="0"/>
    <x v="34"/>
    <x v="0"/>
    <n v="0"/>
    <x v="4"/>
  </r>
  <r>
    <x v="0"/>
    <x v="0"/>
    <x v="34"/>
    <x v="1"/>
    <n v="0"/>
    <x v="4"/>
  </r>
  <r>
    <x v="0"/>
    <x v="0"/>
    <x v="34"/>
    <x v="2"/>
    <n v="0"/>
    <x v="4"/>
  </r>
  <r>
    <x v="0"/>
    <x v="0"/>
    <x v="34"/>
    <x v="3"/>
    <n v="0"/>
    <x v="4"/>
  </r>
  <r>
    <x v="0"/>
    <x v="0"/>
    <x v="34"/>
    <x v="4"/>
    <n v="0"/>
    <x v="4"/>
  </r>
  <r>
    <x v="0"/>
    <x v="0"/>
    <x v="35"/>
    <x v="0"/>
    <n v="1.4259999999999999"/>
    <x v="4"/>
  </r>
  <r>
    <x v="0"/>
    <x v="0"/>
    <x v="35"/>
    <x v="1"/>
    <n v="3.194"/>
    <x v="4"/>
  </r>
  <r>
    <x v="0"/>
    <x v="0"/>
    <x v="35"/>
    <x v="2"/>
    <n v="2.109"/>
    <x v="4"/>
  </r>
  <r>
    <x v="0"/>
    <x v="0"/>
    <x v="35"/>
    <x v="3"/>
    <n v="1.964"/>
    <x v="4"/>
  </r>
  <r>
    <x v="0"/>
    <x v="0"/>
    <x v="35"/>
    <x v="4"/>
    <n v="2.7549999999999999"/>
    <x v="4"/>
  </r>
  <r>
    <x v="0"/>
    <x v="0"/>
    <x v="36"/>
    <x v="0"/>
    <n v="1.583"/>
    <x v="4"/>
  </r>
  <r>
    <x v="0"/>
    <x v="0"/>
    <x v="36"/>
    <x v="1"/>
    <n v="1.4019999999999999"/>
    <x v="4"/>
  </r>
  <r>
    <x v="0"/>
    <x v="0"/>
    <x v="36"/>
    <x v="2"/>
    <n v="3.5760000000000001"/>
    <x v="4"/>
  </r>
  <r>
    <x v="0"/>
    <x v="0"/>
    <x v="36"/>
    <x v="3"/>
    <n v="2.8039999999999998"/>
    <x v="4"/>
  </r>
  <r>
    <x v="0"/>
    <x v="0"/>
    <x v="36"/>
    <x v="4"/>
    <n v="1.0069999999999999"/>
    <x v="4"/>
  </r>
  <r>
    <x v="0"/>
    <x v="0"/>
    <x v="37"/>
    <x v="0"/>
    <n v="0"/>
    <x v="4"/>
  </r>
  <r>
    <x v="0"/>
    <x v="0"/>
    <x v="37"/>
    <x v="1"/>
    <n v="0"/>
    <x v="4"/>
  </r>
  <r>
    <x v="0"/>
    <x v="0"/>
    <x v="37"/>
    <x v="2"/>
    <n v="0"/>
    <x v="4"/>
  </r>
  <r>
    <x v="0"/>
    <x v="0"/>
    <x v="37"/>
    <x v="3"/>
    <n v="0"/>
    <x v="4"/>
  </r>
  <r>
    <x v="0"/>
    <x v="0"/>
    <x v="37"/>
    <x v="4"/>
    <n v="0"/>
    <x v="4"/>
  </r>
  <r>
    <x v="0"/>
    <x v="0"/>
    <x v="0"/>
    <x v="0"/>
    <n v="0"/>
    <x v="5"/>
  </r>
  <r>
    <x v="0"/>
    <x v="0"/>
    <x v="0"/>
    <x v="1"/>
    <n v="0"/>
    <x v="5"/>
  </r>
  <r>
    <x v="0"/>
    <x v="0"/>
    <x v="0"/>
    <x v="2"/>
    <n v="0"/>
    <x v="5"/>
  </r>
  <r>
    <x v="0"/>
    <x v="0"/>
    <x v="0"/>
    <x v="3"/>
    <n v="0"/>
    <x v="5"/>
  </r>
  <r>
    <x v="0"/>
    <x v="0"/>
    <x v="0"/>
    <x v="4"/>
    <n v="0"/>
    <x v="5"/>
  </r>
  <r>
    <x v="0"/>
    <x v="0"/>
    <x v="1"/>
    <x v="0"/>
    <n v="0"/>
    <x v="5"/>
  </r>
  <r>
    <x v="0"/>
    <x v="0"/>
    <x v="1"/>
    <x v="1"/>
    <n v="0"/>
    <x v="5"/>
  </r>
  <r>
    <x v="0"/>
    <x v="0"/>
    <x v="1"/>
    <x v="2"/>
    <n v="0"/>
    <x v="5"/>
  </r>
  <r>
    <x v="0"/>
    <x v="0"/>
    <x v="1"/>
    <x v="3"/>
    <n v="0"/>
    <x v="5"/>
  </r>
  <r>
    <x v="0"/>
    <x v="0"/>
    <x v="1"/>
    <x v="4"/>
    <n v="0"/>
    <x v="5"/>
  </r>
  <r>
    <x v="0"/>
    <x v="0"/>
    <x v="2"/>
    <x v="0"/>
    <n v="0"/>
    <x v="5"/>
  </r>
  <r>
    <x v="0"/>
    <x v="0"/>
    <x v="2"/>
    <x v="1"/>
    <n v="0"/>
    <x v="5"/>
  </r>
  <r>
    <x v="0"/>
    <x v="0"/>
    <x v="2"/>
    <x v="2"/>
    <n v="0"/>
    <x v="5"/>
  </r>
  <r>
    <x v="0"/>
    <x v="0"/>
    <x v="2"/>
    <x v="3"/>
    <n v="0"/>
    <x v="5"/>
  </r>
  <r>
    <x v="0"/>
    <x v="0"/>
    <x v="2"/>
    <x v="4"/>
    <n v="0"/>
    <x v="5"/>
  </r>
  <r>
    <x v="0"/>
    <x v="0"/>
    <x v="3"/>
    <x v="0"/>
    <n v="0"/>
    <x v="5"/>
  </r>
  <r>
    <x v="0"/>
    <x v="0"/>
    <x v="3"/>
    <x v="1"/>
    <n v="0"/>
    <x v="5"/>
  </r>
  <r>
    <x v="0"/>
    <x v="0"/>
    <x v="3"/>
    <x v="2"/>
    <n v="0"/>
    <x v="5"/>
  </r>
  <r>
    <x v="0"/>
    <x v="0"/>
    <x v="3"/>
    <x v="3"/>
    <n v="0"/>
    <x v="5"/>
  </r>
  <r>
    <x v="0"/>
    <x v="0"/>
    <x v="3"/>
    <x v="4"/>
    <n v="0"/>
    <x v="5"/>
  </r>
  <r>
    <x v="0"/>
    <x v="0"/>
    <x v="4"/>
    <x v="0"/>
    <n v="0"/>
    <x v="5"/>
  </r>
  <r>
    <x v="0"/>
    <x v="0"/>
    <x v="4"/>
    <x v="1"/>
    <n v="0"/>
    <x v="5"/>
  </r>
  <r>
    <x v="0"/>
    <x v="0"/>
    <x v="4"/>
    <x v="2"/>
    <n v="0"/>
    <x v="5"/>
  </r>
  <r>
    <x v="0"/>
    <x v="0"/>
    <x v="4"/>
    <x v="3"/>
    <n v="0"/>
    <x v="5"/>
  </r>
  <r>
    <x v="0"/>
    <x v="0"/>
    <x v="4"/>
    <x v="4"/>
    <n v="0"/>
    <x v="5"/>
  </r>
  <r>
    <x v="0"/>
    <x v="0"/>
    <x v="5"/>
    <x v="0"/>
    <n v="5.8000000000000003E-2"/>
    <x v="5"/>
  </r>
  <r>
    <x v="0"/>
    <x v="0"/>
    <x v="5"/>
    <x v="1"/>
    <n v="2.9000000000000001E-2"/>
    <x v="5"/>
  </r>
  <r>
    <x v="0"/>
    <x v="0"/>
    <x v="5"/>
    <x v="2"/>
    <n v="2.9000000000000001E-2"/>
    <x v="5"/>
  </r>
  <r>
    <x v="0"/>
    <x v="0"/>
    <x v="5"/>
    <x v="3"/>
    <n v="3.2000000000000001E-2"/>
    <x v="5"/>
  </r>
  <r>
    <x v="0"/>
    <x v="0"/>
    <x v="5"/>
    <x v="4"/>
    <n v="2.9000000000000001E-2"/>
    <x v="5"/>
  </r>
  <r>
    <x v="0"/>
    <x v="0"/>
    <x v="6"/>
    <x v="0"/>
    <n v="0"/>
    <x v="5"/>
  </r>
  <r>
    <x v="0"/>
    <x v="0"/>
    <x v="6"/>
    <x v="1"/>
    <n v="0"/>
    <x v="5"/>
  </r>
  <r>
    <x v="0"/>
    <x v="0"/>
    <x v="6"/>
    <x v="2"/>
    <n v="0"/>
    <x v="5"/>
  </r>
  <r>
    <x v="0"/>
    <x v="0"/>
    <x v="6"/>
    <x v="3"/>
    <n v="0"/>
    <x v="5"/>
  </r>
  <r>
    <x v="0"/>
    <x v="0"/>
    <x v="6"/>
    <x v="4"/>
    <n v="0"/>
    <x v="5"/>
  </r>
  <r>
    <x v="0"/>
    <x v="0"/>
    <x v="7"/>
    <x v="0"/>
    <n v="0.45400000000000001"/>
    <x v="5"/>
  </r>
  <r>
    <x v="0"/>
    <x v="0"/>
    <x v="7"/>
    <x v="1"/>
    <n v="0.55800000000000005"/>
    <x v="5"/>
  </r>
  <r>
    <x v="0"/>
    <x v="0"/>
    <x v="7"/>
    <x v="2"/>
    <n v="0.69099999999999995"/>
    <x v="5"/>
  </r>
  <r>
    <x v="0"/>
    <x v="0"/>
    <x v="7"/>
    <x v="3"/>
    <n v="0.25900000000000001"/>
    <x v="5"/>
  </r>
  <r>
    <x v="0"/>
    <x v="0"/>
    <x v="7"/>
    <x v="4"/>
    <n v="0.151"/>
    <x v="5"/>
  </r>
  <r>
    <x v="0"/>
    <x v="0"/>
    <x v="8"/>
    <x v="0"/>
    <n v="0"/>
    <x v="5"/>
  </r>
  <r>
    <x v="0"/>
    <x v="0"/>
    <x v="8"/>
    <x v="1"/>
    <n v="0"/>
    <x v="5"/>
  </r>
  <r>
    <x v="0"/>
    <x v="0"/>
    <x v="8"/>
    <x v="2"/>
    <n v="0"/>
    <x v="5"/>
  </r>
  <r>
    <x v="0"/>
    <x v="0"/>
    <x v="8"/>
    <x v="3"/>
    <n v="0"/>
    <x v="5"/>
  </r>
  <r>
    <x v="0"/>
    <x v="0"/>
    <x v="8"/>
    <x v="4"/>
    <n v="0"/>
    <x v="5"/>
  </r>
  <r>
    <x v="0"/>
    <x v="0"/>
    <x v="9"/>
    <x v="0"/>
    <n v="0"/>
    <x v="5"/>
  </r>
  <r>
    <x v="0"/>
    <x v="0"/>
    <x v="9"/>
    <x v="1"/>
    <n v="0"/>
    <x v="5"/>
  </r>
  <r>
    <x v="0"/>
    <x v="0"/>
    <x v="9"/>
    <x v="2"/>
    <n v="0"/>
    <x v="5"/>
  </r>
  <r>
    <x v="0"/>
    <x v="0"/>
    <x v="9"/>
    <x v="3"/>
    <n v="0"/>
    <x v="5"/>
  </r>
  <r>
    <x v="0"/>
    <x v="0"/>
    <x v="9"/>
    <x v="4"/>
    <n v="0"/>
    <x v="5"/>
  </r>
  <r>
    <x v="0"/>
    <x v="0"/>
    <x v="10"/>
    <x v="0"/>
    <n v="0"/>
    <x v="5"/>
  </r>
  <r>
    <x v="0"/>
    <x v="0"/>
    <x v="10"/>
    <x v="1"/>
    <n v="0"/>
    <x v="5"/>
  </r>
  <r>
    <x v="0"/>
    <x v="0"/>
    <x v="10"/>
    <x v="2"/>
    <n v="0"/>
    <x v="5"/>
  </r>
  <r>
    <x v="0"/>
    <x v="0"/>
    <x v="10"/>
    <x v="3"/>
    <n v="0"/>
    <x v="5"/>
  </r>
  <r>
    <x v="0"/>
    <x v="0"/>
    <x v="10"/>
    <x v="4"/>
    <n v="0"/>
    <x v="5"/>
  </r>
  <r>
    <x v="0"/>
    <x v="0"/>
    <x v="11"/>
    <x v="0"/>
    <n v="0.875"/>
    <x v="5"/>
  </r>
  <r>
    <x v="0"/>
    <x v="0"/>
    <x v="11"/>
    <x v="1"/>
    <n v="0.68"/>
    <x v="5"/>
  </r>
  <r>
    <x v="0"/>
    <x v="0"/>
    <x v="11"/>
    <x v="2"/>
    <n v="0.77"/>
    <x v="5"/>
  </r>
  <r>
    <x v="0"/>
    <x v="0"/>
    <x v="11"/>
    <x v="3"/>
    <n v="0.59"/>
    <x v="5"/>
  </r>
  <r>
    <x v="0"/>
    <x v="0"/>
    <x v="11"/>
    <x v="4"/>
    <n v="0.60799999999999998"/>
    <x v="5"/>
  </r>
  <r>
    <x v="0"/>
    <x v="0"/>
    <x v="12"/>
    <x v="0"/>
    <n v="6.8000000000000005E-2"/>
    <x v="5"/>
  </r>
  <r>
    <x v="0"/>
    <x v="0"/>
    <x v="12"/>
    <x v="1"/>
    <n v="2.1999999999999999E-2"/>
    <x v="5"/>
  </r>
  <r>
    <x v="0"/>
    <x v="0"/>
    <x v="12"/>
    <x v="2"/>
    <n v="1.0999999999999999E-2"/>
    <x v="5"/>
  </r>
  <r>
    <x v="0"/>
    <x v="0"/>
    <x v="12"/>
    <x v="3"/>
    <n v="0"/>
    <x v="5"/>
  </r>
  <r>
    <x v="0"/>
    <x v="0"/>
    <x v="12"/>
    <x v="4"/>
    <n v="0"/>
    <x v="5"/>
  </r>
  <r>
    <x v="0"/>
    <x v="0"/>
    <x v="13"/>
    <x v="0"/>
    <n v="0"/>
    <x v="5"/>
  </r>
  <r>
    <x v="0"/>
    <x v="0"/>
    <x v="13"/>
    <x v="1"/>
    <n v="0"/>
    <x v="5"/>
  </r>
  <r>
    <x v="0"/>
    <x v="0"/>
    <x v="13"/>
    <x v="2"/>
    <n v="0"/>
    <x v="5"/>
  </r>
  <r>
    <x v="0"/>
    <x v="0"/>
    <x v="13"/>
    <x v="3"/>
    <n v="0"/>
    <x v="5"/>
  </r>
  <r>
    <x v="0"/>
    <x v="0"/>
    <x v="13"/>
    <x v="4"/>
    <n v="0"/>
    <x v="5"/>
  </r>
  <r>
    <x v="0"/>
    <x v="0"/>
    <x v="14"/>
    <x v="0"/>
    <n v="1.4E-2"/>
    <x v="5"/>
  </r>
  <r>
    <x v="0"/>
    <x v="0"/>
    <x v="14"/>
    <x v="1"/>
    <n v="0"/>
    <x v="5"/>
  </r>
  <r>
    <x v="0"/>
    <x v="0"/>
    <x v="14"/>
    <x v="2"/>
    <n v="0"/>
    <x v="5"/>
  </r>
  <r>
    <x v="0"/>
    <x v="0"/>
    <x v="14"/>
    <x v="3"/>
    <n v="0"/>
    <x v="5"/>
  </r>
  <r>
    <x v="0"/>
    <x v="0"/>
    <x v="14"/>
    <x v="4"/>
    <n v="0"/>
    <x v="5"/>
  </r>
  <r>
    <x v="0"/>
    <x v="0"/>
    <x v="15"/>
    <x v="0"/>
    <n v="0"/>
    <x v="5"/>
  </r>
  <r>
    <x v="0"/>
    <x v="0"/>
    <x v="15"/>
    <x v="1"/>
    <n v="0"/>
    <x v="5"/>
  </r>
  <r>
    <x v="0"/>
    <x v="0"/>
    <x v="15"/>
    <x v="2"/>
    <n v="0"/>
    <x v="5"/>
  </r>
  <r>
    <x v="0"/>
    <x v="0"/>
    <x v="15"/>
    <x v="3"/>
    <n v="0"/>
    <x v="5"/>
  </r>
  <r>
    <x v="0"/>
    <x v="0"/>
    <x v="15"/>
    <x v="4"/>
    <n v="0"/>
    <x v="5"/>
  </r>
  <r>
    <x v="0"/>
    <x v="0"/>
    <x v="16"/>
    <x v="0"/>
    <n v="0.71299999999999997"/>
    <x v="5"/>
  </r>
  <r>
    <x v="0"/>
    <x v="0"/>
    <x v="16"/>
    <x v="1"/>
    <n v="0.69799999999999995"/>
    <x v="5"/>
  </r>
  <r>
    <x v="0"/>
    <x v="0"/>
    <x v="16"/>
    <x v="2"/>
    <n v="0.69799999999999995"/>
    <x v="5"/>
  </r>
  <r>
    <x v="0"/>
    <x v="0"/>
    <x v="16"/>
    <x v="3"/>
    <n v="0.70599999999999996"/>
    <x v="5"/>
  </r>
  <r>
    <x v="0"/>
    <x v="0"/>
    <x v="16"/>
    <x v="4"/>
    <n v="0.67"/>
    <x v="5"/>
  </r>
  <r>
    <x v="0"/>
    <x v="0"/>
    <x v="17"/>
    <x v="0"/>
    <n v="0"/>
    <x v="5"/>
  </r>
  <r>
    <x v="0"/>
    <x v="0"/>
    <x v="17"/>
    <x v="1"/>
    <n v="0"/>
    <x v="5"/>
  </r>
  <r>
    <x v="0"/>
    <x v="0"/>
    <x v="17"/>
    <x v="2"/>
    <n v="0"/>
    <x v="5"/>
  </r>
  <r>
    <x v="0"/>
    <x v="0"/>
    <x v="17"/>
    <x v="3"/>
    <n v="0"/>
    <x v="5"/>
  </r>
  <r>
    <x v="0"/>
    <x v="0"/>
    <x v="17"/>
    <x v="4"/>
    <n v="0"/>
    <x v="5"/>
  </r>
  <r>
    <x v="0"/>
    <x v="0"/>
    <x v="18"/>
    <x v="0"/>
    <n v="1.0999999999999999E-2"/>
    <x v="5"/>
  </r>
  <r>
    <x v="0"/>
    <x v="0"/>
    <x v="18"/>
    <x v="1"/>
    <n v="1.0999999999999999E-2"/>
    <x v="5"/>
  </r>
  <r>
    <x v="0"/>
    <x v="0"/>
    <x v="18"/>
    <x v="2"/>
    <n v="1.0999999999999999E-2"/>
    <x v="5"/>
  </r>
  <r>
    <x v="0"/>
    <x v="0"/>
    <x v="18"/>
    <x v="3"/>
    <n v="1.4E-2"/>
    <x v="5"/>
  </r>
  <r>
    <x v="0"/>
    <x v="0"/>
    <x v="18"/>
    <x v="4"/>
    <n v="1.4E-2"/>
    <x v="5"/>
  </r>
  <r>
    <x v="0"/>
    <x v="0"/>
    <x v="19"/>
    <x v="0"/>
    <n v="0"/>
    <x v="5"/>
  </r>
  <r>
    <x v="0"/>
    <x v="0"/>
    <x v="19"/>
    <x v="1"/>
    <n v="0"/>
    <x v="5"/>
  </r>
  <r>
    <x v="0"/>
    <x v="0"/>
    <x v="19"/>
    <x v="2"/>
    <n v="0"/>
    <x v="5"/>
  </r>
  <r>
    <x v="0"/>
    <x v="0"/>
    <x v="19"/>
    <x v="3"/>
    <n v="0"/>
    <x v="5"/>
  </r>
  <r>
    <x v="0"/>
    <x v="0"/>
    <x v="19"/>
    <x v="4"/>
    <n v="0"/>
    <x v="5"/>
  </r>
  <r>
    <x v="0"/>
    <x v="0"/>
    <x v="20"/>
    <x v="0"/>
    <n v="7.0000000000000001E-3"/>
    <x v="5"/>
  </r>
  <r>
    <x v="0"/>
    <x v="0"/>
    <x v="20"/>
    <x v="1"/>
    <n v="1.4E-2"/>
    <x v="5"/>
  </r>
  <r>
    <x v="0"/>
    <x v="0"/>
    <x v="20"/>
    <x v="2"/>
    <n v="1.0999999999999999E-2"/>
    <x v="5"/>
  </r>
  <r>
    <x v="0"/>
    <x v="0"/>
    <x v="20"/>
    <x v="3"/>
    <n v="7.0000000000000001E-3"/>
    <x v="5"/>
  </r>
  <r>
    <x v="0"/>
    <x v="0"/>
    <x v="20"/>
    <x v="4"/>
    <n v="7.0000000000000001E-3"/>
    <x v="5"/>
  </r>
  <r>
    <x v="0"/>
    <x v="0"/>
    <x v="21"/>
    <x v="0"/>
    <n v="0"/>
    <x v="5"/>
  </r>
  <r>
    <x v="0"/>
    <x v="0"/>
    <x v="21"/>
    <x v="1"/>
    <n v="0"/>
    <x v="5"/>
  </r>
  <r>
    <x v="0"/>
    <x v="0"/>
    <x v="21"/>
    <x v="2"/>
    <n v="0"/>
    <x v="5"/>
  </r>
  <r>
    <x v="0"/>
    <x v="0"/>
    <x v="21"/>
    <x v="3"/>
    <n v="0"/>
    <x v="5"/>
  </r>
  <r>
    <x v="0"/>
    <x v="0"/>
    <x v="21"/>
    <x v="4"/>
    <n v="0"/>
    <x v="5"/>
  </r>
  <r>
    <x v="0"/>
    <x v="0"/>
    <x v="22"/>
    <x v="0"/>
    <n v="0"/>
    <x v="5"/>
  </r>
  <r>
    <x v="0"/>
    <x v="0"/>
    <x v="22"/>
    <x v="1"/>
    <n v="0"/>
    <x v="5"/>
  </r>
  <r>
    <x v="0"/>
    <x v="0"/>
    <x v="22"/>
    <x v="2"/>
    <n v="0"/>
    <x v="5"/>
  </r>
  <r>
    <x v="0"/>
    <x v="0"/>
    <x v="22"/>
    <x v="3"/>
    <n v="0"/>
    <x v="5"/>
  </r>
  <r>
    <x v="0"/>
    <x v="0"/>
    <x v="22"/>
    <x v="4"/>
    <n v="0"/>
    <x v="5"/>
  </r>
  <r>
    <x v="0"/>
    <x v="0"/>
    <x v="23"/>
    <x v="0"/>
    <n v="0"/>
    <x v="5"/>
  </r>
  <r>
    <x v="0"/>
    <x v="0"/>
    <x v="23"/>
    <x v="1"/>
    <n v="0"/>
    <x v="5"/>
  </r>
  <r>
    <x v="0"/>
    <x v="0"/>
    <x v="23"/>
    <x v="2"/>
    <n v="0"/>
    <x v="5"/>
  </r>
  <r>
    <x v="0"/>
    <x v="0"/>
    <x v="23"/>
    <x v="3"/>
    <n v="0"/>
    <x v="5"/>
  </r>
  <r>
    <x v="0"/>
    <x v="0"/>
    <x v="23"/>
    <x v="4"/>
    <n v="0"/>
    <x v="5"/>
  </r>
  <r>
    <x v="0"/>
    <x v="0"/>
    <x v="24"/>
    <x v="0"/>
    <n v="0"/>
    <x v="5"/>
  </r>
  <r>
    <x v="0"/>
    <x v="0"/>
    <x v="24"/>
    <x v="1"/>
    <n v="0"/>
    <x v="5"/>
  </r>
  <r>
    <x v="0"/>
    <x v="0"/>
    <x v="24"/>
    <x v="2"/>
    <n v="0"/>
    <x v="5"/>
  </r>
  <r>
    <x v="0"/>
    <x v="0"/>
    <x v="24"/>
    <x v="3"/>
    <n v="0"/>
    <x v="5"/>
  </r>
  <r>
    <x v="0"/>
    <x v="0"/>
    <x v="24"/>
    <x v="4"/>
    <n v="0"/>
    <x v="5"/>
  </r>
  <r>
    <x v="0"/>
    <x v="0"/>
    <x v="25"/>
    <x v="0"/>
    <n v="0"/>
    <x v="5"/>
  </r>
  <r>
    <x v="0"/>
    <x v="0"/>
    <x v="25"/>
    <x v="1"/>
    <n v="0"/>
    <x v="5"/>
  </r>
  <r>
    <x v="0"/>
    <x v="0"/>
    <x v="25"/>
    <x v="2"/>
    <n v="0"/>
    <x v="5"/>
  </r>
  <r>
    <x v="0"/>
    <x v="0"/>
    <x v="25"/>
    <x v="3"/>
    <n v="0"/>
    <x v="5"/>
  </r>
  <r>
    <x v="0"/>
    <x v="0"/>
    <x v="25"/>
    <x v="4"/>
    <n v="0"/>
    <x v="5"/>
  </r>
  <r>
    <x v="0"/>
    <x v="0"/>
    <x v="26"/>
    <x v="0"/>
    <n v="3.121"/>
    <x v="5"/>
  </r>
  <r>
    <x v="0"/>
    <x v="0"/>
    <x v="26"/>
    <x v="1"/>
    <n v="3.6"/>
    <x v="5"/>
  </r>
  <r>
    <x v="0"/>
    <x v="0"/>
    <x v="26"/>
    <x v="2"/>
    <n v="3.3730000000000002"/>
    <x v="5"/>
  </r>
  <r>
    <x v="0"/>
    <x v="0"/>
    <x v="26"/>
    <x v="3"/>
    <n v="2.52"/>
    <x v="5"/>
  </r>
  <r>
    <x v="0"/>
    <x v="0"/>
    <x v="26"/>
    <x v="4"/>
    <n v="3.0459999999999998"/>
    <x v="5"/>
  </r>
  <r>
    <x v="0"/>
    <x v="0"/>
    <x v="27"/>
    <x v="0"/>
    <n v="0"/>
    <x v="5"/>
  </r>
  <r>
    <x v="0"/>
    <x v="0"/>
    <x v="27"/>
    <x v="1"/>
    <n v="0"/>
    <x v="5"/>
  </r>
  <r>
    <x v="0"/>
    <x v="0"/>
    <x v="27"/>
    <x v="2"/>
    <n v="0"/>
    <x v="5"/>
  </r>
  <r>
    <x v="0"/>
    <x v="0"/>
    <x v="27"/>
    <x v="3"/>
    <n v="0"/>
    <x v="5"/>
  </r>
  <r>
    <x v="0"/>
    <x v="0"/>
    <x v="27"/>
    <x v="4"/>
    <n v="0"/>
    <x v="5"/>
  </r>
  <r>
    <x v="0"/>
    <x v="0"/>
    <x v="28"/>
    <x v="0"/>
    <n v="0"/>
    <x v="5"/>
  </r>
  <r>
    <x v="0"/>
    <x v="0"/>
    <x v="28"/>
    <x v="1"/>
    <n v="0"/>
    <x v="5"/>
  </r>
  <r>
    <x v="0"/>
    <x v="0"/>
    <x v="28"/>
    <x v="2"/>
    <n v="0"/>
    <x v="5"/>
  </r>
  <r>
    <x v="0"/>
    <x v="0"/>
    <x v="28"/>
    <x v="3"/>
    <n v="0"/>
    <x v="5"/>
  </r>
  <r>
    <x v="0"/>
    <x v="0"/>
    <x v="28"/>
    <x v="4"/>
    <n v="0"/>
    <x v="5"/>
  </r>
  <r>
    <x v="0"/>
    <x v="0"/>
    <x v="29"/>
    <x v="0"/>
    <n v="0"/>
    <x v="5"/>
  </r>
  <r>
    <x v="0"/>
    <x v="0"/>
    <x v="29"/>
    <x v="1"/>
    <n v="0"/>
    <x v="5"/>
  </r>
  <r>
    <x v="0"/>
    <x v="0"/>
    <x v="29"/>
    <x v="2"/>
    <n v="0"/>
    <x v="5"/>
  </r>
  <r>
    <x v="0"/>
    <x v="0"/>
    <x v="29"/>
    <x v="3"/>
    <n v="0"/>
    <x v="5"/>
  </r>
  <r>
    <x v="0"/>
    <x v="0"/>
    <x v="29"/>
    <x v="4"/>
    <n v="0"/>
    <x v="5"/>
  </r>
  <r>
    <x v="0"/>
    <x v="0"/>
    <x v="30"/>
    <x v="0"/>
    <n v="0"/>
    <x v="5"/>
  </r>
  <r>
    <x v="0"/>
    <x v="0"/>
    <x v="30"/>
    <x v="1"/>
    <n v="0"/>
    <x v="5"/>
  </r>
  <r>
    <x v="0"/>
    <x v="0"/>
    <x v="30"/>
    <x v="2"/>
    <n v="0"/>
    <x v="5"/>
  </r>
  <r>
    <x v="0"/>
    <x v="0"/>
    <x v="30"/>
    <x v="3"/>
    <n v="0"/>
    <x v="5"/>
  </r>
  <r>
    <x v="0"/>
    <x v="0"/>
    <x v="30"/>
    <x v="4"/>
    <n v="0"/>
    <x v="5"/>
  </r>
  <r>
    <x v="0"/>
    <x v="0"/>
    <x v="31"/>
    <x v="0"/>
    <n v="6.4939999999999998"/>
    <x v="5"/>
  </r>
  <r>
    <x v="0"/>
    <x v="0"/>
    <x v="31"/>
    <x v="1"/>
    <n v="5.2519999999999998"/>
    <x v="5"/>
  </r>
  <r>
    <x v="0"/>
    <x v="0"/>
    <x v="31"/>
    <x v="2"/>
    <n v="6.4550000000000001"/>
    <x v="5"/>
  </r>
  <r>
    <x v="0"/>
    <x v="0"/>
    <x v="31"/>
    <x v="3"/>
    <n v="4.7990000000000004"/>
    <x v="5"/>
  </r>
  <r>
    <x v="0"/>
    <x v="0"/>
    <x v="31"/>
    <x v="4"/>
    <n v="5.8070000000000004"/>
    <x v="5"/>
  </r>
  <r>
    <x v="0"/>
    <x v="0"/>
    <x v="32"/>
    <x v="0"/>
    <n v="0"/>
    <x v="5"/>
  </r>
  <r>
    <x v="0"/>
    <x v="0"/>
    <x v="32"/>
    <x v="1"/>
    <n v="0"/>
    <x v="5"/>
  </r>
  <r>
    <x v="0"/>
    <x v="0"/>
    <x v="32"/>
    <x v="2"/>
    <n v="0"/>
    <x v="5"/>
  </r>
  <r>
    <x v="0"/>
    <x v="0"/>
    <x v="32"/>
    <x v="3"/>
    <n v="0"/>
    <x v="5"/>
  </r>
  <r>
    <x v="0"/>
    <x v="0"/>
    <x v="32"/>
    <x v="4"/>
    <n v="0"/>
    <x v="5"/>
  </r>
  <r>
    <x v="0"/>
    <x v="0"/>
    <x v="33"/>
    <x v="0"/>
    <n v="5.8000000000000003E-2"/>
    <x v="5"/>
  </r>
  <r>
    <x v="0"/>
    <x v="0"/>
    <x v="33"/>
    <x v="1"/>
    <n v="4.2999999999999997E-2"/>
    <x v="5"/>
  </r>
  <r>
    <x v="0"/>
    <x v="0"/>
    <x v="33"/>
    <x v="2"/>
    <n v="6.8000000000000005E-2"/>
    <x v="5"/>
  </r>
  <r>
    <x v="0"/>
    <x v="0"/>
    <x v="33"/>
    <x v="3"/>
    <n v="1.0999999999999999E-2"/>
    <x v="5"/>
  </r>
  <r>
    <x v="0"/>
    <x v="0"/>
    <x v="33"/>
    <x v="4"/>
    <n v="1.0999999999999999E-2"/>
    <x v="5"/>
  </r>
  <r>
    <x v="0"/>
    <x v="0"/>
    <x v="34"/>
    <x v="0"/>
    <n v="0"/>
    <x v="5"/>
  </r>
  <r>
    <x v="0"/>
    <x v="0"/>
    <x v="34"/>
    <x v="1"/>
    <n v="0"/>
    <x v="5"/>
  </r>
  <r>
    <x v="0"/>
    <x v="0"/>
    <x v="34"/>
    <x v="2"/>
    <n v="0"/>
    <x v="5"/>
  </r>
  <r>
    <x v="0"/>
    <x v="0"/>
    <x v="34"/>
    <x v="3"/>
    <n v="0"/>
    <x v="5"/>
  </r>
  <r>
    <x v="0"/>
    <x v="0"/>
    <x v="34"/>
    <x v="4"/>
    <n v="0"/>
    <x v="5"/>
  </r>
  <r>
    <x v="0"/>
    <x v="0"/>
    <x v="35"/>
    <x v="0"/>
    <n v="0"/>
    <x v="5"/>
  </r>
  <r>
    <x v="0"/>
    <x v="0"/>
    <x v="35"/>
    <x v="1"/>
    <n v="0"/>
    <x v="5"/>
  </r>
  <r>
    <x v="0"/>
    <x v="0"/>
    <x v="35"/>
    <x v="2"/>
    <n v="0"/>
    <x v="5"/>
  </r>
  <r>
    <x v="0"/>
    <x v="0"/>
    <x v="35"/>
    <x v="3"/>
    <n v="0"/>
    <x v="5"/>
  </r>
  <r>
    <x v="0"/>
    <x v="0"/>
    <x v="35"/>
    <x v="4"/>
    <n v="0"/>
    <x v="5"/>
  </r>
  <r>
    <x v="0"/>
    <x v="0"/>
    <x v="36"/>
    <x v="0"/>
    <n v="0"/>
    <x v="5"/>
  </r>
  <r>
    <x v="0"/>
    <x v="0"/>
    <x v="36"/>
    <x v="1"/>
    <n v="0"/>
    <x v="5"/>
  </r>
  <r>
    <x v="0"/>
    <x v="0"/>
    <x v="36"/>
    <x v="2"/>
    <n v="0"/>
    <x v="5"/>
  </r>
  <r>
    <x v="0"/>
    <x v="0"/>
    <x v="36"/>
    <x v="3"/>
    <n v="0"/>
    <x v="5"/>
  </r>
  <r>
    <x v="0"/>
    <x v="0"/>
    <x v="36"/>
    <x v="4"/>
    <n v="0"/>
    <x v="5"/>
  </r>
  <r>
    <x v="0"/>
    <x v="0"/>
    <x v="37"/>
    <x v="0"/>
    <n v="0"/>
    <x v="5"/>
  </r>
  <r>
    <x v="0"/>
    <x v="0"/>
    <x v="37"/>
    <x v="1"/>
    <n v="0"/>
    <x v="5"/>
  </r>
  <r>
    <x v="0"/>
    <x v="0"/>
    <x v="37"/>
    <x v="2"/>
    <n v="0"/>
    <x v="5"/>
  </r>
  <r>
    <x v="0"/>
    <x v="0"/>
    <x v="37"/>
    <x v="3"/>
    <n v="0"/>
    <x v="5"/>
  </r>
  <r>
    <x v="0"/>
    <x v="0"/>
    <x v="37"/>
    <x v="4"/>
    <n v="0"/>
    <x v="5"/>
  </r>
  <r>
    <x v="0"/>
    <x v="0"/>
    <x v="0"/>
    <x v="0"/>
    <n v="0"/>
    <x v="6"/>
  </r>
  <r>
    <x v="0"/>
    <x v="0"/>
    <x v="0"/>
    <x v="1"/>
    <n v="0"/>
    <x v="6"/>
  </r>
  <r>
    <x v="0"/>
    <x v="0"/>
    <x v="0"/>
    <x v="2"/>
    <n v="0"/>
    <x v="6"/>
  </r>
  <r>
    <x v="0"/>
    <x v="0"/>
    <x v="0"/>
    <x v="3"/>
    <n v="0"/>
    <x v="6"/>
  </r>
  <r>
    <x v="0"/>
    <x v="0"/>
    <x v="0"/>
    <x v="4"/>
    <n v="0"/>
    <x v="6"/>
  </r>
  <r>
    <x v="0"/>
    <x v="0"/>
    <x v="1"/>
    <x v="0"/>
    <n v="1.6339999999999999"/>
    <x v="6"/>
  </r>
  <r>
    <x v="0"/>
    <x v="0"/>
    <x v="1"/>
    <x v="1"/>
    <n v="1.518"/>
    <x v="6"/>
  </r>
  <r>
    <x v="0"/>
    <x v="0"/>
    <x v="1"/>
    <x v="2"/>
    <n v="2.0760000000000001"/>
    <x v="6"/>
  </r>
  <r>
    <x v="0"/>
    <x v="0"/>
    <x v="1"/>
    <x v="3"/>
    <n v="1.9279999999999999"/>
    <x v="6"/>
  </r>
  <r>
    <x v="0"/>
    <x v="0"/>
    <x v="1"/>
    <x v="4"/>
    <n v="1.67"/>
    <x v="6"/>
  </r>
  <r>
    <x v="0"/>
    <x v="0"/>
    <x v="2"/>
    <x v="0"/>
    <n v="0.188"/>
    <x v="6"/>
  </r>
  <r>
    <x v="0"/>
    <x v="0"/>
    <x v="2"/>
    <x v="1"/>
    <n v="0.193"/>
    <x v="6"/>
  </r>
  <r>
    <x v="0"/>
    <x v="0"/>
    <x v="2"/>
    <x v="2"/>
    <n v="0.193"/>
    <x v="6"/>
  </r>
  <r>
    <x v="0"/>
    <x v="0"/>
    <x v="2"/>
    <x v="3"/>
    <n v="0"/>
    <x v="6"/>
  </r>
  <r>
    <x v="0"/>
    <x v="0"/>
    <x v="2"/>
    <x v="4"/>
    <n v="0"/>
    <x v="6"/>
  </r>
  <r>
    <x v="0"/>
    <x v="0"/>
    <x v="3"/>
    <x v="0"/>
    <n v="0"/>
    <x v="6"/>
  </r>
  <r>
    <x v="0"/>
    <x v="0"/>
    <x v="3"/>
    <x v="1"/>
    <n v="0"/>
    <x v="6"/>
  </r>
  <r>
    <x v="0"/>
    <x v="0"/>
    <x v="3"/>
    <x v="2"/>
    <n v="0"/>
    <x v="6"/>
  </r>
  <r>
    <x v="0"/>
    <x v="0"/>
    <x v="3"/>
    <x v="3"/>
    <n v="0"/>
    <x v="6"/>
  </r>
  <r>
    <x v="0"/>
    <x v="0"/>
    <x v="3"/>
    <x v="4"/>
    <n v="0"/>
    <x v="6"/>
  </r>
  <r>
    <x v="0"/>
    <x v="0"/>
    <x v="4"/>
    <x v="0"/>
    <n v="0"/>
    <x v="6"/>
  </r>
  <r>
    <x v="0"/>
    <x v="0"/>
    <x v="4"/>
    <x v="1"/>
    <n v="0"/>
    <x v="6"/>
  </r>
  <r>
    <x v="0"/>
    <x v="0"/>
    <x v="4"/>
    <x v="2"/>
    <n v="0"/>
    <x v="6"/>
  </r>
  <r>
    <x v="0"/>
    <x v="0"/>
    <x v="4"/>
    <x v="3"/>
    <n v="0"/>
    <x v="6"/>
  </r>
  <r>
    <x v="0"/>
    <x v="0"/>
    <x v="4"/>
    <x v="4"/>
    <n v="0"/>
    <x v="6"/>
  </r>
  <r>
    <x v="0"/>
    <x v="0"/>
    <x v="5"/>
    <x v="0"/>
    <n v="0.35199999999999998"/>
    <x v="6"/>
  </r>
  <r>
    <x v="0"/>
    <x v="0"/>
    <x v="5"/>
    <x v="1"/>
    <n v="0.35799999999999998"/>
    <x v="6"/>
  </r>
  <r>
    <x v="0"/>
    <x v="0"/>
    <x v="5"/>
    <x v="2"/>
    <n v="0.46200000000000002"/>
    <x v="6"/>
  </r>
  <r>
    <x v="0"/>
    <x v="0"/>
    <x v="5"/>
    <x v="3"/>
    <n v="0.56200000000000006"/>
    <x v="6"/>
  </r>
  <r>
    <x v="0"/>
    <x v="0"/>
    <x v="5"/>
    <x v="4"/>
    <n v="0.443"/>
    <x v="6"/>
  </r>
  <r>
    <x v="0"/>
    <x v="0"/>
    <x v="6"/>
    <x v="0"/>
    <n v="20.065999999999999"/>
    <x v="6"/>
  </r>
  <r>
    <x v="0"/>
    <x v="0"/>
    <x v="6"/>
    <x v="1"/>
    <n v="21.741"/>
    <x v="6"/>
  </r>
  <r>
    <x v="0"/>
    <x v="0"/>
    <x v="6"/>
    <x v="2"/>
    <n v="26.364000000000001"/>
    <x v="6"/>
  </r>
  <r>
    <x v="0"/>
    <x v="0"/>
    <x v="6"/>
    <x v="3"/>
    <n v="24.975000000000001"/>
    <x v="6"/>
  </r>
  <r>
    <x v="0"/>
    <x v="0"/>
    <x v="6"/>
    <x v="4"/>
    <n v="21.710999999999999"/>
    <x v="6"/>
  </r>
  <r>
    <x v="0"/>
    <x v="0"/>
    <x v="7"/>
    <x v="0"/>
    <n v="1.3520000000000001"/>
    <x v="6"/>
  </r>
  <r>
    <x v="0"/>
    <x v="0"/>
    <x v="7"/>
    <x v="1"/>
    <n v="1.4319999999999999"/>
    <x v="6"/>
  </r>
  <r>
    <x v="0"/>
    <x v="0"/>
    <x v="7"/>
    <x v="2"/>
    <n v="1.38"/>
    <x v="6"/>
  </r>
  <r>
    <x v="0"/>
    <x v="0"/>
    <x v="7"/>
    <x v="3"/>
    <n v="1.571"/>
    <x v="6"/>
  </r>
  <r>
    <x v="0"/>
    <x v="0"/>
    <x v="7"/>
    <x v="4"/>
    <n v="1.5129999999999999"/>
    <x v="6"/>
  </r>
  <r>
    <x v="0"/>
    <x v="0"/>
    <x v="8"/>
    <x v="0"/>
    <n v="0"/>
    <x v="6"/>
  </r>
  <r>
    <x v="0"/>
    <x v="0"/>
    <x v="8"/>
    <x v="1"/>
    <n v="0"/>
    <x v="6"/>
  </r>
  <r>
    <x v="0"/>
    <x v="0"/>
    <x v="8"/>
    <x v="2"/>
    <n v="0"/>
    <x v="6"/>
  </r>
  <r>
    <x v="0"/>
    <x v="0"/>
    <x v="8"/>
    <x v="3"/>
    <n v="0"/>
    <x v="6"/>
  </r>
  <r>
    <x v="0"/>
    <x v="0"/>
    <x v="8"/>
    <x v="4"/>
    <n v="0"/>
    <x v="6"/>
  </r>
  <r>
    <x v="0"/>
    <x v="0"/>
    <x v="9"/>
    <x v="0"/>
    <n v="0"/>
    <x v="6"/>
  </r>
  <r>
    <x v="0"/>
    <x v="0"/>
    <x v="9"/>
    <x v="1"/>
    <n v="0"/>
    <x v="6"/>
  </r>
  <r>
    <x v="0"/>
    <x v="0"/>
    <x v="9"/>
    <x v="2"/>
    <n v="0"/>
    <x v="6"/>
  </r>
  <r>
    <x v="0"/>
    <x v="0"/>
    <x v="9"/>
    <x v="3"/>
    <n v="0"/>
    <x v="6"/>
  </r>
  <r>
    <x v="0"/>
    <x v="0"/>
    <x v="9"/>
    <x v="4"/>
    <n v="0"/>
    <x v="6"/>
  </r>
  <r>
    <x v="0"/>
    <x v="0"/>
    <x v="10"/>
    <x v="0"/>
    <n v="0"/>
    <x v="6"/>
  </r>
  <r>
    <x v="0"/>
    <x v="0"/>
    <x v="10"/>
    <x v="1"/>
    <n v="0"/>
    <x v="6"/>
  </r>
  <r>
    <x v="0"/>
    <x v="0"/>
    <x v="10"/>
    <x v="2"/>
    <n v="0"/>
    <x v="6"/>
  </r>
  <r>
    <x v="0"/>
    <x v="0"/>
    <x v="10"/>
    <x v="3"/>
    <n v="0"/>
    <x v="6"/>
  </r>
  <r>
    <x v="0"/>
    <x v="0"/>
    <x v="10"/>
    <x v="4"/>
    <n v="0"/>
    <x v="6"/>
  </r>
  <r>
    <x v="0"/>
    <x v="0"/>
    <x v="11"/>
    <x v="0"/>
    <n v="0.627"/>
    <x v="6"/>
  </r>
  <r>
    <x v="0"/>
    <x v="0"/>
    <x v="11"/>
    <x v="1"/>
    <n v="0.32500000000000001"/>
    <x v="6"/>
  </r>
  <r>
    <x v="0"/>
    <x v="0"/>
    <x v="11"/>
    <x v="2"/>
    <n v="1.403"/>
    <x v="6"/>
  </r>
  <r>
    <x v="0"/>
    <x v="0"/>
    <x v="11"/>
    <x v="3"/>
    <n v="1.24"/>
    <x v="6"/>
  </r>
  <r>
    <x v="0"/>
    <x v="0"/>
    <x v="11"/>
    <x v="4"/>
    <n v="1.276"/>
    <x v="6"/>
  </r>
  <r>
    <x v="0"/>
    <x v="0"/>
    <x v="12"/>
    <x v="0"/>
    <n v="4.6710000000000003"/>
    <x v="6"/>
  </r>
  <r>
    <x v="0"/>
    <x v="0"/>
    <x v="12"/>
    <x v="1"/>
    <n v="4.6710000000000003"/>
    <x v="6"/>
  </r>
  <r>
    <x v="0"/>
    <x v="0"/>
    <x v="12"/>
    <x v="2"/>
    <n v="5.1529999999999996"/>
    <x v="6"/>
  </r>
  <r>
    <x v="0"/>
    <x v="0"/>
    <x v="12"/>
    <x v="3"/>
    <n v="3.6389999999999998"/>
    <x v="6"/>
  </r>
  <r>
    <x v="0"/>
    <x v="0"/>
    <x v="12"/>
    <x v="4"/>
    <n v="6.9089999999999998"/>
    <x v="6"/>
  </r>
  <r>
    <x v="0"/>
    <x v="0"/>
    <x v="13"/>
    <x v="0"/>
    <n v="0"/>
    <x v="6"/>
  </r>
  <r>
    <x v="0"/>
    <x v="0"/>
    <x v="13"/>
    <x v="1"/>
    <n v="0"/>
    <x v="6"/>
  </r>
  <r>
    <x v="0"/>
    <x v="0"/>
    <x v="13"/>
    <x v="2"/>
    <n v="0"/>
    <x v="6"/>
  </r>
  <r>
    <x v="0"/>
    <x v="0"/>
    <x v="13"/>
    <x v="3"/>
    <n v="0"/>
    <x v="6"/>
  </r>
  <r>
    <x v="0"/>
    <x v="0"/>
    <x v="13"/>
    <x v="4"/>
    <n v="0"/>
    <x v="6"/>
  </r>
  <r>
    <x v="0"/>
    <x v="0"/>
    <x v="14"/>
    <x v="0"/>
    <n v="0"/>
    <x v="6"/>
  </r>
  <r>
    <x v="0"/>
    <x v="0"/>
    <x v="14"/>
    <x v="1"/>
    <n v="0"/>
    <x v="6"/>
  </r>
  <r>
    <x v="0"/>
    <x v="0"/>
    <x v="14"/>
    <x v="2"/>
    <n v="0"/>
    <x v="6"/>
  </r>
  <r>
    <x v="0"/>
    <x v="0"/>
    <x v="14"/>
    <x v="3"/>
    <n v="0"/>
    <x v="6"/>
  </r>
  <r>
    <x v="0"/>
    <x v="0"/>
    <x v="14"/>
    <x v="4"/>
    <n v="0"/>
    <x v="6"/>
  </r>
  <r>
    <x v="0"/>
    <x v="0"/>
    <x v="15"/>
    <x v="0"/>
    <n v="0"/>
    <x v="6"/>
  </r>
  <r>
    <x v="0"/>
    <x v="0"/>
    <x v="15"/>
    <x v="1"/>
    <n v="0"/>
    <x v="6"/>
  </r>
  <r>
    <x v="0"/>
    <x v="0"/>
    <x v="15"/>
    <x v="2"/>
    <n v="0"/>
    <x v="6"/>
  </r>
  <r>
    <x v="0"/>
    <x v="0"/>
    <x v="15"/>
    <x v="3"/>
    <n v="0"/>
    <x v="6"/>
  </r>
  <r>
    <x v="0"/>
    <x v="0"/>
    <x v="15"/>
    <x v="4"/>
    <n v="0"/>
    <x v="6"/>
  </r>
  <r>
    <x v="0"/>
    <x v="0"/>
    <x v="16"/>
    <x v="0"/>
    <n v="0"/>
    <x v="6"/>
  </r>
  <r>
    <x v="0"/>
    <x v="0"/>
    <x v="16"/>
    <x v="1"/>
    <n v="0"/>
    <x v="6"/>
  </r>
  <r>
    <x v="0"/>
    <x v="0"/>
    <x v="16"/>
    <x v="2"/>
    <n v="0"/>
    <x v="6"/>
  </r>
  <r>
    <x v="0"/>
    <x v="0"/>
    <x v="16"/>
    <x v="3"/>
    <n v="0"/>
    <x v="6"/>
  </r>
  <r>
    <x v="0"/>
    <x v="0"/>
    <x v="16"/>
    <x v="4"/>
    <n v="1.7999999999999999E-2"/>
    <x v="6"/>
  </r>
  <r>
    <x v="0"/>
    <x v="0"/>
    <x v="17"/>
    <x v="0"/>
    <n v="0"/>
    <x v="6"/>
  </r>
  <r>
    <x v="0"/>
    <x v="0"/>
    <x v="17"/>
    <x v="1"/>
    <n v="0"/>
    <x v="6"/>
  </r>
  <r>
    <x v="0"/>
    <x v="0"/>
    <x v="17"/>
    <x v="2"/>
    <n v="0"/>
    <x v="6"/>
  </r>
  <r>
    <x v="0"/>
    <x v="0"/>
    <x v="17"/>
    <x v="3"/>
    <n v="0"/>
    <x v="6"/>
  </r>
  <r>
    <x v="0"/>
    <x v="0"/>
    <x v="17"/>
    <x v="4"/>
    <n v="0"/>
    <x v="6"/>
  </r>
  <r>
    <x v="0"/>
    <x v="0"/>
    <x v="18"/>
    <x v="0"/>
    <n v="0"/>
    <x v="6"/>
  </r>
  <r>
    <x v="0"/>
    <x v="0"/>
    <x v="18"/>
    <x v="1"/>
    <n v="0"/>
    <x v="6"/>
  </r>
  <r>
    <x v="0"/>
    <x v="0"/>
    <x v="18"/>
    <x v="2"/>
    <n v="0"/>
    <x v="6"/>
  </r>
  <r>
    <x v="0"/>
    <x v="0"/>
    <x v="18"/>
    <x v="3"/>
    <n v="0"/>
    <x v="6"/>
  </r>
  <r>
    <x v="0"/>
    <x v="0"/>
    <x v="18"/>
    <x v="4"/>
    <n v="0"/>
    <x v="6"/>
  </r>
  <r>
    <x v="0"/>
    <x v="0"/>
    <x v="19"/>
    <x v="0"/>
    <n v="0"/>
    <x v="6"/>
  </r>
  <r>
    <x v="0"/>
    <x v="0"/>
    <x v="19"/>
    <x v="1"/>
    <n v="0"/>
    <x v="6"/>
  </r>
  <r>
    <x v="0"/>
    <x v="0"/>
    <x v="19"/>
    <x v="2"/>
    <n v="0"/>
    <x v="6"/>
  </r>
  <r>
    <x v="0"/>
    <x v="0"/>
    <x v="19"/>
    <x v="3"/>
    <n v="0"/>
    <x v="6"/>
  </r>
  <r>
    <x v="0"/>
    <x v="0"/>
    <x v="19"/>
    <x v="4"/>
    <n v="0"/>
    <x v="6"/>
  </r>
  <r>
    <x v="0"/>
    <x v="0"/>
    <x v="20"/>
    <x v="0"/>
    <n v="0"/>
    <x v="6"/>
  </r>
  <r>
    <x v="0"/>
    <x v="0"/>
    <x v="20"/>
    <x v="1"/>
    <n v="0"/>
    <x v="6"/>
  </r>
  <r>
    <x v="0"/>
    <x v="0"/>
    <x v="20"/>
    <x v="2"/>
    <n v="0"/>
    <x v="6"/>
  </r>
  <r>
    <x v="0"/>
    <x v="0"/>
    <x v="20"/>
    <x v="3"/>
    <n v="0"/>
    <x v="6"/>
  </r>
  <r>
    <x v="0"/>
    <x v="0"/>
    <x v="20"/>
    <x v="4"/>
    <n v="0"/>
    <x v="6"/>
  </r>
  <r>
    <x v="0"/>
    <x v="0"/>
    <x v="21"/>
    <x v="0"/>
    <n v="0"/>
    <x v="6"/>
  </r>
  <r>
    <x v="0"/>
    <x v="0"/>
    <x v="21"/>
    <x v="1"/>
    <n v="0"/>
    <x v="6"/>
  </r>
  <r>
    <x v="0"/>
    <x v="0"/>
    <x v="21"/>
    <x v="2"/>
    <n v="0"/>
    <x v="6"/>
  </r>
  <r>
    <x v="0"/>
    <x v="0"/>
    <x v="21"/>
    <x v="3"/>
    <n v="0"/>
    <x v="6"/>
  </r>
  <r>
    <x v="0"/>
    <x v="0"/>
    <x v="21"/>
    <x v="4"/>
    <n v="0"/>
    <x v="6"/>
  </r>
  <r>
    <x v="0"/>
    <x v="0"/>
    <x v="22"/>
    <x v="0"/>
    <n v="0"/>
    <x v="6"/>
  </r>
  <r>
    <x v="0"/>
    <x v="0"/>
    <x v="22"/>
    <x v="1"/>
    <n v="0"/>
    <x v="6"/>
  </r>
  <r>
    <x v="0"/>
    <x v="0"/>
    <x v="22"/>
    <x v="2"/>
    <n v="0"/>
    <x v="6"/>
  </r>
  <r>
    <x v="0"/>
    <x v="0"/>
    <x v="22"/>
    <x v="3"/>
    <n v="0"/>
    <x v="6"/>
  </r>
  <r>
    <x v="0"/>
    <x v="0"/>
    <x v="22"/>
    <x v="4"/>
    <n v="0"/>
    <x v="6"/>
  </r>
  <r>
    <x v="0"/>
    <x v="0"/>
    <x v="23"/>
    <x v="0"/>
    <n v="0"/>
    <x v="6"/>
  </r>
  <r>
    <x v="0"/>
    <x v="0"/>
    <x v="23"/>
    <x v="1"/>
    <n v="0"/>
    <x v="6"/>
  </r>
  <r>
    <x v="0"/>
    <x v="0"/>
    <x v="23"/>
    <x v="2"/>
    <n v="0"/>
    <x v="6"/>
  </r>
  <r>
    <x v="0"/>
    <x v="0"/>
    <x v="23"/>
    <x v="3"/>
    <n v="0"/>
    <x v="6"/>
  </r>
  <r>
    <x v="0"/>
    <x v="0"/>
    <x v="23"/>
    <x v="4"/>
    <n v="0"/>
    <x v="6"/>
  </r>
  <r>
    <x v="0"/>
    <x v="0"/>
    <x v="24"/>
    <x v="0"/>
    <n v="0"/>
    <x v="6"/>
  </r>
  <r>
    <x v="0"/>
    <x v="0"/>
    <x v="24"/>
    <x v="1"/>
    <n v="0"/>
    <x v="6"/>
  </r>
  <r>
    <x v="0"/>
    <x v="0"/>
    <x v="24"/>
    <x v="2"/>
    <n v="0"/>
    <x v="6"/>
  </r>
  <r>
    <x v="0"/>
    <x v="0"/>
    <x v="24"/>
    <x v="3"/>
    <n v="0"/>
    <x v="6"/>
  </r>
  <r>
    <x v="0"/>
    <x v="0"/>
    <x v="24"/>
    <x v="4"/>
    <n v="0"/>
    <x v="6"/>
  </r>
  <r>
    <x v="0"/>
    <x v="0"/>
    <x v="25"/>
    <x v="0"/>
    <n v="0"/>
    <x v="6"/>
  </r>
  <r>
    <x v="0"/>
    <x v="0"/>
    <x v="25"/>
    <x v="1"/>
    <n v="0"/>
    <x v="6"/>
  </r>
  <r>
    <x v="0"/>
    <x v="0"/>
    <x v="25"/>
    <x v="2"/>
    <n v="0"/>
    <x v="6"/>
  </r>
  <r>
    <x v="0"/>
    <x v="0"/>
    <x v="25"/>
    <x v="3"/>
    <n v="4.5330000000000004"/>
    <x v="6"/>
  </r>
  <r>
    <x v="0"/>
    <x v="0"/>
    <x v="25"/>
    <x v="4"/>
    <n v="4.8979999999999997"/>
    <x v="6"/>
  </r>
  <r>
    <x v="0"/>
    <x v="0"/>
    <x v="26"/>
    <x v="0"/>
    <n v="2.5430000000000001"/>
    <x v="6"/>
  </r>
  <r>
    <x v="0"/>
    <x v="0"/>
    <x v="26"/>
    <x v="1"/>
    <n v="2.08"/>
    <x v="6"/>
  </r>
  <r>
    <x v="0"/>
    <x v="0"/>
    <x v="26"/>
    <x v="2"/>
    <n v="1.95"/>
    <x v="6"/>
  </r>
  <r>
    <x v="0"/>
    <x v="0"/>
    <x v="26"/>
    <x v="3"/>
    <n v="1.8"/>
    <x v="6"/>
  </r>
  <r>
    <x v="0"/>
    <x v="0"/>
    <x v="26"/>
    <x v="4"/>
    <n v="1.496"/>
    <x v="6"/>
  </r>
  <r>
    <x v="0"/>
    <x v="0"/>
    <x v="27"/>
    <x v="0"/>
    <n v="0.19900000000000001"/>
    <x v="6"/>
  </r>
  <r>
    <x v="0"/>
    <x v="0"/>
    <x v="27"/>
    <x v="1"/>
    <n v="8.8999999999999996E-2"/>
    <x v="6"/>
  </r>
  <r>
    <x v="0"/>
    <x v="0"/>
    <x v="27"/>
    <x v="2"/>
    <n v="0.128"/>
    <x v="6"/>
  </r>
  <r>
    <x v="0"/>
    <x v="0"/>
    <x v="27"/>
    <x v="3"/>
    <n v="0.114"/>
    <x v="6"/>
  </r>
  <r>
    <x v="0"/>
    <x v="0"/>
    <x v="27"/>
    <x v="4"/>
    <n v="8.7999999999999995E-2"/>
    <x v="6"/>
  </r>
  <r>
    <x v="0"/>
    <x v="0"/>
    <x v="28"/>
    <x v="0"/>
    <n v="0"/>
    <x v="6"/>
  </r>
  <r>
    <x v="0"/>
    <x v="0"/>
    <x v="28"/>
    <x v="1"/>
    <n v="0"/>
    <x v="6"/>
  </r>
  <r>
    <x v="0"/>
    <x v="0"/>
    <x v="28"/>
    <x v="2"/>
    <n v="0"/>
    <x v="6"/>
  </r>
  <r>
    <x v="0"/>
    <x v="0"/>
    <x v="28"/>
    <x v="3"/>
    <n v="0"/>
    <x v="6"/>
  </r>
  <r>
    <x v="0"/>
    <x v="0"/>
    <x v="28"/>
    <x v="4"/>
    <n v="0"/>
    <x v="6"/>
  </r>
  <r>
    <x v="0"/>
    <x v="0"/>
    <x v="29"/>
    <x v="0"/>
    <n v="2.5000000000000001E-2"/>
    <x v="6"/>
  </r>
  <r>
    <x v="0"/>
    <x v="0"/>
    <x v="29"/>
    <x v="1"/>
    <n v="2.1000000000000001E-2"/>
    <x v="6"/>
  </r>
  <r>
    <x v="0"/>
    <x v="0"/>
    <x v="29"/>
    <x v="2"/>
    <n v="0.01"/>
    <x v="6"/>
  </r>
  <r>
    <x v="0"/>
    <x v="0"/>
    <x v="29"/>
    <x v="3"/>
    <n v="1.4E-2"/>
    <x v="6"/>
  </r>
  <r>
    <x v="0"/>
    <x v="0"/>
    <x v="29"/>
    <x v="4"/>
    <n v="1.2E-2"/>
    <x v="6"/>
  </r>
  <r>
    <x v="0"/>
    <x v="0"/>
    <x v="30"/>
    <x v="0"/>
    <n v="0"/>
    <x v="6"/>
  </r>
  <r>
    <x v="0"/>
    <x v="0"/>
    <x v="30"/>
    <x v="1"/>
    <n v="0"/>
    <x v="6"/>
  </r>
  <r>
    <x v="0"/>
    <x v="0"/>
    <x v="30"/>
    <x v="2"/>
    <n v="0"/>
    <x v="6"/>
  </r>
  <r>
    <x v="0"/>
    <x v="0"/>
    <x v="30"/>
    <x v="3"/>
    <n v="0.28799999999999998"/>
    <x v="6"/>
  </r>
  <r>
    <x v="0"/>
    <x v="0"/>
    <x v="30"/>
    <x v="4"/>
    <n v="0.38800000000000001"/>
    <x v="6"/>
  </r>
  <r>
    <x v="0"/>
    <x v="0"/>
    <x v="31"/>
    <x v="0"/>
    <n v="1.36"/>
    <x v="6"/>
  </r>
  <r>
    <x v="0"/>
    <x v="0"/>
    <x v="31"/>
    <x v="1"/>
    <n v="1.496"/>
    <x v="6"/>
  </r>
  <r>
    <x v="0"/>
    <x v="0"/>
    <x v="31"/>
    <x v="2"/>
    <n v="1.585"/>
    <x v="6"/>
  </r>
  <r>
    <x v="0"/>
    <x v="0"/>
    <x v="31"/>
    <x v="3"/>
    <n v="1.625"/>
    <x v="6"/>
  </r>
  <r>
    <x v="0"/>
    <x v="0"/>
    <x v="31"/>
    <x v="4"/>
    <n v="3.2"/>
    <x v="6"/>
  </r>
  <r>
    <x v="0"/>
    <x v="0"/>
    <x v="32"/>
    <x v="0"/>
    <n v="0"/>
    <x v="6"/>
  </r>
  <r>
    <x v="0"/>
    <x v="0"/>
    <x v="32"/>
    <x v="1"/>
    <n v="0"/>
    <x v="6"/>
  </r>
  <r>
    <x v="0"/>
    <x v="0"/>
    <x v="32"/>
    <x v="2"/>
    <n v="0"/>
    <x v="6"/>
  </r>
  <r>
    <x v="0"/>
    <x v="0"/>
    <x v="32"/>
    <x v="3"/>
    <n v="0"/>
    <x v="6"/>
  </r>
  <r>
    <x v="0"/>
    <x v="0"/>
    <x v="32"/>
    <x v="4"/>
    <n v="0"/>
    <x v="6"/>
  </r>
  <r>
    <x v="0"/>
    <x v="0"/>
    <x v="33"/>
    <x v="0"/>
    <n v="0.04"/>
    <x v="6"/>
  </r>
  <r>
    <x v="0"/>
    <x v="0"/>
    <x v="33"/>
    <x v="1"/>
    <n v="0.218"/>
    <x v="6"/>
  </r>
  <r>
    <x v="0"/>
    <x v="0"/>
    <x v="33"/>
    <x v="2"/>
    <n v="0.20300000000000001"/>
    <x v="6"/>
  </r>
  <r>
    <x v="0"/>
    <x v="0"/>
    <x v="33"/>
    <x v="3"/>
    <n v="0.20300000000000001"/>
    <x v="6"/>
  </r>
  <r>
    <x v="0"/>
    <x v="0"/>
    <x v="33"/>
    <x v="4"/>
    <n v="0.127"/>
    <x v="6"/>
  </r>
  <r>
    <x v="0"/>
    <x v="0"/>
    <x v="34"/>
    <x v="0"/>
    <n v="0"/>
    <x v="6"/>
  </r>
  <r>
    <x v="0"/>
    <x v="0"/>
    <x v="34"/>
    <x v="1"/>
    <n v="0"/>
    <x v="6"/>
  </r>
  <r>
    <x v="0"/>
    <x v="0"/>
    <x v="34"/>
    <x v="2"/>
    <n v="0"/>
    <x v="6"/>
  </r>
  <r>
    <x v="0"/>
    <x v="0"/>
    <x v="34"/>
    <x v="3"/>
    <n v="0"/>
    <x v="6"/>
  </r>
  <r>
    <x v="0"/>
    <x v="0"/>
    <x v="34"/>
    <x v="4"/>
    <n v="0"/>
    <x v="6"/>
  </r>
  <r>
    <x v="0"/>
    <x v="0"/>
    <x v="35"/>
    <x v="0"/>
    <n v="0"/>
    <x v="6"/>
  </r>
  <r>
    <x v="0"/>
    <x v="0"/>
    <x v="35"/>
    <x v="1"/>
    <n v="0"/>
    <x v="6"/>
  </r>
  <r>
    <x v="0"/>
    <x v="0"/>
    <x v="35"/>
    <x v="2"/>
    <n v="0"/>
    <x v="6"/>
  </r>
  <r>
    <x v="0"/>
    <x v="0"/>
    <x v="35"/>
    <x v="3"/>
    <n v="0"/>
    <x v="6"/>
  </r>
  <r>
    <x v="0"/>
    <x v="0"/>
    <x v="35"/>
    <x v="4"/>
    <n v="0"/>
    <x v="6"/>
  </r>
  <r>
    <x v="0"/>
    <x v="0"/>
    <x v="36"/>
    <x v="0"/>
    <n v="1.355"/>
    <x v="6"/>
  </r>
  <r>
    <x v="0"/>
    <x v="0"/>
    <x v="36"/>
    <x v="1"/>
    <n v="0.99399999999999999"/>
    <x v="6"/>
  </r>
  <r>
    <x v="0"/>
    <x v="0"/>
    <x v="36"/>
    <x v="2"/>
    <n v="1.113"/>
    <x v="6"/>
  </r>
  <r>
    <x v="0"/>
    <x v="0"/>
    <x v="36"/>
    <x v="3"/>
    <n v="0.85699999999999998"/>
    <x v="6"/>
  </r>
  <r>
    <x v="0"/>
    <x v="0"/>
    <x v="36"/>
    <x v="4"/>
    <n v="0.60699999999999998"/>
    <x v="6"/>
  </r>
  <r>
    <x v="0"/>
    <x v="0"/>
    <x v="37"/>
    <x v="0"/>
    <n v="0"/>
    <x v="6"/>
  </r>
  <r>
    <x v="0"/>
    <x v="0"/>
    <x v="37"/>
    <x v="1"/>
    <n v="0"/>
    <x v="6"/>
  </r>
  <r>
    <x v="0"/>
    <x v="0"/>
    <x v="37"/>
    <x v="2"/>
    <n v="0"/>
    <x v="6"/>
  </r>
  <r>
    <x v="0"/>
    <x v="0"/>
    <x v="37"/>
    <x v="3"/>
    <n v="0"/>
    <x v="6"/>
  </r>
  <r>
    <x v="0"/>
    <x v="0"/>
    <x v="37"/>
    <x v="4"/>
    <n v="0"/>
    <x v="6"/>
  </r>
  <r>
    <x v="1"/>
    <x v="0"/>
    <x v="0"/>
    <x v="0"/>
    <n v="0"/>
    <x v="4"/>
  </r>
  <r>
    <x v="1"/>
    <x v="0"/>
    <x v="0"/>
    <x v="1"/>
    <n v="0"/>
    <x v="4"/>
  </r>
  <r>
    <x v="1"/>
    <x v="0"/>
    <x v="0"/>
    <x v="2"/>
    <n v="0"/>
    <x v="4"/>
  </r>
  <r>
    <x v="1"/>
    <x v="0"/>
    <x v="0"/>
    <x v="3"/>
    <n v="0"/>
    <x v="4"/>
  </r>
  <r>
    <x v="1"/>
    <x v="0"/>
    <x v="0"/>
    <x v="4"/>
    <n v="0"/>
    <x v="4"/>
  </r>
  <r>
    <x v="1"/>
    <x v="0"/>
    <x v="1"/>
    <x v="0"/>
    <n v="25.396799999999999"/>
    <x v="4"/>
  </r>
  <r>
    <x v="1"/>
    <x v="0"/>
    <x v="1"/>
    <x v="1"/>
    <n v="24.815799999999999"/>
    <x v="4"/>
  </r>
  <r>
    <x v="1"/>
    <x v="0"/>
    <x v="1"/>
    <x v="2"/>
    <n v="23.715"/>
    <x v="4"/>
  </r>
  <r>
    <x v="1"/>
    <x v="0"/>
    <x v="1"/>
    <x v="3"/>
    <n v="20.54"/>
    <x v="4"/>
  </r>
  <r>
    <x v="1"/>
    <x v="0"/>
    <x v="1"/>
    <x v="4"/>
    <n v="24.819099999999999"/>
    <x v="4"/>
  </r>
  <r>
    <x v="1"/>
    <x v="0"/>
    <x v="2"/>
    <x v="0"/>
    <n v="0.29199999999999998"/>
    <x v="4"/>
  </r>
  <r>
    <x v="1"/>
    <x v="0"/>
    <x v="2"/>
    <x v="1"/>
    <n v="0.313"/>
    <x v="4"/>
  </r>
  <r>
    <x v="1"/>
    <x v="0"/>
    <x v="2"/>
    <x v="2"/>
    <n v="0.29699999999999999"/>
    <x v="4"/>
  </r>
  <r>
    <x v="1"/>
    <x v="0"/>
    <x v="2"/>
    <x v="3"/>
    <n v="0.11"/>
    <x v="4"/>
  </r>
  <r>
    <x v="1"/>
    <x v="0"/>
    <x v="2"/>
    <x v="4"/>
    <n v="0.17599999999999999"/>
    <x v="4"/>
  </r>
  <r>
    <x v="1"/>
    <x v="0"/>
    <x v="3"/>
    <x v="0"/>
    <n v="0.23699999999999999"/>
    <x v="4"/>
  </r>
  <r>
    <x v="1"/>
    <x v="0"/>
    <x v="3"/>
    <x v="1"/>
    <n v="5.2999999999999999E-2"/>
    <x v="4"/>
  </r>
  <r>
    <x v="1"/>
    <x v="0"/>
    <x v="3"/>
    <x v="2"/>
    <n v="0.125"/>
    <x v="4"/>
  </r>
  <r>
    <x v="1"/>
    <x v="0"/>
    <x v="3"/>
    <x v="3"/>
    <n v="9.0999999999999998E-2"/>
    <x v="4"/>
  </r>
  <r>
    <x v="1"/>
    <x v="0"/>
    <x v="3"/>
    <x v="4"/>
    <n v="0.09"/>
    <x v="4"/>
  </r>
  <r>
    <x v="1"/>
    <x v="0"/>
    <x v="4"/>
    <x v="0"/>
    <n v="0"/>
    <x v="4"/>
  </r>
  <r>
    <x v="1"/>
    <x v="0"/>
    <x v="4"/>
    <x v="1"/>
    <n v="0"/>
    <x v="4"/>
  </r>
  <r>
    <x v="1"/>
    <x v="0"/>
    <x v="4"/>
    <x v="2"/>
    <n v="0"/>
    <x v="4"/>
  </r>
  <r>
    <x v="1"/>
    <x v="0"/>
    <x v="4"/>
    <x v="3"/>
    <n v="0"/>
    <x v="4"/>
  </r>
  <r>
    <x v="1"/>
    <x v="0"/>
    <x v="4"/>
    <x v="4"/>
    <n v="0"/>
    <x v="4"/>
  </r>
  <r>
    <x v="1"/>
    <x v="0"/>
    <x v="5"/>
    <x v="0"/>
    <n v="1.151"/>
    <x v="4"/>
  </r>
  <r>
    <x v="1"/>
    <x v="0"/>
    <x v="5"/>
    <x v="1"/>
    <n v="1.2869999999999999"/>
    <x v="4"/>
  </r>
  <r>
    <x v="1"/>
    <x v="0"/>
    <x v="5"/>
    <x v="2"/>
    <n v="1.1779999999999999"/>
    <x v="4"/>
  </r>
  <r>
    <x v="1"/>
    <x v="0"/>
    <x v="5"/>
    <x v="3"/>
    <n v="1.4630000000000001"/>
    <x v="4"/>
  </r>
  <r>
    <x v="1"/>
    <x v="0"/>
    <x v="5"/>
    <x v="4"/>
    <n v="1.1359999999999999"/>
    <x v="4"/>
  </r>
  <r>
    <x v="1"/>
    <x v="0"/>
    <x v="6"/>
    <x v="0"/>
    <n v="35.612099999999998"/>
    <x v="4"/>
  </r>
  <r>
    <x v="1"/>
    <x v="0"/>
    <x v="6"/>
    <x v="1"/>
    <n v="33.662100000000002"/>
    <x v="4"/>
  </r>
  <r>
    <x v="1"/>
    <x v="0"/>
    <x v="6"/>
    <x v="2"/>
    <n v="39.433599999999998"/>
    <x v="4"/>
  </r>
  <r>
    <x v="1"/>
    <x v="0"/>
    <x v="6"/>
    <x v="3"/>
    <n v="30.529699999999998"/>
    <x v="4"/>
  </r>
  <r>
    <x v="1"/>
    <x v="0"/>
    <x v="6"/>
    <x v="4"/>
    <n v="29.615200000000002"/>
    <x v="4"/>
  </r>
  <r>
    <x v="1"/>
    <x v="0"/>
    <x v="7"/>
    <x v="0"/>
    <n v="20.701000000000001"/>
    <x v="4"/>
  </r>
  <r>
    <x v="1"/>
    <x v="0"/>
    <x v="7"/>
    <x v="1"/>
    <n v="21.110399999999998"/>
    <x v="4"/>
  </r>
  <r>
    <x v="1"/>
    <x v="0"/>
    <x v="7"/>
    <x v="2"/>
    <n v="21.308"/>
    <x v="4"/>
  </r>
  <r>
    <x v="1"/>
    <x v="0"/>
    <x v="7"/>
    <x v="3"/>
    <n v="19.4453"/>
    <x v="4"/>
  </r>
  <r>
    <x v="1"/>
    <x v="0"/>
    <x v="7"/>
    <x v="4"/>
    <n v="21.452999999999999"/>
    <x v="4"/>
  </r>
  <r>
    <x v="1"/>
    <x v="0"/>
    <x v="8"/>
    <x v="0"/>
    <n v="3.27"/>
    <x v="4"/>
  </r>
  <r>
    <x v="1"/>
    <x v="0"/>
    <x v="8"/>
    <x v="1"/>
    <n v="4.2539999999999996"/>
    <x v="4"/>
  </r>
  <r>
    <x v="1"/>
    <x v="0"/>
    <x v="8"/>
    <x v="2"/>
    <n v="4.0279999999999996"/>
    <x v="4"/>
  </r>
  <r>
    <x v="1"/>
    <x v="0"/>
    <x v="8"/>
    <x v="3"/>
    <n v="5.0030000000000001"/>
    <x v="4"/>
  </r>
  <r>
    <x v="1"/>
    <x v="0"/>
    <x v="8"/>
    <x v="4"/>
    <n v="3.8069999999999999"/>
    <x v="4"/>
  </r>
  <r>
    <x v="1"/>
    <x v="0"/>
    <x v="9"/>
    <x v="0"/>
    <n v="0"/>
    <x v="4"/>
  </r>
  <r>
    <x v="1"/>
    <x v="0"/>
    <x v="9"/>
    <x v="1"/>
    <n v="0"/>
    <x v="4"/>
  </r>
  <r>
    <x v="1"/>
    <x v="0"/>
    <x v="9"/>
    <x v="2"/>
    <n v="0"/>
    <x v="4"/>
  </r>
  <r>
    <x v="1"/>
    <x v="0"/>
    <x v="9"/>
    <x v="3"/>
    <n v="0"/>
    <x v="4"/>
  </r>
  <r>
    <x v="1"/>
    <x v="0"/>
    <x v="9"/>
    <x v="4"/>
    <n v="0"/>
    <x v="4"/>
  </r>
  <r>
    <x v="1"/>
    <x v="0"/>
    <x v="10"/>
    <x v="0"/>
    <n v="0"/>
    <x v="4"/>
  </r>
  <r>
    <x v="1"/>
    <x v="0"/>
    <x v="10"/>
    <x v="1"/>
    <n v="0"/>
    <x v="4"/>
  </r>
  <r>
    <x v="1"/>
    <x v="0"/>
    <x v="10"/>
    <x v="2"/>
    <n v="0"/>
    <x v="4"/>
  </r>
  <r>
    <x v="1"/>
    <x v="0"/>
    <x v="10"/>
    <x v="3"/>
    <n v="0"/>
    <x v="4"/>
  </r>
  <r>
    <x v="1"/>
    <x v="0"/>
    <x v="10"/>
    <x v="4"/>
    <n v="0"/>
    <x v="4"/>
  </r>
  <r>
    <x v="1"/>
    <x v="0"/>
    <x v="11"/>
    <x v="0"/>
    <n v="29.7014"/>
    <x v="4"/>
  </r>
  <r>
    <x v="1"/>
    <x v="0"/>
    <x v="11"/>
    <x v="1"/>
    <n v="27.144300000000001"/>
    <x v="4"/>
  </r>
  <r>
    <x v="1"/>
    <x v="0"/>
    <x v="11"/>
    <x v="2"/>
    <n v="26.725000000000001"/>
    <x v="4"/>
  </r>
  <r>
    <x v="1"/>
    <x v="0"/>
    <x v="11"/>
    <x v="3"/>
    <n v="22.792999999999999"/>
    <x v="4"/>
  </r>
  <r>
    <x v="1"/>
    <x v="0"/>
    <x v="11"/>
    <x v="4"/>
    <n v="24.087"/>
    <x v="4"/>
  </r>
  <r>
    <x v="1"/>
    <x v="0"/>
    <x v="12"/>
    <x v="0"/>
    <n v="25.152999999999999"/>
    <x v="4"/>
  </r>
  <r>
    <x v="1"/>
    <x v="0"/>
    <x v="12"/>
    <x v="1"/>
    <n v="22.908999999999999"/>
    <x v="4"/>
  </r>
  <r>
    <x v="1"/>
    <x v="0"/>
    <x v="12"/>
    <x v="2"/>
    <n v="19.372"/>
    <x v="4"/>
  </r>
  <r>
    <x v="1"/>
    <x v="0"/>
    <x v="12"/>
    <x v="3"/>
    <n v="15.849"/>
    <x v="4"/>
  </r>
  <r>
    <x v="1"/>
    <x v="0"/>
    <x v="12"/>
    <x v="4"/>
    <n v="18.425999999999998"/>
    <x v="4"/>
  </r>
  <r>
    <x v="1"/>
    <x v="0"/>
    <x v="13"/>
    <x v="0"/>
    <n v="0"/>
    <x v="4"/>
  </r>
  <r>
    <x v="1"/>
    <x v="0"/>
    <x v="13"/>
    <x v="1"/>
    <n v="0"/>
    <x v="4"/>
  </r>
  <r>
    <x v="1"/>
    <x v="0"/>
    <x v="13"/>
    <x v="2"/>
    <n v="0"/>
    <x v="4"/>
  </r>
  <r>
    <x v="1"/>
    <x v="0"/>
    <x v="13"/>
    <x v="3"/>
    <n v="0"/>
    <x v="4"/>
  </r>
  <r>
    <x v="1"/>
    <x v="0"/>
    <x v="13"/>
    <x v="4"/>
    <n v="0"/>
    <x v="4"/>
  </r>
  <r>
    <x v="1"/>
    <x v="0"/>
    <x v="14"/>
    <x v="0"/>
    <n v="2.9"/>
    <x v="4"/>
  </r>
  <r>
    <x v="1"/>
    <x v="0"/>
    <x v="14"/>
    <x v="1"/>
    <n v="2.4740000000000002"/>
    <x v="4"/>
  </r>
  <r>
    <x v="1"/>
    <x v="0"/>
    <x v="14"/>
    <x v="2"/>
    <n v="1.2529999999999999"/>
    <x v="4"/>
  </r>
  <r>
    <x v="1"/>
    <x v="0"/>
    <x v="14"/>
    <x v="3"/>
    <n v="0.81899999999999995"/>
    <x v="4"/>
  </r>
  <r>
    <x v="1"/>
    <x v="0"/>
    <x v="14"/>
    <x v="4"/>
    <n v="0.45800000000000002"/>
    <x v="4"/>
  </r>
  <r>
    <x v="1"/>
    <x v="0"/>
    <x v="15"/>
    <x v="0"/>
    <n v="0"/>
    <x v="4"/>
  </r>
  <r>
    <x v="1"/>
    <x v="0"/>
    <x v="15"/>
    <x v="1"/>
    <n v="0"/>
    <x v="4"/>
  </r>
  <r>
    <x v="1"/>
    <x v="0"/>
    <x v="15"/>
    <x v="2"/>
    <n v="0"/>
    <x v="4"/>
  </r>
  <r>
    <x v="1"/>
    <x v="0"/>
    <x v="15"/>
    <x v="3"/>
    <n v="0"/>
    <x v="4"/>
  </r>
  <r>
    <x v="1"/>
    <x v="0"/>
    <x v="15"/>
    <x v="4"/>
    <n v="0"/>
    <x v="4"/>
  </r>
  <r>
    <x v="1"/>
    <x v="0"/>
    <x v="16"/>
    <x v="0"/>
    <n v="30.009"/>
    <x v="4"/>
  </r>
  <r>
    <x v="1"/>
    <x v="0"/>
    <x v="16"/>
    <x v="1"/>
    <n v="24.843"/>
    <x v="4"/>
  </r>
  <r>
    <x v="1"/>
    <x v="0"/>
    <x v="16"/>
    <x v="2"/>
    <n v="26.100999999999999"/>
    <x v="4"/>
  </r>
  <r>
    <x v="1"/>
    <x v="0"/>
    <x v="16"/>
    <x v="3"/>
    <n v="25.542000000000002"/>
    <x v="4"/>
  </r>
  <r>
    <x v="1"/>
    <x v="0"/>
    <x v="16"/>
    <x v="4"/>
    <n v="25.001000000000001"/>
    <x v="4"/>
  </r>
  <r>
    <x v="1"/>
    <x v="0"/>
    <x v="17"/>
    <x v="0"/>
    <n v="5.0117000000000003"/>
    <x v="4"/>
  </r>
  <r>
    <x v="1"/>
    <x v="0"/>
    <x v="17"/>
    <x v="1"/>
    <n v="5.3108000000000004"/>
    <x v="4"/>
  </r>
  <r>
    <x v="1"/>
    <x v="0"/>
    <x v="17"/>
    <x v="2"/>
    <n v="5.2770000000000001"/>
    <x v="4"/>
  </r>
  <r>
    <x v="1"/>
    <x v="0"/>
    <x v="17"/>
    <x v="3"/>
    <n v="4.8647"/>
    <x v="4"/>
  </r>
  <r>
    <x v="1"/>
    <x v="0"/>
    <x v="17"/>
    <x v="4"/>
    <n v="4.5849000000000002"/>
    <x v="4"/>
  </r>
  <r>
    <x v="1"/>
    <x v="0"/>
    <x v="18"/>
    <x v="0"/>
    <n v="12.769"/>
    <x v="4"/>
  </r>
  <r>
    <x v="1"/>
    <x v="0"/>
    <x v="18"/>
    <x v="1"/>
    <n v="8.8480000000000008"/>
    <x v="4"/>
  </r>
  <r>
    <x v="1"/>
    <x v="0"/>
    <x v="18"/>
    <x v="2"/>
    <n v="9.3940000000000001"/>
    <x v="4"/>
  </r>
  <r>
    <x v="1"/>
    <x v="0"/>
    <x v="18"/>
    <x v="3"/>
    <n v="7.6449999999999996"/>
    <x v="4"/>
  </r>
  <r>
    <x v="1"/>
    <x v="0"/>
    <x v="18"/>
    <x v="4"/>
    <n v="8.2270000000000003"/>
    <x v="4"/>
  </r>
  <r>
    <x v="1"/>
    <x v="0"/>
    <x v="19"/>
    <x v="0"/>
    <n v="0.123"/>
    <x v="4"/>
  </r>
  <r>
    <x v="1"/>
    <x v="0"/>
    <x v="19"/>
    <x v="1"/>
    <n v="0.11600000000000001"/>
    <x v="4"/>
  </r>
  <r>
    <x v="1"/>
    <x v="0"/>
    <x v="19"/>
    <x v="2"/>
    <n v="0.10199999999999999"/>
    <x v="4"/>
  </r>
  <r>
    <x v="1"/>
    <x v="0"/>
    <x v="19"/>
    <x v="3"/>
    <n v="0.10100000000000001"/>
    <x v="4"/>
  </r>
  <r>
    <x v="1"/>
    <x v="0"/>
    <x v="19"/>
    <x v="4"/>
    <n v="9.5000000000000001E-2"/>
    <x v="4"/>
  </r>
  <r>
    <x v="1"/>
    <x v="0"/>
    <x v="20"/>
    <x v="0"/>
    <n v="5.8360000000000003"/>
    <x v="4"/>
  </r>
  <r>
    <x v="1"/>
    <x v="0"/>
    <x v="20"/>
    <x v="1"/>
    <n v="5.9880000000000004"/>
    <x v="4"/>
  </r>
  <r>
    <x v="1"/>
    <x v="0"/>
    <x v="20"/>
    <x v="2"/>
    <n v="5.9039999999999999"/>
    <x v="4"/>
  </r>
  <r>
    <x v="1"/>
    <x v="0"/>
    <x v="20"/>
    <x v="3"/>
    <n v="5.4349999999999996"/>
    <x v="4"/>
  </r>
  <r>
    <x v="1"/>
    <x v="0"/>
    <x v="20"/>
    <x v="4"/>
    <n v="6.1909999999999998"/>
    <x v="4"/>
  </r>
  <r>
    <x v="1"/>
    <x v="0"/>
    <x v="21"/>
    <x v="0"/>
    <n v="0.35499999999999998"/>
    <x v="4"/>
  </r>
  <r>
    <x v="1"/>
    <x v="0"/>
    <x v="21"/>
    <x v="1"/>
    <n v="0.26900000000000002"/>
    <x v="4"/>
  </r>
  <r>
    <x v="1"/>
    <x v="0"/>
    <x v="21"/>
    <x v="2"/>
    <n v="0.23"/>
    <x v="4"/>
  </r>
  <r>
    <x v="1"/>
    <x v="0"/>
    <x v="21"/>
    <x v="3"/>
    <n v="0.4"/>
    <x v="4"/>
  </r>
  <r>
    <x v="1"/>
    <x v="0"/>
    <x v="21"/>
    <x v="4"/>
    <n v="0.51800000000000002"/>
    <x v="4"/>
  </r>
  <r>
    <x v="1"/>
    <x v="0"/>
    <x v="22"/>
    <x v="0"/>
    <n v="0"/>
    <x v="4"/>
  </r>
  <r>
    <x v="1"/>
    <x v="0"/>
    <x v="22"/>
    <x v="1"/>
    <n v="0"/>
    <x v="4"/>
  </r>
  <r>
    <x v="1"/>
    <x v="0"/>
    <x v="22"/>
    <x v="2"/>
    <n v="0"/>
    <x v="4"/>
  </r>
  <r>
    <x v="1"/>
    <x v="0"/>
    <x v="22"/>
    <x v="3"/>
    <n v="0"/>
    <x v="4"/>
  </r>
  <r>
    <x v="1"/>
    <x v="0"/>
    <x v="22"/>
    <x v="4"/>
    <n v="0"/>
    <x v="4"/>
  </r>
  <r>
    <x v="1"/>
    <x v="0"/>
    <x v="23"/>
    <x v="0"/>
    <n v="0"/>
    <x v="4"/>
  </r>
  <r>
    <x v="1"/>
    <x v="0"/>
    <x v="23"/>
    <x v="1"/>
    <n v="0"/>
    <x v="4"/>
  </r>
  <r>
    <x v="1"/>
    <x v="0"/>
    <x v="23"/>
    <x v="2"/>
    <n v="0"/>
    <x v="4"/>
  </r>
  <r>
    <x v="1"/>
    <x v="0"/>
    <x v="23"/>
    <x v="3"/>
    <n v="0"/>
    <x v="4"/>
  </r>
  <r>
    <x v="1"/>
    <x v="0"/>
    <x v="23"/>
    <x v="4"/>
    <n v="0"/>
    <x v="4"/>
  </r>
  <r>
    <x v="1"/>
    <x v="0"/>
    <x v="24"/>
    <x v="0"/>
    <n v="0"/>
    <x v="4"/>
  </r>
  <r>
    <x v="1"/>
    <x v="0"/>
    <x v="24"/>
    <x v="1"/>
    <n v="0"/>
    <x v="4"/>
  </r>
  <r>
    <x v="1"/>
    <x v="0"/>
    <x v="24"/>
    <x v="2"/>
    <n v="0"/>
    <x v="4"/>
  </r>
  <r>
    <x v="1"/>
    <x v="0"/>
    <x v="24"/>
    <x v="3"/>
    <n v="0"/>
    <x v="4"/>
  </r>
  <r>
    <x v="1"/>
    <x v="0"/>
    <x v="24"/>
    <x v="4"/>
    <n v="0"/>
    <x v="4"/>
  </r>
  <r>
    <x v="1"/>
    <x v="0"/>
    <x v="25"/>
    <x v="0"/>
    <n v="0.42199999999999999"/>
    <x v="4"/>
  </r>
  <r>
    <x v="1"/>
    <x v="0"/>
    <x v="25"/>
    <x v="1"/>
    <n v="7.5999999999999998E-2"/>
    <x v="4"/>
  </r>
  <r>
    <x v="1"/>
    <x v="0"/>
    <x v="25"/>
    <x v="2"/>
    <n v="2.3E-2"/>
    <x v="4"/>
  </r>
  <r>
    <x v="1"/>
    <x v="0"/>
    <x v="25"/>
    <x v="3"/>
    <n v="5.3220000000000001"/>
    <x v="4"/>
  </r>
  <r>
    <x v="1"/>
    <x v="0"/>
    <x v="25"/>
    <x v="4"/>
    <n v="5.5229999999999997"/>
    <x v="4"/>
  </r>
  <r>
    <x v="1"/>
    <x v="0"/>
    <x v="26"/>
    <x v="0"/>
    <n v="8.0402000000000005"/>
    <x v="4"/>
  </r>
  <r>
    <x v="1"/>
    <x v="0"/>
    <x v="26"/>
    <x v="1"/>
    <n v="7.8196000000000003"/>
    <x v="4"/>
  </r>
  <r>
    <x v="1"/>
    <x v="0"/>
    <x v="26"/>
    <x v="2"/>
    <n v="7.3109999999999999"/>
    <x v="4"/>
  </r>
  <r>
    <x v="1"/>
    <x v="0"/>
    <x v="26"/>
    <x v="3"/>
    <n v="6.3419999999999996"/>
    <x v="4"/>
  </r>
  <r>
    <x v="1"/>
    <x v="0"/>
    <x v="26"/>
    <x v="4"/>
    <n v="6.452"/>
    <x v="4"/>
  </r>
  <r>
    <x v="1"/>
    <x v="0"/>
    <x v="27"/>
    <x v="0"/>
    <n v="1.742"/>
    <x v="4"/>
  </r>
  <r>
    <x v="1"/>
    <x v="0"/>
    <x v="27"/>
    <x v="1"/>
    <n v="2.0099999999999998"/>
    <x v="4"/>
  </r>
  <r>
    <x v="1"/>
    <x v="0"/>
    <x v="27"/>
    <x v="2"/>
    <n v="1.7"/>
    <x v="4"/>
  </r>
  <r>
    <x v="1"/>
    <x v="0"/>
    <x v="27"/>
    <x v="3"/>
    <n v="1.788"/>
    <x v="4"/>
  </r>
  <r>
    <x v="1"/>
    <x v="0"/>
    <x v="27"/>
    <x v="4"/>
    <n v="1.893"/>
    <x v="4"/>
  </r>
  <r>
    <x v="1"/>
    <x v="0"/>
    <x v="28"/>
    <x v="0"/>
    <n v="0"/>
    <x v="4"/>
  </r>
  <r>
    <x v="1"/>
    <x v="0"/>
    <x v="28"/>
    <x v="1"/>
    <n v="0"/>
    <x v="4"/>
  </r>
  <r>
    <x v="1"/>
    <x v="0"/>
    <x v="28"/>
    <x v="2"/>
    <n v="0"/>
    <x v="4"/>
  </r>
  <r>
    <x v="1"/>
    <x v="0"/>
    <x v="28"/>
    <x v="3"/>
    <n v="0"/>
    <x v="4"/>
  </r>
  <r>
    <x v="1"/>
    <x v="0"/>
    <x v="28"/>
    <x v="4"/>
    <n v="0"/>
    <x v="4"/>
  </r>
  <r>
    <x v="1"/>
    <x v="0"/>
    <x v="29"/>
    <x v="0"/>
    <n v="2.0550000000000002"/>
    <x v="4"/>
  </r>
  <r>
    <x v="1"/>
    <x v="0"/>
    <x v="29"/>
    <x v="1"/>
    <n v="1.728"/>
    <x v="4"/>
  </r>
  <r>
    <x v="1"/>
    <x v="0"/>
    <x v="29"/>
    <x v="2"/>
    <n v="1.976"/>
    <x v="4"/>
  </r>
  <r>
    <x v="1"/>
    <x v="0"/>
    <x v="29"/>
    <x v="3"/>
    <n v="2.8839999999999999"/>
    <x v="4"/>
  </r>
  <r>
    <x v="1"/>
    <x v="0"/>
    <x v="29"/>
    <x v="4"/>
    <n v="1.7789999999999999"/>
    <x v="4"/>
  </r>
  <r>
    <x v="1"/>
    <x v="0"/>
    <x v="30"/>
    <x v="0"/>
    <n v="0.09"/>
    <x v="4"/>
  </r>
  <r>
    <x v="1"/>
    <x v="0"/>
    <x v="30"/>
    <x v="1"/>
    <n v="7.9000000000000001E-2"/>
    <x v="4"/>
  </r>
  <r>
    <x v="1"/>
    <x v="0"/>
    <x v="30"/>
    <x v="2"/>
    <n v="7.2999999999999995E-2"/>
    <x v="4"/>
  </r>
  <r>
    <x v="1"/>
    <x v="0"/>
    <x v="30"/>
    <x v="3"/>
    <n v="0.09"/>
    <x v="4"/>
  </r>
  <r>
    <x v="1"/>
    <x v="0"/>
    <x v="30"/>
    <x v="4"/>
    <n v="8.4000000000000005E-2"/>
    <x v="4"/>
  </r>
  <r>
    <x v="1"/>
    <x v="0"/>
    <x v="31"/>
    <x v="0"/>
    <n v="38.71"/>
    <x v="4"/>
  </r>
  <r>
    <x v="1"/>
    <x v="0"/>
    <x v="31"/>
    <x v="1"/>
    <n v="42.128"/>
    <x v="4"/>
  </r>
  <r>
    <x v="1"/>
    <x v="0"/>
    <x v="31"/>
    <x v="2"/>
    <n v="46.206200000000003"/>
    <x v="4"/>
  </r>
  <r>
    <x v="1"/>
    <x v="0"/>
    <x v="31"/>
    <x v="3"/>
    <n v="49.485999999999997"/>
    <x v="4"/>
  </r>
  <r>
    <x v="1"/>
    <x v="0"/>
    <x v="31"/>
    <x v="4"/>
    <n v="52.1004"/>
    <x v="4"/>
  </r>
  <r>
    <x v="1"/>
    <x v="0"/>
    <x v="32"/>
    <x v="0"/>
    <n v="0.34899999999999998"/>
    <x v="4"/>
  </r>
  <r>
    <x v="1"/>
    <x v="0"/>
    <x v="32"/>
    <x v="1"/>
    <n v="0.46100000000000002"/>
    <x v="4"/>
  </r>
  <r>
    <x v="1"/>
    <x v="0"/>
    <x v="32"/>
    <x v="2"/>
    <n v="0.5"/>
    <x v="4"/>
  </r>
  <r>
    <x v="1"/>
    <x v="0"/>
    <x v="32"/>
    <x v="3"/>
    <n v="0.41899999999999998"/>
    <x v="4"/>
  </r>
  <r>
    <x v="1"/>
    <x v="0"/>
    <x v="32"/>
    <x v="4"/>
    <n v="0.35199999999999998"/>
    <x v="4"/>
  </r>
  <r>
    <x v="1"/>
    <x v="0"/>
    <x v="33"/>
    <x v="0"/>
    <n v="2.4409999999999998"/>
    <x v="4"/>
  </r>
  <r>
    <x v="1"/>
    <x v="0"/>
    <x v="33"/>
    <x v="1"/>
    <n v="3.1949999999999998"/>
    <x v="4"/>
  </r>
  <r>
    <x v="1"/>
    <x v="0"/>
    <x v="33"/>
    <x v="2"/>
    <n v="3.1970000000000001"/>
    <x v="4"/>
  </r>
  <r>
    <x v="1"/>
    <x v="0"/>
    <x v="33"/>
    <x v="3"/>
    <n v="3.028"/>
    <x v="4"/>
  </r>
  <r>
    <x v="1"/>
    <x v="0"/>
    <x v="33"/>
    <x v="4"/>
    <n v="3.0430000000000001"/>
    <x v="4"/>
  </r>
  <r>
    <x v="1"/>
    <x v="0"/>
    <x v="34"/>
    <x v="0"/>
    <n v="0"/>
    <x v="4"/>
  </r>
  <r>
    <x v="1"/>
    <x v="0"/>
    <x v="34"/>
    <x v="1"/>
    <n v="0"/>
    <x v="4"/>
  </r>
  <r>
    <x v="1"/>
    <x v="0"/>
    <x v="34"/>
    <x v="2"/>
    <n v="0"/>
    <x v="4"/>
  </r>
  <r>
    <x v="1"/>
    <x v="0"/>
    <x v="34"/>
    <x v="3"/>
    <n v="0"/>
    <x v="4"/>
  </r>
  <r>
    <x v="1"/>
    <x v="0"/>
    <x v="34"/>
    <x v="4"/>
    <n v="0"/>
    <x v="4"/>
  </r>
  <r>
    <x v="1"/>
    <x v="0"/>
    <x v="35"/>
    <x v="0"/>
    <n v="1.4259999999999999"/>
    <x v="4"/>
  </r>
  <r>
    <x v="1"/>
    <x v="0"/>
    <x v="35"/>
    <x v="1"/>
    <n v="3.194"/>
    <x v="4"/>
  </r>
  <r>
    <x v="1"/>
    <x v="0"/>
    <x v="35"/>
    <x v="2"/>
    <n v="2.109"/>
    <x v="4"/>
  </r>
  <r>
    <x v="1"/>
    <x v="0"/>
    <x v="35"/>
    <x v="3"/>
    <n v="1.964"/>
    <x v="4"/>
  </r>
  <r>
    <x v="1"/>
    <x v="0"/>
    <x v="35"/>
    <x v="4"/>
    <n v="2.7549999999999999"/>
    <x v="4"/>
  </r>
  <r>
    <x v="1"/>
    <x v="0"/>
    <x v="36"/>
    <x v="0"/>
    <n v="1.583"/>
    <x v="4"/>
  </r>
  <r>
    <x v="1"/>
    <x v="0"/>
    <x v="36"/>
    <x v="1"/>
    <n v="1.4019999999999999"/>
    <x v="4"/>
  </r>
  <r>
    <x v="1"/>
    <x v="0"/>
    <x v="36"/>
    <x v="2"/>
    <n v="3.5760000000000001"/>
    <x v="4"/>
  </r>
  <r>
    <x v="1"/>
    <x v="0"/>
    <x v="36"/>
    <x v="3"/>
    <n v="2.8039999999999998"/>
    <x v="4"/>
  </r>
  <r>
    <x v="1"/>
    <x v="0"/>
    <x v="36"/>
    <x v="4"/>
    <n v="1.0069999999999999"/>
    <x v="4"/>
  </r>
  <r>
    <x v="1"/>
    <x v="0"/>
    <x v="37"/>
    <x v="0"/>
    <n v="0"/>
    <x v="4"/>
  </r>
  <r>
    <x v="1"/>
    <x v="0"/>
    <x v="37"/>
    <x v="1"/>
    <n v="0"/>
    <x v="4"/>
  </r>
  <r>
    <x v="1"/>
    <x v="0"/>
    <x v="37"/>
    <x v="2"/>
    <n v="0"/>
    <x v="4"/>
  </r>
  <r>
    <x v="1"/>
    <x v="0"/>
    <x v="37"/>
    <x v="3"/>
    <n v="0"/>
    <x v="4"/>
  </r>
  <r>
    <x v="1"/>
    <x v="0"/>
    <x v="37"/>
    <x v="4"/>
    <n v="0"/>
    <x v="4"/>
  </r>
  <r>
    <x v="1"/>
    <x v="0"/>
    <x v="0"/>
    <x v="0"/>
    <n v="0"/>
    <x v="7"/>
  </r>
  <r>
    <x v="1"/>
    <x v="0"/>
    <x v="0"/>
    <x v="1"/>
    <n v="0"/>
    <x v="7"/>
  </r>
  <r>
    <x v="1"/>
    <x v="0"/>
    <x v="0"/>
    <x v="2"/>
    <n v="0"/>
    <x v="7"/>
  </r>
  <r>
    <x v="1"/>
    <x v="0"/>
    <x v="0"/>
    <x v="3"/>
    <n v="0"/>
    <x v="7"/>
  </r>
  <r>
    <x v="1"/>
    <x v="0"/>
    <x v="0"/>
    <x v="4"/>
    <n v="0"/>
    <x v="7"/>
  </r>
  <r>
    <x v="1"/>
    <x v="0"/>
    <x v="1"/>
    <x v="0"/>
    <n v="6.8000000000000005E-2"/>
    <x v="7"/>
  </r>
  <r>
    <x v="1"/>
    <x v="0"/>
    <x v="1"/>
    <x v="1"/>
    <n v="6.3E-2"/>
    <x v="7"/>
  </r>
  <r>
    <x v="1"/>
    <x v="0"/>
    <x v="1"/>
    <x v="2"/>
    <n v="6.3E-2"/>
    <x v="7"/>
  </r>
  <r>
    <x v="1"/>
    <x v="0"/>
    <x v="1"/>
    <x v="3"/>
    <n v="5.7000000000000002E-2"/>
    <x v="7"/>
  </r>
  <r>
    <x v="1"/>
    <x v="0"/>
    <x v="1"/>
    <x v="4"/>
    <n v="4.8000000000000001E-2"/>
    <x v="7"/>
  </r>
  <r>
    <x v="1"/>
    <x v="0"/>
    <x v="2"/>
    <x v="0"/>
    <n v="0"/>
    <x v="7"/>
  </r>
  <r>
    <x v="1"/>
    <x v="0"/>
    <x v="2"/>
    <x v="1"/>
    <n v="0"/>
    <x v="7"/>
  </r>
  <r>
    <x v="1"/>
    <x v="0"/>
    <x v="2"/>
    <x v="2"/>
    <n v="0"/>
    <x v="7"/>
  </r>
  <r>
    <x v="1"/>
    <x v="0"/>
    <x v="2"/>
    <x v="3"/>
    <n v="0"/>
    <x v="7"/>
  </r>
  <r>
    <x v="1"/>
    <x v="0"/>
    <x v="2"/>
    <x v="4"/>
    <n v="0"/>
    <x v="7"/>
  </r>
  <r>
    <x v="1"/>
    <x v="0"/>
    <x v="3"/>
    <x v="0"/>
    <n v="0"/>
    <x v="7"/>
  </r>
  <r>
    <x v="1"/>
    <x v="0"/>
    <x v="3"/>
    <x v="1"/>
    <n v="0"/>
    <x v="7"/>
  </r>
  <r>
    <x v="1"/>
    <x v="0"/>
    <x v="3"/>
    <x v="2"/>
    <n v="0"/>
    <x v="7"/>
  </r>
  <r>
    <x v="1"/>
    <x v="0"/>
    <x v="3"/>
    <x v="3"/>
    <n v="0"/>
    <x v="7"/>
  </r>
  <r>
    <x v="1"/>
    <x v="0"/>
    <x v="3"/>
    <x v="4"/>
    <n v="0"/>
    <x v="7"/>
  </r>
  <r>
    <x v="1"/>
    <x v="0"/>
    <x v="4"/>
    <x v="0"/>
    <n v="0"/>
    <x v="7"/>
  </r>
  <r>
    <x v="1"/>
    <x v="0"/>
    <x v="4"/>
    <x v="1"/>
    <n v="0"/>
    <x v="7"/>
  </r>
  <r>
    <x v="1"/>
    <x v="0"/>
    <x v="4"/>
    <x v="2"/>
    <n v="0"/>
    <x v="7"/>
  </r>
  <r>
    <x v="1"/>
    <x v="0"/>
    <x v="4"/>
    <x v="3"/>
    <n v="0"/>
    <x v="7"/>
  </r>
  <r>
    <x v="1"/>
    <x v="0"/>
    <x v="4"/>
    <x v="4"/>
    <n v="0"/>
    <x v="7"/>
  </r>
  <r>
    <x v="1"/>
    <x v="0"/>
    <x v="5"/>
    <x v="0"/>
    <n v="0"/>
    <x v="7"/>
  </r>
  <r>
    <x v="1"/>
    <x v="0"/>
    <x v="5"/>
    <x v="1"/>
    <n v="0"/>
    <x v="7"/>
  </r>
  <r>
    <x v="1"/>
    <x v="0"/>
    <x v="5"/>
    <x v="2"/>
    <n v="0"/>
    <x v="7"/>
  </r>
  <r>
    <x v="1"/>
    <x v="0"/>
    <x v="5"/>
    <x v="3"/>
    <n v="0"/>
    <x v="7"/>
  </r>
  <r>
    <x v="1"/>
    <x v="0"/>
    <x v="5"/>
    <x v="4"/>
    <n v="0"/>
    <x v="7"/>
  </r>
  <r>
    <x v="1"/>
    <x v="0"/>
    <x v="6"/>
    <x v="0"/>
    <n v="1.0999999999999999E-2"/>
    <x v="7"/>
  </r>
  <r>
    <x v="1"/>
    <x v="0"/>
    <x v="6"/>
    <x v="1"/>
    <n v="1E-3"/>
    <x v="7"/>
  </r>
  <r>
    <x v="1"/>
    <x v="0"/>
    <x v="6"/>
    <x v="2"/>
    <n v="1.0999999999999999E-2"/>
    <x v="7"/>
  </r>
  <r>
    <x v="1"/>
    <x v="0"/>
    <x v="6"/>
    <x v="3"/>
    <n v="0"/>
    <x v="7"/>
  </r>
  <r>
    <x v="1"/>
    <x v="0"/>
    <x v="6"/>
    <x v="4"/>
    <n v="0"/>
    <x v="7"/>
  </r>
  <r>
    <x v="1"/>
    <x v="0"/>
    <x v="7"/>
    <x v="0"/>
    <n v="0.66200000000000003"/>
    <x v="7"/>
  </r>
  <r>
    <x v="1"/>
    <x v="0"/>
    <x v="7"/>
    <x v="1"/>
    <n v="0.47499999999999998"/>
    <x v="7"/>
  </r>
  <r>
    <x v="1"/>
    <x v="0"/>
    <x v="7"/>
    <x v="2"/>
    <n v="0.34499999999999997"/>
    <x v="7"/>
  </r>
  <r>
    <x v="1"/>
    <x v="0"/>
    <x v="7"/>
    <x v="3"/>
    <n v="0.217"/>
    <x v="7"/>
  </r>
  <r>
    <x v="1"/>
    <x v="0"/>
    <x v="7"/>
    <x v="4"/>
    <n v="0.14299999999999999"/>
    <x v="7"/>
  </r>
  <r>
    <x v="1"/>
    <x v="0"/>
    <x v="8"/>
    <x v="0"/>
    <n v="0"/>
    <x v="7"/>
  </r>
  <r>
    <x v="1"/>
    <x v="0"/>
    <x v="8"/>
    <x v="1"/>
    <n v="0"/>
    <x v="7"/>
  </r>
  <r>
    <x v="1"/>
    <x v="0"/>
    <x v="8"/>
    <x v="2"/>
    <n v="0"/>
    <x v="7"/>
  </r>
  <r>
    <x v="1"/>
    <x v="0"/>
    <x v="8"/>
    <x v="3"/>
    <n v="0"/>
    <x v="7"/>
  </r>
  <r>
    <x v="1"/>
    <x v="0"/>
    <x v="8"/>
    <x v="4"/>
    <n v="0"/>
    <x v="7"/>
  </r>
  <r>
    <x v="1"/>
    <x v="0"/>
    <x v="9"/>
    <x v="0"/>
    <n v="0"/>
    <x v="7"/>
  </r>
  <r>
    <x v="1"/>
    <x v="0"/>
    <x v="9"/>
    <x v="1"/>
    <n v="0"/>
    <x v="7"/>
  </r>
  <r>
    <x v="1"/>
    <x v="0"/>
    <x v="9"/>
    <x v="2"/>
    <n v="0"/>
    <x v="7"/>
  </r>
  <r>
    <x v="1"/>
    <x v="0"/>
    <x v="9"/>
    <x v="3"/>
    <n v="0"/>
    <x v="7"/>
  </r>
  <r>
    <x v="1"/>
    <x v="0"/>
    <x v="9"/>
    <x v="4"/>
    <n v="0"/>
    <x v="7"/>
  </r>
  <r>
    <x v="1"/>
    <x v="0"/>
    <x v="10"/>
    <x v="0"/>
    <n v="0"/>
    <x v="7"/>
  </r>
  <r>
    <x v="1"/>
    <x v="0"/>
    <x v="10"/>
    <x v="1"/>
    <n v="0"/>
    <x v="7"/>
  </r>
  <r>
    <x v="1"/>
    <x v="0"/>
    <x v="10"/>
    <x v="2"/>
    <n v="0"/>
    <x v="7"/>
  </r>
  <r>
    <x v="1"/>
    <x v="0"/>
    <x v="10"/>
    <x v="3"/>
    <n v="0"/>
    <x v="7"/>
  </r>
  <r>
    <x v="1"/>
    <x v="0"/>
    <x v="10"/>
    <x v="4"/>
    <n v="0"/>
    <x v="7"/>
  </r>
  <r>
    <x v="1"/>
    <x v="0"/>
    <x v="11"/>
    <x v="0"/>
    <n v="0"/>
    <x v="7"/>
  </r>
  <r>
    <x v="1"/>
    <x v="0"/>
    <x v="11"/>
    <x v="1"/>
    <n v="0"/>
    <x v="7"/>
  </r>
  <r>
    <x v="1"/>
    <x v="0"/>
    <x v="11"/>
    <x v="2"/>
    <n v="0"/>
    <x v="7"/>
  </r>
  <r>
    <x v="1"/>
    <x v="0"/>
    <x v="11"/>
    <x v="3"/>
    <n v="0"/>
    <x v="7"/>
  </r>
  <r>
    <x v="1"/>
    <x v="0"/>
    <x v="11"/>
    <x v="4"/>
    <n v="0"/>
    <x v="7"/>
  </r>
  <r>
    <x v="1"/>
    <x v="0"/>
    <x v="12"/>
    <x v="0"/>
    <n v="0"/>
    <x v="7"/>
  </r>
  <r>
    <x v="1"/>
    <x v="0"/>
    <x v="12"/>
    <x v="1"/>
    <n v="0"/>
    <x v="7"/>
  </r>
  <r>
    <x v="1"/>
    <x v="0"/>
    <x v="12"/>
    <x v="2"/>
    <n v="0"/>
    <x v="7"/>
  </r>
  <r>
    <x v="1"/>
    <x v="0"/>
    <x v="12"/>
    <x v="3"/>
    <n v="0"/>
    <x v="7"/>
  </r>
  <r>
    <x v="1"/>
    <x v="0"/>
    <x v="12"/>
    <x v="4"/>
    <n v="0"/>
    <x v="7"/>
  </r>
  <r>
    <x v="1"/>
    <x v="0"/>
    <x v="13"/>
    <x v="0"/>
    <n v="0"/>
    <x v="7"/>
  </r>
  <r>
    <x v="1"/>
    <x v="0"/>
    <x v="13"/>
    <x v="1"/>
    <n v="0"/>
    <x v="7"/>
  </r>
  <r>
    <x v="1"/>
    <x v="0"/>
    <x v="13"/>
    <x v="2"/>
    <n v="0"/>
    <x v="7"/>
  </r>
  <r>
    <x v="1"/>
    <x v="0"/>
    <x v="13"/>
    <x v="3"/>
    <n v="0"/>
    <x v="7"/>
  </r>
  <r>
    <x v="1"/>
    <x v="0"/>
    <x v="13"/>
    <x v="4"/>
    <n v="0"/>
    <x v="7"/>
  </r>
  <r>
    <x v="1"/>
    <x v="0"/>
    <x v="14"/>
    <x v="0"/>
    <n v="0"/>
    <x v="7"/>
  </r>
  <r>
    <x v="1"/>
    <x v="0"/>
    <x v="14"/>
    <x v="1"/>
    <n v="0"/>
    <x v="7"/>
  </r>
  <r>
    <x v="1"/>
    <x v="0"/>
    <x v="14"/>
    <x v="2"/>
    <n v="5.0000000000000001E-3"/>
    <x v="7"/>
  </r>
  <r>
    <x v="1"/>
    <x v="0"/>
    <x v="14"/>
    <x v="3"/>
    <n v="5.0000000000000001E-3"/>
    <x v="7"/>
  </r>
  <r>
    <x v="1"/>
    <x v="0"/>
    <x v="14"/>
    <x v="4"/>
    <n v="5.0000000000000001E-3"/>
    <x v="7"/>
  </r>
  <r>
    <x v="1"/>
    <x v="0"/>
    <x v="15"/>
    <x v="0"/>
    <n v="0"/>
    <x v="7"/>
  </r>
  <r>
    <x v="1"/>
    <x v="0"/>
    <x v="15"/>
    <x v="1"/>
    <n v="0"/>
    <x v="7"/>
  </r>
  <r>
    <x v="1"/>
    <x v="0"/>
    <x v="15"/>
    <x v="2"/>
    <n v="0"/>
    <x v="7"/>
  </r>
  <r>
    <x v="1"/>
    <x v="0"/>
    <x v="15"/>
    <x v="3"/>
    <n v="0"/>
    <x v="7"/>
  </r>
  <r>
    <x v="1"/>
    <x v="0"/>
    <x v="15"/>
    <x v="4"/>
    <n v="0"/>
    <x v="7"/>
  </r>
  <r>
    <x v="1"/>
    <x v="0"/>
    <x v="16"/>
    <x v="0"/>
    <n v="0"/>
    <x v="7"/>
  </r>
  <r>
    <x v="1"/>
    <x v="0"/>
    <x v="16"/>
    <x v="1"/>
    <n v="0"/>
    <x v="7"/>
  </r>
  <r>
    <x v="1"/>
    <x v="0"/>
    <x v="16"/>
    <x v="2"/>
    <n v="0"/>
    <x v="7"/>
  </r>
  <r>
    <x v="1"/>
    <x v="0"/>
    <x v="16"/>
    <x v="3"/>
    <n v="0"/>
    <x v="7"/>
  </r>
  <r>
    <x v="1"/>
    <x v="0"/>
    <x v="16"/>
    <x v="4"/>
    <n v="0"/>
    <x v="7"/>
  </r>
  <r>
    <x v="1"/>
    <x v="0"/>
    <x v="17"/>
    <x v="0"/>
    <n v="2E-3"/>
    <x v="7"/>
  </r>
  <r>
    <x v="1"/>
    <x v="0"/>
    <x v="17"/>
    <x v="1"/>
    <n v="2E-3"/>
    <x v="7"/>
  </r>
  <r>
    <x v="1"/>
    <x v="0"/>
    <x v="17"/>
    <x v="2"/>
    <n v="1E-3"/>
    <x v="7"/>
  </r>
  <r>
    <x v="1"/>
    <x v="0"/>
    <x v="17"/>
    <x v="3"/>
    <n v="1E-3"/>
    <x v="7"/>
  </r>
  <r>
    <x v="1"/>
    <x v="0"/>
    <x v="17"/>
    <x v="4"/>
    <n v="0"/>
    <x v="7"/>
  </r>
  <r>
    <x v="1"/>
    <x v="0"/>
    <x v="18"/>
    <x v="0"/>
    <n v="0"/>
    <x v="7"/>
  </r>
  <r>
    <x v="1"/>
    <x v="0"/>
    <x v="18"/>
    <x v="1"/>
    <n v="0"/>
    <x v="7"/>
  </r>
  <r>
    <x v="1"/>
    <x v="0"/>
    <x v="18"/>
    <x v="2"/>
    <n v="0"/>
    <x v="7"/>
  </r>
  <r>
    <x v="1"/>
    <x v="0"/>
    <x v="18"/>
    <x v="3"/>
    <n v="0"/>
    <x v="7"/>
  </r>
  <r>
    <x v="1"/>
    <x v="0"/>
    <x v="18"/>
    <x v="4"/>
    <n v="0"/>
    <x v="7"/>
  </r>
  <r>
    <x v="1"/>
    <x v="0"/>
    <x v="19"/>
    <x v="0"/>
    <n v="0"/>
    <x v="7"/>
  </r>
  <r>
    <x v="1"/>
    <x v="0"/>
    <x v="19"/>
    <x v="1"/>
    <n v="0"/>
    <x v="7"/>
  </r>
  <r>
    <x v="1"/>
    <x v="0"/>
    <x v="19"/>
    <x v="2"/>
    <n v="0"/>
    <x v="7"/>
  </r>
  <r>
    <x v="1"/>
    <x v="0"/>
    <x v="19"/>
    <x v="3"/>
    <n v="0"/>
    <x v="7"/>
  </r>
  <r>
    <x v="1"/>
    <x v="0"/>
    <x v="19"/>
    <x v="4"/>
    <n v="0"/>
    <x v="7"/>
  </r>
  <r>
    <x v="1"/>
    <x v="0"/>
    <x v="20"/>
    <x v="0"/>
    <n v="0"/>
    <x v="7"/>
  </r>
  <r>
    <x v="1"/>
    <x v="0"/>
    <x v="20"/>
    <x v="1"/>
    <n v="0"/>
    <x v="7"/>
  </r>
  <r>
    <x v="1"/>
    <x v="0"/>
    <x v="20"/>
    <x v="2"/>
    <n v="0"/>
    <x v="7"/>
  </r>
  <r>
    <x v="1"/>
    <x v="0"/>
    <x v="20"/>
    <x v="3"/>
    <n v="0"/>
    <x v="7"/>
  </r>
  <r>
    <x v="1"/>
    <x v="0"/>
    <x v="20"/>
    <x v="4"/>
    <n v="0"/>
    <x v="7"/>
  </r>
  <r>
    <x v="1"/>
    <x v="0"/>
    <x v="21"/>
    <x v="0"/>
    <n v="0"/>
    <x v="7"/>
  </r>
  <r>
    <x v="1"/>
    <x v="0"/>
    <x v="21"/>
    <x v="1"/>
    <n v="0"/>
    <x v="7"/>
  </r>
  <r>
    <x v="1"/>
    <x v="0"/>
    <x v="21"/>
    <x v="2"/>
    <n v="0"/>
    <x v="7"/>
  </r>
  <r>
    <x v="1"/>
    <x v="0"/>
    <x v="21"/>
    <x v="3"/>
    <n v="0"/>
    <x v="7"/>
  </r>
  <r>
    <x v="1"/>
    <x v="0"/>
    <x v="21"/>
    <x v="4"/>
    <n v="0"/>
    <x v="7"/>
  </r>
  <r>
    <x v="1"/>
    <x v="0"/>
    <x v="22"/>
    <x v="0"/>
    <n v="0"/>
    <x v="7"/>
  </r>
  <r>
    <x v="1"/>
    <x v="0"/>
    <x v="22"/>
    <x v="1"/>
    <n v="0"/>
    <x v="7"/>
  </r>
  <r>
    <x v="1"/>
    <x v="0"/>
    <x v="22"/>
    <x v="2"/>
    <n v="0"/>
    <x v="7"/>
  </r>
  <r>
    <x v="1"/>
    <x v="0"/>
    <x v="22"/>
    <x v="3"/>
    <n v="0"/>
    <x v="7"/>
  </r>
  <r>
    <x v="1"/>
    <x v="0"/>
    <x v="22"/>
    <x v="4"/>
    <n v="0"/>
    <x v="7"/>
  </r>
  <r>
    <x v="1"/>
    <x v="0"/>
    <x v="23"/>
    <x v="0"/>
    <n v="0"/>
    <x v="7"/>
  </r>
  <r>
    <x v="1"/>
    <x v="0"/>
    <x v="23"/>
    <x v="1"/>
    <n v="0"/>
    <x v="7"/>
  </r>
  <r>
    <x v="1"/>
    <x v="0"/>
    <x v="23"/>
    <x v="2"/>
    <n v="0"/>
    <x v="7"/>
  </r>
  <r>
    <x v="1"/>
    <x v="0"/>
    <x v="23"/>
    <x v="3"/>
    <n v="0"/>
    <x v="7"/>
  </r>
  <r>
    <x v="1"/>
    <x v="0"/>
    <x v="23"/>
    <x v="4"/>
    <n v="0"/>
    <x v="7"/>
  </r>
  <r>
    <x v="1"/>
    <x v="0"/>
    <x v="24"/>
    <x v="0"/>
    <n v="0"/>
    <x v="7"/>
  </r>
  <r>
    <x v="1"/>
    <x v="0"/>
    <x v="24"/>
    <x v="1"/>
    <n v="0"/>
    <x v="7"/>
  </r>
  <r>
    <x v="1"/>
    <x v="0"/>
    <x v="24"/>
    <x v="2"/>
    <n v="0"/>
    <x v="7"/>
  </r>
  <r>
    <x v="1"/>
    <x v="0"/>
    <x v="24"/>
    <x v="3"/>
    <n v="0"/>
    <x v="7"/>
  </r>
  <r>
    <x v="1"/>
    <x v="0"/>
    <x v="24"/>
    <x v="4"/>
    <n v="0"/>
    <x v="7"/>
  </r>
  <r>
    <x v="1"/>
    <x v="0"/>
    <x v="25"/>
    <x v="0"/>
    <n v="0"/>
    <x v="7"/>
  </r>
  <r>
    <x v="1"/>
    <x v="0"/>
    <x v="25"/>
    <x v="1"/>
    <n v="0"/>
    <x v="7"/>
  </r>
  <r>
    <x v="1"/>
    <x v="0"/>
    <x v="25"/>
    <x v="2"/>
    <n v="0"/>
    <x v="7"/>
  </r>
  <r>
    <x v="1"/>
    <x v="0"/>
    <x v="25"/>
    <x v="3"/>
    <n v="0"/>
    <x v="7"/>
  </r>
  <r>
    <x v="1"/>
    <x v="0"/>
    <x v="25"/>
    <x v="4"/>
    <n v="0"/>
    <x v="7"/>
  </r>
  <r>
    <x v="1"/>
    <x v="0"/>
    <x v="26"/>
    <x v="0"/>
    <n v="0"/>
    <x v="7"/>
  </r>
  <r>
    <x v="1"/>
    <x v="0"/>
    <x v="26"/>
    <x v="1"/>
    <n v="0"/>
    <x v="7"/>
  </r>
  <r>
    <x v="1"/>
    <x v="0"/>
    <x v="26"/>
    <x v="2"/>
    <n v="0"/>
    <x v="7"/>
  </r>
  <r>
    <x v="1"/>
    <x v="0"/>
    <x v="26"/>
    <x v="3"/>
    <n v="0"/>
    <x v="7"/>
  </r>
  <r>
    <x v="1"/>
    <x v="0"/>
    <x v="26"/>
    <x v="4"/>
    <n v="0"/>
    <x v="7"/>
  </r>
  <r>
    <x v="1"/>
    <x v="0"/>
    <x v="27"/>
    <x v="0"/>
    <n v="0"/>
    <x v="7"/>
  </r>
  <r>
    <x v="1"/>
    <x v="0"/>
    <x v="27"/>
    <x v="1"/>
    <n v="0"/>
    <x v="7"/>
  </r>
  <r>
    <x v="1"/>
    <x v="0"/>
    <x v="27"/>
    <x v="2"/>
    <n v="0"/>
    <x v="7"/>
  </r>
  <r>
    <x v="1"/>
    <x v="0"/>
    <x v="27"/>
    <x v="3"/>
    <n v="0"/>
    <x v="7"/>
  </r>
  <r>
    <x v="1"/>
    <x v="0"/>
    <x v="27"/>
    <x v="4"/>
    <n v="0"/>
    <x v="7"/>
  </r>
  <r>
    <x v="1"/>
    <x v="0"/>
    <x v="28"/>
    <x v="0"/>
    <n v="0"/>
    <x v="7"/>
  </r>
  <r>
    <x v="1"/>
    <x v="0"/>
    <x v="28"/>
    <x v="1"/>
    <n v="0"/>
    <x v="7"/>
  </r>
  <r>
    <x v="1"/>
    <x v="0"/>
    <x v="28"/>
    <x v="2"/>
    <n v="0"/>
    <x v="7"/>
  </r>
  <r>
    <x v="1"/>
    <x v="0"/>
    <x v="28"/>
    <x v="3"/>
    <n v="0"/>
    <x v="7"/>
  </r>
  <r>
    <x v="1"/>
    <x v="0"/>
    <x v="28"/>
    <x v="4"/>
    <n v="0"/>
    <x v="7"/>
  </r>
  <r>
    <x v="1"/>
    <x v="0"/>
    <x v="29"/>
    <x v="0"/>
    <n v="0"/>
    <x v="7"/>
  </r>
  <r>
    <x v="1"/>
    <x v="0"/>
    <x v="29"/>
    <x v="1"/>
    <n v="0"/>
    <x v="7"/>
  </r>
  <r>
    <x v="1"/>
    <x v="0"/>
    <x v="29"/>
    <x v="2"/>
    <n v="0"/>
    <x v="7"/>
  </r>
  <r>
    <x v="1"/>
    <x v="0"/>
    <x v="29"/>
    <x v="3"/>
    <n v="0"/>
    <x v="7"/>
  </r>
  <r>
    <x v="1"/>
    <x v="0"/>
    <x v="29"/>
    <x v="4"/>
    <n v="0"/>
    <x v="7"/>
  </r>
  <r>
    <x v="1"/>
    <x v="0"/>
    <x v="30"/>
    <x v="0"/>
    <n v="0"/>
    <x v="7"/>
  </r>
  <r>
    <x v="1"/>
    <x v="0"/>
    <x v="30"/>
    <x v="1"/>
    <n v="0"/>
    <x v="7"/>
  </r>
  <r>
    <x v="1"/>
    <x v="0"/>
    <x v="30"/>
    <x v="2"/>
    <n v="0"/>
    <x v="7"/>
  </r>
  <r>
    <x v="1"/>
    <x v="0"/>
    <x v="30"/>
    <x v="3"/>
    <n v="0"/>
    <x v="7"/>
  </r>
  <r>
    <x v="1"/>
    <x v="0"/>
    <x v="30"/>
    <x v="4"/>
    <n v="0"/>
    <x v="7"/>
  </r>
  <r>
    <x v="1"/>
    <x v="0"/>
    <x v="31"/>
    <x v="0"/>
    <n v="0"/>
    <x v="7"/>
  </r>
  <r>
    <x v="1"/>
    <x v="0"/>
    <x v="31"/>
    <x v="1"/>
    <n v="0"/>
    <x v="7"/>
  </r>
  <r>
    <x v="1"/>
    <x v="0"/>
    <x v="31"/>
    <x v="2"/>
    <n v="0"/>
    <x v="7"/>
  </r>
  <r>
    <x v="1"/>
    <x v="0"/>
    <x v="31"/>
    <x v="3"/>
    <n v="0"/>
    <x v="7"/>
  </r>
  <r>
    <x v="1"/>
    <x v="0"/>
    <x v="31"/>
    <x v="4"/>
    <n v="0"/>
    <x v="7"/>
  </r>
  <r>
    <x v="1"/>
    <x v="0"/>
    <x v="32"/>
    <x v="0"/>
    <n v="0"/>
    <x v="7"/>
  </r>
  <r>
    <x v="1"/>
    <x v="0"/>
    <x v="32"/>
    <x v="1"/>
    <n v="0"/>
    <x v="7"/>
  </r>
  <r>
    <x v="1"/>
    <x v="0"/>
    <x v="32"/>
    <x v="2"/>
    <n v="0"/>
    <x v="7"/>
  </r>
  <r>
    <x v="1"/>
    <x v="0"/>
    <x v="32"/>
    <x v="3"/>
    <n v="0"/>
    <x v="7"/>
  </r>
  <r>
    <x v="1"/>
    <x v="0"/>
    <x v="32"/>
    <x v="4"/>
    <n v="0"/>
    <x v="7"/>
  </r>
  <r>
    <x v="1"/>
    <x v="0"/>
    <x v="33"/>
    <x v="0"/>
    <n v="1E-3"/>
    <x v="7"/>
  </r>
  <r>
    <x v="1"/>
    <x v="0"/>
    <x v="33"/>
    <x v="1"/>
    <n v="1E-3"/>
    <x v="7"/>
  </r>
  <r>
    <x v="1"/>
    <x v="0"/>
    <x v="33"/>
    <x v="2"/>
    <n v="2E-3"/>
    <x v="7"/>
  </r>
  <r>
    <x v="1"/>
    <x v="0"/>
    <x v="33"/>
    <x v="3"/>
    <n v="2E-3"/>
    <x v="7"/>
  </r>
  <r>
    <x v="1"/>
    <x v="0"/>
    <x v="33"/>
    <x v="4"/>
    <n v="1E-3"/>
    <x v="7"/>
  </r>
  <r>
    <x v="1"/>
    <x v="0"/>
    <x v="34"/>
    <x v="0"/>
    <n v="0"/>
    <x v="7"/>
  </r>
  <r>
    <x v="1"/>
    <x v="0"/>
    <x v="34"/>
    <x v="1"/>
    <n v="0"/>
    <x v="7"/>
  </r>
  <r>
    <x v="1"/>
    <x v="0"/>
    <x v="34"/>
    <x v="2"/>
    <n v="0"/>
    <x v="7"/>
  </r>
  <r>
    <x v="1"/>
    <x v="0"/>
    <x v="34"/>
    <x v="3"/>
    <n v="0"/>
    <x v="7"/>
  </r>
  <r>
    <x v="1"/>
    <x v="0"/>
    <x v="34"/>
    <x v="4"/>
    <n v="0"/>
    <x v="7"/>
  </r>
  <r>
    <x v="1"/>
    <x v="0"/>
    <x v="35"/>
    <x v="0"/>
    <n v="0"/>
    <x v="7"/>
  </r>
  <r>
    <x v="1"/>
    <x v="0"/>
    <x v="35"/>
    <x v="1"/>
    <n v="0"/>
    <x v="7"/>
  </r>
  <r>
    <x v="1"/>
    <x v="0"/>
    <x v="35"/>
    <x v="2"/>
    <n v="0"/>
    <x v="7"/>
  </r>
  <r>
    <x v="1"/>
    <x v="0"/>
    <x v="35"/>
    <x v="3"/>
    <n v="0"/>
    <x v="7"/>
  </r>
  <r>
    <x v="1"/>
    <x v="0"/>
    <x v="35"/>
    <x v="4"/>
    <n v="0"/>
    <x v="7"/>
  </r>
  <r>
    <x v="1"/>
    <x v="0"/>
    <x v="36"/>
    <x v="0"/>
    <n v="0"/>
    <x v="7"/>
  </r>
  <r>
    <x v="1"/>
    <x v="0"/>
    <x v="36"/>
    <x v="1"/>
    <n v="0"/>
    <x v="7"/>
  </r>
  <r>
    <x v="1"/>
    <x v="0"/>
    <x v="36"/>
    <x v="2"/>
    <n v="0"/>
    <x v="7"/>
  </r>
  <r>
    <x v="1"/>
    <x v="0"/>
    <x v="36"/>
    <x v="3"/>
    <n v="0"/>
    <x v="7"/>
  </r>
  <r>
    <x v="1"/>
    <x v="0"/>
    <x v="36"/>
    <x v="4"/>
    <n v="0"/>
    <x v="7"/>
  </r>
  <r>
    <x v="1"/>
    <x v="0"/>
    <x v="37"/>
    <x v="0"/>
    <n v="0"/>
    <x v="7"/>
  </r>
  <r>
    <x v="1"/>
    <x v="0"/>
    <x v="37"/>
    <x v="1"/>
    <n v="0"/>
    <x v="7"/>
  </r>
  <r>
    <x v="1"/>
    <x v="0"/>
    <x v="37"/>
    <x v="2"/>
    <n v="0"/>
    <x v="7"/>
  </r>
  <r>
    <x v="1"/>
    <x v="0"/>
    <x v="37"/>
    <x v="3"/>
    <n v="0"/>
    <x v="7"/>
  </r>
  <r>
    <x v="1"/>
    <x v="0"/>
    <x v="37"/>
    <x v="4"/>
    <n v="0"/>
    <x v="7"/>
  </r>
  <r>
    <x v="1"/>
    <x v="0"/>
    <x v="0"/>
    <x v="0"/>
    <n v="0"/>
    <x v="8"/>
  </r>
  <r>
    <x v="1"/>
    <x v="0"/>
    <x v="0"/>
    <x v="1"/>
    <n v="0"/>
    <x v="8"/>
  </r>
  <r>
    <x v="1"/>
    <x v="0"/>
    <x v="0"/>
    <x v="2"/>
    <n v="0"/>
    <x v="8"/>
  </r>
  <r>
    <x v="1"/>
    <x v="0"/>
    <x v="0"/>
    <x v="3"/>
    <n v="0"/>
    <x v="8"/>
  </r>
  <r>
    <x v="1"/>
    <x v="0"/>
    <x v="0"/>
    <x v="4"/>
    <n v="0"/>
    <x v="8"/>
  </r>
  <r>
    <x v="1"/>
    <x v="0"/>
    <x v="1"/>
    <x v="0"/>
    <n v="24.2438"/>
    <x v="8"/>
  </r>
  <r>
    <x v="1"/>
    <x v="0"/>
    <x v="1"/>
    <x v="1"/>
    <n v="23.565799999999999"/>
    <x v="8"/>
  </r>
  <r>
    <x v="1"/>
    <x v="0"/>
    <x v="1"/>
    <x v="2"/>
    <n v="22.495999999999999"/>
    <x v="8"/>
  </r>
  <r>
    <x v="1"/>
    <x v="0"/>
    <x v="1"/>
    <x v="3"/>
    <n v="19.436"/>
    <x v="8"/>
  </r>
  <r>
    <x v="1"/>
    <x v="0"/>
    <x v="1"/>
    <x v="4"/>
    <n v="23.696100000000001"/>
    <x v="8"/>
  </r>
  <r>
    <x v="1"/>
    <x v="0"/>
    <x v="2"/>
    <x v="0"/>
    <n v="0.17199999999999999"/>
    <x v="8"/>
  </r>
  <r>
    <x v="1"/>
    <x v="0"/>
    <x v="2"/>
    <x v="1"/>
    <n v="0.17699999999999999"/>
    <x v="8"/>
  </r>
  <r>
    <x v="1"/>
    <x v="0"/>
    <x v="2"/>
    <x v="2"/>
    <n v="0.17699999999999999"/>
    <x v="8"/>
  </r>
  <r>
    <x v="1"/>
    <x v="0"/>
    <x v="2"/>
    <x v="3"/>
    <n v="0"/>
    <x v="8"/>
  </r>
  <r>
    <x v="1"/>
    <x v="0"/>
    <x v="2"/>
    <x v="4"/>
    <n v="0"/>
    <x v="8"/>
  </r>
  <r>
    <x v="1"/>
    <x v="0"/>
    <x v="3"/>
    <x v="0"/>
    <n v="0.23699999999999999"/>
    <x v="8"/>
  </r>
  <r>
    <x v="1"/>
    <x v="0"/>
    <x v="3"/>
    <x v="1"/>
    <n v="5.2999999999999999E-2"/>
    <x v="8"/>
  </r>
  <r>
    <x v="1"/>
    <x v="0"/>
    <x v="3"/>
    <x v="2"/>
    <n v="0.125"/>
    <x v="8"/>
  </r>
  <r>
    <x v="1"/>
    <x v="0"/>
    <x v="3"/>
    <x v="3"/>
    <n v="9.0999999999999998E-2"/>
    <x v="8"/>
  </r>
  <r>
    <x v="1"/>
    <x v="0"/>
    <x v="3"/>
    <x v="4"/>
    <n v="0.09"/>
    <x v="8"/>
  </r>
  <r>
    <x v="1"/>
    <x v="0"/>
    <x v="4"/>
    <x v="0"/>
    <n v="0"/>
    <x v="8"/>
  </r>
  <r>
    <x v="1"/>
    <x v="0"/>
    <x v="4"/>
    <x v="1"/>
    <n v="0"/>
    <x v="8"/>
  </r>
  <r>
    <x v="1"/>
    <x v="0"/>
    <x v="4"/>
    <x v="2"/>
    <n v="0"/>
    <x v="8"/>
  </r>
  <r>
    <x v="1"/>
    <x v="0"/>
    <x v="4"/>
    <x v="3"/>
    <n v="0"/>
    <x v="8"/>
  </r>
  <r>
    <x v="1"/>
    <x v="0"/>
    <x v="4"/>
    <x v="4"/>
    <n v="0"/>
    <x v="8"/>
  </r>
  <r>
    <x v="1"/>
    <x v="0"/>
    <x v="5"/>
    <x v="0"/>
    <n v="1.151"/>
    <x v="8"/>
  </r>
  <r>
    <x v="1"/>
    <x v="0"/>
    <x v="5"/>
    <x v="1"/>
    <n v="1.2869999999999999"/>
    <x v="8"/>
  </r>
  <r>
    <x v="1"/>
    <x v="0"/>
    <x v="5"/>
    <x v="2"/>
    <n v="1.1779999999999999"/>
    <x v="8"/>
  </r>
  <r>
    <x v="1"/>
    <x v="0"/>
    <x v="5"/>
    <x v="3"/>
    <n v="1.4630000000000001"/>
    <x v="8"/>
  </r>
  <r>
    <x v="1"/>
    <x v="0"/>
    <x v="5"/>
    <x v="4"/>
    <n v="1.1359999999999999"/>
    <x v="8"/>
  </r>
  <r>
    <x v="1"/>
    <x v="0"/>
    <x v="6"/>
    <x v="0"/>
    <n v="34.992100000000001"/>
    <x v="8"/>
  </r>
  <r>
    <x v="1"/>
    <x v="0"/>
    <x v="6"/>
    <x v="1"/>
    <n v="33.248100000000001"/>
    <x v="8"/>
  </r>
  <r>
    <x v="1"/>
    <x v="0"/>
    <x v="6"/>
    <x v="2"/>
    <n v="39.251600000000003"/>
    <x v="8"/>
  </r>
  <r>
    <x v="1"/>
    <x v="0"/>
    <x v="6"/>
    <x v="3"/>
    <n v="30.428699999999999"/>
    <x v="8"/>
  </r>
  <r>
    <x v="1"/>
    <x v="0"/>
    <x v="6"/>
    <x v="4"/>
    <n v="29.165199999999999"/>
    <x v="8"/>
  </r>
  <r>
    <x v="1"/>
    <x v="0"/>
    <x v="7"/>
    <x v="0"/>
    <n v="19.873000000000001"/>
    <x v="8"/>
  </r>
  <r>
    <x v="1"/>
    <x v="0"/>
    <x v="7"/>
    <x v="1"/>
    <n v="20.406400000000001"/>
    <x v="8"/>
  </r>
  <r>
    <x v="1"/>
    <x v="0"/>
    <x v="7"/>
    <x v="2"/>
    <n v="20.675000000000001"/>
    <x v="8"/>
  </r>
  <r>
    <x v="1"/>
    <x v="0"/>
    <x v="7"/>
    <x v="3"/>
    <n v="19.0623"/>
    <x v="8"/>
  </r>
  <r>
    <x v="1"/>
    <x v="0"/>
    <x v="7"/>
    <x v="4"/>
    <n v="21.097999999999999"/>
    <x v="8"/>
  </r>
  <r>
    <x v="1"/>
    <x v="0"/>
    <x v="8"/>
    <x v="0"/>
    <n v="3.27"/>
    <x v="8"/>
  </r>
  <r>
    <x v="1"/>
    <x v="0"/>
    <x v="8"/>
    <x v="1"/>
    <n v="4.2539999999999996"/>
    <x v="8"/>
  </r>
  <r>
    <x v="1"/>
    <x v="0"/>
    <x v="8"/>
    <x v="2"/>
    <n v="4.0279999999999996"/>
    <x v="8"/>
  </r>
  <r>
    <x v="1"/>
    <x v="0"/>
    <x v="8"/>
    <x v="3"/>
    <n v="5.0030000000000001"/>
    <x v="8"/>
  </r>
  <r>
    <x v="1"/>
    <x v="0"/>
    <x v="8"/>
    <x v="4"/>
    <n v="3.8069999999999999"/>
    <x v="8"/>
  </r>
  <r>
    <x v="1"/>
    <x v="0"/>
    <x v="9"/>
    <x v="0"/>
    <n v="0"/>
    <x v="8"/>
  </r>
  <r>
    <x v="1"/>
    <x v="0"/>
    <x v="9"/>
    <x v="1"/>
    <n v="0"/>
    <x v="8"/>
  </r>
  <r>
    <x v="1"/>
    <x v="0"/>
    <x v="9"/>
    <x v="2"/>
    <n v="0"/>
    <x v="8"/>
  </r>
  <r>
    <x v="1"/>
    <x v="0"/>
    <x v="9"/>
    <x v="3"/>
    <n v="0"/>
    <x v="8"/>
  </r>
  <r>
    <x v="1"/>
    <x v="0"/>
    <x v="9"/>
    <x v="4"/>
    <n v="0"/>
    <x v="8"/>
  </r>
  <r>
    <x v="1"/>
    <x v="0"/>
    <x v="10"/>
    <x v="0"/>
    <n v="0"/>
    <x v="8"/>
  </r>
  <r>
    <x v="1"/>
    <x v="0"/>
    <x v="10"/>
    <x v="1"/>
    <n v="0"/>
    <x v="8"/>
  </r>
  <r>
    <x v="1"/>
    <x v="0"/>
    <x v="10"/>
    <x v="2"/>
    <n v="0"/>
    <x v="8"/>
  </r>
  <r>
    <x v="1"/>
    <x v="0"/>
    <x v="10"/>
    <x v="3"/>
    <n v="0"/>
    <x v="8"/>
  </r>
  <r>
    <x v="1"/>
    <x v="0"/>
    <x v="10"/>
    <x v="4"/>
    <n v="0"/>
    <x v="8"/>
  </r>
  <r>
    <x v="1"/>
    <x v="0"/>
    <x v="11"/>
    <x v="0"/>
    <n v="29.7014"/>
    <x v="8"/>
  </r>
  <r>
    <x v="1"/>
    <x v="0"/>
    <x v="11"/>
    <x v="1"/>
    <n v="27.144300000000001"/>
    <x v="8"/>
  </r>
  <r>
    <x v="1"/>
    <x v="0"/>
    <x v="11"/>
    <x v="2"/>
    <n v="26.725000000000001"/>
    <x v="8"/>
  </r>
  <r>
    <x v="1"/>
    <x v="0"/>
    <x v="11"/>
    <x v="3"/>
    <n v="22.792999999999999"/>
    <x v="8"/>
  </r>
  <r>
    <x v="1"/>
    <x v="0"/>
    <x v="11"/>
    <x v="4"/>
    <n v="24.087"/>
    <x v="8"/>
  </r>
  <r>
    <x v="1"/>
    <x v="0"/>
    <x v="12"/>
    <x v="0"/>
    <n v="17.271999999999998"/>
    <x v="8"/>
  </r>
  <r>
    <x v="1"/>
    <x v="0"/>
    <x v="12"/>
    <x v="1"/>
    <n v="15.151"/>
    <x v="8"/>
  </r>
  <r>
    <x v="1"/>
    <x v="0"/>
    <x v="12"/>
    <x v="2"/>
    <n v="13.005000000000001"/>
    <x v="8"/>
  </r>
  <r>
    <x v="1"/>
    <x v="0"/>
    <x v="12"/>
    <x v="3"/>
    <n v="9.8670000000000009"/>
    <x v="8"/>
  </r>
  <r>
    <x v="1"/>
    <x v="0"/>
    <x v="12"/>
    <x v="4"/>
    <n v="12.028"/>
    <x v="8"/>
  </r>
  <r>
    <x v="1"/>
    <x v="0"/>
    <x v="13"/>
    <x v="0"/>
    <n v="0"/>
    <x v="8"/>
  </r>
  <r>
    <x v="1"/>
    <x v="0"/>
    <x v="13"/>
    <x v="1"/>
    <n v="0"/>
    <x v="8"/>
  </r>
  <r>
    <x v="1"/>
    <x v="0"/>
    <x v="13"/>
    <x v="2"/>
    <n v="0"/>
    <x v="8"/>
  </r>
  <r>
    <x v="1"/>
    <x v="0"/>
    <x v="13"/>
    <x v="3"/>
    <n v="0"/>
    <x v="8"/>
  </r>
  <r>
    <x v="1"/>
    <x v="0"/>
    <x v="13"/>
    <x v="4"/>
    <n v="0"/>
    <x v="8"/>
  </r>
  <r>
    <x v="1"/>
    <x v="0"/>
    <x v="14"/>
    <x v="0"/>
    <n v="1.55"/>
    <x v="8"/>
  </r>
  <r>
    <x v="1"/>
    <x v="0"/>
    <x v="14"/>
    <x v="1"/>
    <n v="1.86"/>
    <x v="8"/>
  </r>
  <r>
    <x v="1"/>
    <x v="0"/>
    <x v="14"/>
    <x v="2"/>
    <n v="0.82899999999999996"/>
    <x v="8"/>
  </r>
  <r>
    <x v="1"/>
    <x v="0"/>
    <x v="14"/>
    <x v="3"/>
    <n v="0.52300000000000002"/>
    <x v="8"/>
  </r>
  <r>
    <x v="1"/>
    <x v="0"/>
    <x v="14"/>
    <x v="4"/>
    <n v="0.20799999999999999"/>
    <x v="8"/>
  </r>
  <r>
    <x v="1"/>
    <x v="0"/>
    <x v="15"/>
    <x v="0"/>
    <n v="0"/>
    <x v="8"/>
  </r>
  <r>
    <x v="1"/>
    <x v="0"/>
    <x v="15"/>
    <x v="1"/>
    <n v="0"/>
    <x v="8"/>
  </r>
  <r>
    <x v="1"/>
    <x v="0"/>
    <x v="15"/>
    <x v="2"/>
    <n v="0"/>
    <x v="8"/>
  </r>
  <r>
    <x v="1"/>
    <x v="0"/>
    <x v="15"/>
    <x v="3"/>
    <n v="0"/>
    <x v="8"/>
  </r>
  <r>
    <x v="1"/>
    <x v="0"/>
    <x v="15"/>
    <x v="4"/>
    <n v="0"/>
    <x v="8"/>
  </r>
  <r>
    <x v="1"/>
    <x v="0"/>
    <x v="16"/>
    <x v="0"/>
    <n v="0"/>
    <x v="8"/>
  </r>
  <r>
    <x v="1"/>
    <x v="0"/>
    <x v="16"/>
    <x v="1"/>
    <n v="0"/>
    <x v="8"/>
  </r>
  <r>
    <x v="1"/>
    <x v="0"/>
    <x v="16"/>
    <x v="2"/>
    <n v="0"/>
    <x v="8"/>
  </r>
  <r>
    <x v="1"/>
    <x v="0"/>
    <x v="16"/>
    <x v="3"/>
    <n v="0"/>
    <x v="8"/>
  </r>
  <r>
    <x v="1"/>
    <x v="0"/>
    <x v="16"/>
    <x v="4"/>
    <n v="1.7999999999999999E-2"/>
    <x v="8"/>
  </r>
  <r>
    <x v="1"/>
    <x v="0"/>
    <x v="17"/>
    <x v="0"/>
    <n v="3.4807000000000001"/>
    <x v="8"/>
  </r>
  <r>
    <x v="1"/>
    <x v="0"/>
    <x v="17"/>
    <x v="1"/>
    <n v="4.0077999999999996"/>
    <x v="8"/>
  </r>
  <r>
    <x v="1"/>
    <x v="0"/>
    <x v="17"/>
    <x v="2"/>
    <n v="3.976"/>
    <x v="8"/>
  </r>
  <r>
    <x v="1"/>
    <x v="0"/>
    <x v="17"/>
    <x v="3"/>
    <n v="3.6857000000000002"/>
    <x v="8"/>
  </r>
  <r>
    <x v="1"/>
    <x v="0"/>
    <x v="17"/>
    <x v="4"/>
    <n v="3.4068999999999998"/>
    <x v="8"/>
  </r>
  <r>
    <x v="1"/>
    <x v="0"/>
    <x v="18"/>
    <x v="0"/>
    <n v="12.691000000000001"/>
    <x v="8"/>
  </r>
  <r>
    <x v="1"/>
    <x v="0"/>
    <x v="18"/>
    <x v="1"/>
    <n v="8.7780000000000005"/>
    <x v="8"/>
  </r>
  <r>
    <x v="1"/>
    <x v="0"/>
    <x v="18"/>
    <x v="2"/>
    <n v="9.2360000000000007"/>
    <x v="8"/>
  </r>
  <r>
    <x v="1"/>
    <x v="0"/>
    <x v="18"/>
    <x v="3"/>
    <n v="7.51"/>
    <x v="8"/>
  </r>
  <r>
    <x v="1"/>
    <x v="0"/>
    <x v="18"/>
    <x v="4"/>
    <n v="8.0370000000000008"/>
    <x v="8"/>
  </r>
  <r>
    <x v="1"/>
    <x v="0"/>
    <x v="19"/>
    <x v="0"/>
    <n v="0.123"/>
    <x v="8"/>
  </r>
  <r>
    <x v="1"/>
    <x v="0"/>
    <x v="19"/>
    <x v="1"/>
    <n v="0.11600000000000001"/>
    <x v="8"/>
  </r>
  <r>
    <x v="1"/>
    <x v="0"/>
    <x v="19"/>
    <x v="2"/>
    <n v="0.10199999999999999"/>
    <x v="8"/>
  </r>
  <r>
    <x v="1"/>
    <x v="0"/>
    <x v="19"/>
    <x v="3"/>
    <n v="0.10100000000000001"/>
    <x v="8"/>
  </r>
  <r>
    <x v="1"/>
    <x v="0"/>
    <x v="19"/>
    <x v="4"/>
    <n v="9.5000000000000001E-2"/>
    <x v="8"/>
  </r>
  <r>
    <x v="1"/>
    <x v="0"/>
    <x v="20"/>
    <x v="0"/>
    <n v="5.8360000000000003"/>
    <x v="8"/>
  </r>
  <r>
    <x v="1"/>
    <x v="0"/>
    <x v="20"/>
    <x v="1"/>
    <n v="5.9880000000000004"/>
    <x v="8"/>
  </r>
  <r>
    <x v="1"/>
    <x v="0"/>
    <x v="20"/>
    <x v="2"/>
    <n v="5.9039999999999999"/>
    <x v="8"/>
  </r>
  <r>
    <x v="1"/>
    <x v="0"/>
    <x v="20"/>
    <x v="3"/>
    <n v="5.4349999999999996"/>
    <x v="8"/>
  </r>
  <r>
    <x v="1"/>
    <x v="0"/>
    <x v="20"/>
    <x v="4"/>
    <n v="6.1909999999999998"/>
    <x v="8"/>
  </r>
  <r>
    <x v="1"/>
    <x v="0"/>
    <x v="21"/>
    <x v="0"/>
    <n v="0.35499999999999998"/>
    <x v="8"/>
  </r>
  <r>
    <x v="1"/>
    <x v="0"/>
    <x v="21"/>
    <x v="1"/>
    <n v="0.26900000000000002"/>
    <x v="8"/>
  </r>
  <r>
    <x v="1"/>
    <x v="0"/>
    <x v="21"/>
    <x v="2"/>
    <n v="0.23"/>
    <x v="8"/>
  </r>
  <r>
    <x v="1"/>
    <x v="0"/>
    <x v="21"/>
    <x v="3"/>
    <n v="0.4"/>
    <x v="8"/>
  </r>
  <r>
    <x v="1"/>
    <x v="0"/>
    <x v="21"/>
    <x v="4"/>
    <n v="0.51800000000000002"/>
    <x v="8"/>
  </r>
  <r>
    <x v="1"/>
    <x v="0"/>
    <x v="22"/>
    <x v="0"/>
    <n v="0"/>
    <x v="8"/>
  </r>
  <r>
    <x v="1"/>
    <x v="0"/>
    <x v="22"/>
    <x v="1"/>
    <n v="0"/>
    <x v="8"/>
  </r>
  <r>
    <x v="1"/>
    <x v="0"/>
    <x v="22"/>
    <x v="2"/>
    <n v="0"/>
    <x v="8"/>
  </r>
  <r>
    <x v="1"/>
    <x v="0"/>
    <x v="22"/>
    <x v="3"/>
    <n v="0"/>
    <x v="8"/>
  </r>
  <r>
    <x v="1"/>
    <x v="0"/>
    <x v="22"/>
    <x v="4"/>
    <n v="0"/>
    <x v="8"/>
  </r>
  <r>
    <x v="1"/>
    <x v="0"/>
    <x v="23"/>
    <x v="0"/>
    <n v="0"/>
    <x v="8"/>
  </r>
  <r>
    <x v="1"/>
    <x v="0"/>
    <x v="23"/>
    <x v="1"/>
    <n v="0"/>
    <x v="8"/>
  </r>
  <r>
    <x v="1"/>
    <x v="0"/>
    <x v="23"/>
    <x v="2"/>
    <n v="0"/>
    <x v="8"/>
  </r>
  <r>
    <x v="1"/>
    <x v="0"/>
    <x v="23"/>
    <x v="3"/>
    <n v="0"/>
    <x v="8"/>
  </r>
  <r>
    <x v="1"/>
    <x v="0"/>
    <x v="23"/>
    <x v="4"/>
    <n v="0"/>
    <x v="8"/>
  </r>
  <r>
    <x v="1"/>
    <x v="0"/>
    <x v="24"/>
    <x v="0"/>
    <n v="0"/>
    <x v="8"/>
  </r>
  <r>
    <x v="1"/>
    <x v="0"/>
    <x v="24"/>
    <x v="1"/>
    <n v="0"/>
    <x v="8"/>
  </r>
  <r>
    <x v="1"/>
    <x v="0"/>
    <x v="24"/>
    <x v="2"/>
    <n v="0"/>
    <x v="8"/>
  </r>
  <r>
    <x v="1"/>
    <x v="0"/>
    <x v="24"/>
    <x v="3"/>
    <n v="0"/>
    <x v="8"/>
  </r>
  <r>
    <x v="1"/>
    <x v="0"/>
    <x v="24"/>
    <x v="4"/>
    <n v="0"/>
    <x v="8"/>
  </r>
  <r>
    <x v="1"/>
    <x v="0"/>
    <x v="25"/>
    <x v="0"/>
    <n v="0.42199999999999999"/>
    <x v="8"/>
  </r>
  <r>
    <x v="1"/>
    <x v="0"/>
    <x v="25"/>
    <x v="1"/>
    <n v="7.5999999999999998E-2"/>
    <x v="8"/>
  </r>
  <r>
    <x v="1"/>
    <x v="0"/>
    <x v="25"/>
    <x v="2"/>
    <n v="2.3E-2"/>
    <x v="8"/>
  </r>
  <r>
    <x v="1"/>
    <x v="0"/>
    <x v="25"/>
    <x v="3"/>
    <n v="5.3220000000000001"/>
    <x v="8"/>
  </r>
  <r>
    <x v="1"/>
    <x v="0"/>
    <x v="25"/>
    <x v="4"/>
    <n v="5.5229999999999997"/>
    <x v="8"/>
  </r>
  <r>
    <x v="1"/>
    <x v="0"/>
    <x v="26"/>
    <x v="0"/>
    <n v="8.0402000000000005"/>
    <x v="8"/>
  </r>
  <r>
    <x v="1"/>
    <x v="0"/>
    <x v="26"/>
    <x v="1"/>
    <n v="7.8196000000000003"/>
    <x v="8"/>
  </r>
  <r>
    <x v="1"/>
    <x v="0"/>
    <x v="26"/>
    <x v="2"/>
    <n v="7.3109999999999999"/>
    <x v="8"/>
  </r>
  <r>
    <x v="1"/>
    <x v="0"/>
    <x v="26"/>
    <x v="3"/>
    <n v="6.3419999999999996"/>
    <x v="8"/>
  </r>
  <r>
    <x v="1"/>
    <x v="0"/>
    <x v="26"/>
    <x v="4"/>
    <n v="6.452"/>
    <x v="8"/>
  </r>
  <r>
    <x v="1"/>
    <x v="0"/>
    <x v="27"/>
    <x v="0"/>
    <n v="1.742"/>
    <x v="8"/>
  </r>
  <r>
    <x v="1"/>
    <x v="0"/>
    <x v="27"/>
    <x v="1"/>
    <n v="2.0099999999999998"/>
    <x v="8"/>
  </r>
  <r>
    <x v="1"/>
    <x v="0"/>
    <x v="27"/>
    <x v="2"/>
    <n v="1.7"/>
    <x v="8"/>
  </r>
  <r>
    <x v="1"/>
    <x v="0"/>
    <x v="27"/>
    <x v="3"/>
    <n v="1.788"/>
    <x v="8"/>
  </r>
  <r>
    <x v="1"/>
    <x v="0"/>
    <x v="27"/>
    <x v="4"/>
    <n v="1.893"/>
    <x v="8"/>
  </r>
  <r>
    <x v="1"/>
    <x v="0"/>
    <x v="28"/>
    <x v="0"/>
    <n v="0"/>
    <x v="8"/>
  </r>
  <r>
    <x v="1"/>
    <x v="0"/>
    <x v="28"/>
    <x v="1"/>
    <n v="0"/>
    <x v="8"/>
  </r>
  <r>
    <x v="1"/>
    <x v="0"/>
    <x v="28"/>
    <x v="2"/>
    <n v="0"/>
    <x v="8"/>
  </r>
  <r>
    <x v="1"/>
    <x v="0"/>
    <x v="28"/>
    <x v="3"/>
    <n v="0"/>
    <x v="8"/>
  </r>
  <r>
    <x v="1"/>
    <x v="0"/>
    <x v="28"/>
    <x v="4"/>
    <n v="0"/>
    <x v="8"/>
  </r>
  <r>
    <x v="1"/>
    <x v="0"/>
    <x v="29"/>
    <x v="0"/>
    <n v="1.718"/>
    <x v="8"/>
  </r>
  <r>
    <x v="1"/>
    <x v="0"/>
    <x v="29"/>
    <x v="1"/>
    <n v="1.7110000000000001"/>
    <x v="8"/>
  </r>
  <r>
    <x v="1"/>
    <x v="0"/>
    <x v="29"/>
    <x v="2"/>
    <n v="1.9690000000000001"/>
    <x v="8"/>
  </r>
  <r>
    <x v="1"/>
    <x v="0"/>
    <x v="29"/>
    <x v="3"/>
    <n v="2.875"/>
    <x v="8"/>
  </r>
  <r>
    <x v="1"/>
    <x v="0"/>
    <x v="29"/>
    <x v="4"/>
    <n v="1.768"/>
    <x v="8"/>
  </r>
  <r>
    <x v="1"/>
    <x v="0"/>
    <x v="30"/>
    <x v="0"/>
    <n v="0.09"/>
    <x v="8"/>
  </r>
  <r>
    <x v="1"/>
    <x v="0"/>
    <x v="30"/>
    <x v="1"/>
    <n v="7.9000000000000001E-2"/>
    <x v="8"/>
  </r>
  <r>
    <x v="1"/>
    <x v="0"/>
    <x v="30"/>
    <x v="2"/>
    <n v="7.2999999999999995E-2"/>
    <x v="8"/>
  </r>
  <r>
    <x v="1"/>
    <x v="0"/>
    <x v="30"/>
    <x v="3"/>
    <n v="0.09"/>
    <x v="8"/>
  </r>
  <r>
    <x v="1"/>
    <x v="0"/>
    <x v="30"/>
    <x v="4"/>
    <n v="8.4000000000000005E-2"/>
    <x v="8"/>
  </r>
  <r>
    <x v="1"/>
    <x v="0"/>
    <x v="31"/>
    <x v="0"/>
    <n v="38.71"/>
    <x v="8"/>
  </r>
  <r>
    <x v="1"/>
    <x v="0"/>
    <x v="31"/>
    <x v="1"/>
    <n v="42.128"/>
    <x v="8"/>
  </r>
  <r>
    <x v="1"/>
    <x v="0"/>
    <x v="31"/>
    <x v="2"/>
    <n v="46.206200000000003"/>
    <x v="8"/>
  </r>
  <r>
    <x v="1"/>
    <x v="0"/>
    <x v="31"/>
    <x v="3"/>
    <n v="49.485999999999997"/>
    <x v="8"/>
  </r>
  <r>
    <x v="1"/>
    <x v="0"/>
    <x v="31"/>
    <x v="4"/>
    <n v="52.1004"/>
    <x v="8"/>
  </r>
  <r>
    <x v="1"/>
    <x v="0"/>
    <x v="32"/>
    <x v="0"/>
    <n v="0.28699999999999998"/>
    <x v="8"/>
  </r>
  <r>
    <x v="1"/>
    <x v="0"/>
    <x v="32"/>
    <x v="1"/>
    <n v="0.38300000000000001"/>
    <x v="8"/>
  </r>
  <r>
    <x v="1"/>
    <x v="0"/>
    <x v="32"/>
    <x v="2"/>
    <n v="0.41599999999999998"/>
    <x v="8"/>
  </r>
  <r>
    <x v="1"/>
    <x v="0"/>
    <x v="32"/>
    <x v="3"/>
    <n v="0.34699999999999998"/>
    <x v="8"/>
  </r>
  <r>
    <x v="1"/>
    <x v="0"/>
    <x v="32"/>
    <x v="4"/>
    <n v="0.26900000000000002"/>
    <x v="8"/>
  </r>
  <r>
    <x v="1"/>
    <x v="0"/>
    <x v="33"/>
    <x v="0"/>
    <n v="2.2000000000000002"/>
    <x v="8"/>
  </r>
  <r>
    <x v="1"/>
    <x v="0"/>
    <x v="33"/>
    <x v="1"/>
    <n v="2.99"/>
    <x v="8"/>
  </r>
  <r>
    <x v="1"/>
    <x v="0"/>
    <x v="33"/>
    <x v="2"/>
    <n v="3.0049999999999999"/>
    <x v="8"/>
  </r>
  <r>
    <x v="1"/>
    <x v="0"/>
    <x v="33"/>
    <x v="3"/>
    <n v="2.8180000000000001"/>
    <x v="8"/>
  </r>
  <r>
    <x v="1"/>
    <x v="0"/>
    <x v="33"/>
    <x v="4"/>
    <n v="2.7639999999999998"/>
    <x v="8"/>
  </r>
  <r>
    <x v="1"/>
    <x v="0"/>
    <x v="34"/>
    <x v="0"/>
    <n v="0"/>
    <x v="8"/>
  </r>
  <r>
    <x v="1"/>
    <x v="0"/>
    <x v="34"/>
    <x v="1"/>
    <n v="0"/>
    <x v="8"/>
  </r>
  <r>
    <x v="1"/>
    <x v="0"/>
    <x v="34"/>
    <x v="2"/>
    <n v="0"/>
    <x v="8"/>
  </r>
  <r>
    <x v="1"/>
    <x v="0"/>
    <x v="34"/>
    <x v="3"/>
    <n v="0"/>
    <x v="8"/>
  </r>
  <r>
    <x v="1"/>
    <x v="0"/>
    <x v="34"/>
    <x v="4"/>
    <n v="0"/>
    <x v="8"/>
  </r>
  <r>
    <x v="1"/>
    <x v="0"/>
    <x v="35"/>
    <x v="0"/>
    <n v="1.4259999999999999"/>
    <x v="8"/>
  </r>
  <r>
    <x v="1"/>
    <x v="0"/>
    <x v="35"/>
    <x v="1"/>
    <n v="3.194"/>
    <x v="8"/>
  </r>
  <r>
    <x v="1"/>
    <x v="0"/>
    <x v="35"/>
    <x v="2"/>
    <n v="2.109"/>
    <x v="8"/>
  </r>
  <r>
    <x v="1"/>
    <x v="0"/>
    <x v="35"/>
    <x v="3"/>
    <n v="1.964"/>
    <x v="8"/>
  </r>
  <r>
    <x v="1"/>
    <x v="0"/>
    <x v="35"/>
    <x v="4"/>
    <n v="2.7549999999999999"/>
    <x v="8"/>
  </r>
  <r>
    <x v="1"/>
    <x v="0"/>
    <x v="36"/>
    <x v="0"/>
    <n v="1.583"/>
    <x v="8"/>
  </r>
  <r>
    <x v="1"/>
    <x v="0"/>
    <x v="36"/>
    <x v="1"/>
    <n v="1.4019999999999999"/>
    <x v="8"/>
  </r>
  <r>
    <x v="1"/>
    <x v="0"/>
    <x v="36"/>
    <x v="2"/>
    <n v="3.5760000000000001"/>
    <x v="8"/>
  </r>
  <r>
    <x v="1"/>
    <x v="0"/>
    <x v="36"/>
    <x v="3"/>
    <n v="2.8039999999999998"/>
    <x v="8"/>
  </r>
  <r>
    <x v="1"/>
    <x v="0"/>
    <x v="36"/>
    <x v="4"/>
    <n v="1.0069999999999999"/>
    <x v="8"/>
  </r>
  <r>
    <x v="1"/>
    <x v="0"/>
    <x v="37"/>
    <x v="0"/>
    <n v="0"/>
    <x v="8"/>
  </r>
  <r>
    <x v="1"/>
    <x v="0"/>
    <x v="37"/>
    <x v="1"/>
    <n v="0"/>
    <x v="8"/>
  </r>
  <r>
    <x v="1"/>
    <x v="0"/>
    <x v="37"/>
    <x v="2"/>
    <n v="0"/>
    <x v="8"/>
  </r>
  <r>
    <x v="1"/>
    <x v="0"/>
    <x v="37"/>
    <x v="3"/>
    <n v="0"/>
    <x v="8"/>
  </r>
  <r>
    <x v="1"/>
    <x v="0"/>
    <x v="37"/>
    <x v="4"/>
    <n v="0"/>
    <x v="8"/>
  </r>
  <r>
    <x v="1"/>
    <x v="0"/>
    <x v="0"/>
    <x v="0"/>
    <n v="0"/>
    <x v="9"/>
  </r>
  <r>
    <x v="1"/>
    <x v="0"/>
    <x v="0"/>
    <x v="1"/>
    <n v="0"/>
    <x v="9"/>
  </r>
  <r>
    <x v="1"/>
    <x v="0"/>
    <x v="0"/>
    <x v="2"/>
    <n v="0"/>
    <x v="9"/>
  </r>
  <r>
    <x v="1"/>
    <x v="0"/>
    <x v="0"/>
    <x v="3"/>
    <n v="0"/>
    <x v="9"/>
  </r>
  <r>
    <x v="1"/>
    <x v="0"/>
    <x v="0"/>
    <x v="4"/>
    <n v="0"/>
    <x v="9"/>
  </r>
  <r>
    <x v="1"/>
    <x v="0"/>
    <x v="1"/>
    <x v="0"/>
    <n v="23.314"/>
    <x v="9"/>
  </r>
  <r>
    <x v="1"/>
    <x v="0"/>
    <x v="1"/>
    <x v="1"/>
    <n v="22.640999999999998"/>
    <x v="9"/>
  </r>
  <r>
    <x v="1"/>
    <x v="0"/>
    <x v="1"/>
    <x v="2"/>
    <n v="21.555"/>
    <x v="9"/>
  </r>
  <r>
    <x v="1"/>
    <x v="0"/>
    <x v="1"/>
    <x v="3"/>
    <n v="18.587"/>
    <x v="9"/>
  </r>
  <r>
    <x v="1"/>
    <x v="0"/>
    <x v="1"/>
    <x v="4"/>
    <n v="22.904"/>
    <x v="9"/>
  </r>
  <r>
    <x v="1"/>
    <x v="0"/>
    <x v="2"/>
    <x v="0"/>
    <n v="0"/>
    <x v="9"/>
  </r>
  <r>
    <x v="1"/>
    <x v="0"/>
    <x v="2"/>
    <x v="1"/>
    <n v="0"/>
    <x v="9"/>
  </r>
  <r>
    <x v="1"/>
    <x v="0"/>
    <x v="2"/>
    <x v="2"/>
    <n v="0"/>
    <x v="9"/>
  </r>
  <r>
    <x v="1"/>
    <x v="0"/>
    <x v="2"/>
    <x v="3"/>
    <n v="0"/>
    <x v="9"/>
  </r>
  <r>
    <x v="1"/>
    <x v="0"/>
    <x v="2"/>
    <x v="4"/>
    <n v="0"/>
    <x v="9"/>
  </r>
  <r>
    <x v="1"/>
    <x v="0"/>
    <x v="3"/>
    <x v="0"/>
    <n v="0.23699999999999999"/>
    <x v="9"/>
  </r>
  <r>
    <x v="1"/>
    <x v="0"/>
    <x v="3"/>
    <x v="1"/>
    <n v="5.2999999999999999E-2"/>
    <x v="9"/>
  </r>
  <r>
    <x v="1"/>
    <x v="0"/>
    <x v="3"/>
    <x v="2"/>
    <n v="0.125"/>
    <x v="9"/>
  </r>
  <r>
    <x v="1"/>
    <x v="0"/>
    <x v="3"/>
    <x v="3"/>
    <n v="9.0999999999999998E-2"/>
    <x v="9"/>
  </r>
  <r>
    <x v="1"/>
    <x v="0"/>
    <x v="3"/>
    <x v="4"/>
    <n v="0.09"/>
    <x v="9"/>
  </r>
  <r>
    <x v="1"/>
    <x v="0"/>
    <x v="4"/>
    <x v="0"/>
    <n v="0"/>
    <x v="9"/>
  </r>
  <r>
    <x v="1"/>
    <x v="0"/>
    <x v="4"/>
    <x v="1"/>
    <n v="0"/>
    <x v="9"/>
  </r>
  <r>
    <x v="1"/>
    <x v="0"/>
    <x v="4"/>
    <x v="2"/>
    <n v="0"/>
    <x v="9"/>
  </r>
  <r>
    <x v="1"/>
    <x v="0"/>
    <x v="4"/>
    <x v="3"/>
    <n v="0"/>
    <x v="9"/>
  </r>
  <r>
    <x v="1"/>
    <x v="0"/>
    <x v="4"/>
    <x v="4"/>
    <n v="0"/>
    <x v="9"/>
  </r>
  <r>
    <x v="1"/>
    <x v="0"/>
    <x v="5"/>
    <x v="0"/>
    <n v="1.151"/>
    <x v="9"/>
  </r>
  <r>
    <x v="1"/>
    <x v="0"/>
    <x v="5"/>
    <x v="1"/>
    <n v="1.2869999999999999"/>
    <x v="9"/>
  </r>
  <r>
    <x v="1"/>
    <x v="0"/>
    <x v="5"/>
    <x v="2"/>
    <n v="1.1779999999999999"/>
    <x v="9"/>
  </r>
  <r>
    <x v="1"/>
    <x v="0"/>
    <x v="5"/>
    <x v="3"/>
    <n v="1.4630000000000001"/>
    <x v="9"/>
  </r>
  <r>
    <x v="1"/>
    <x v="0"/>
    <x v="5"/>
    <x v="4"/>
    <n v="1.1359999999999999"/>
    <x v="9"/>
  </r>
  <r>
    <x v="1"/>
    <x v="0"/>
    <x v="6"/>
    <x v="0"/>
    <n v="13.67"/>
    <x v="9"/>
  </r>
  <r>
    <x v="1"/>
    <x v="0"/>
    <x v="6"/>
    <x v="1"/>
    <n v="11.170999999999999"/>
    <x v="9"/>
  </r>
  <r>
    <x v="1"/>
    <x v="0"/>
    <x v="6"/>
    <x v="2"/>
    <n v="15.765000000000001"/>
    <x v="9"/>
  </r>
  <r>
    <x v="1"/>
    <x v="0"/>
    <x v="6"/>
    <x v="3"/>
    <n v="9.2360000000000007"/>
    <x v="9"/>
  </r>
  <r>
    <x v="1"/>
    <x v="0"/>
    <x v="6"/>
    <x v="4"/>
    <n v="11.003"/>
    <x v="9"/>
  </r>
  <r>
    <x v="1"/>
    <x v="0"/>
    <x v="7"/>
    <x v="0"/>
    <n v="17.119"/>
    <x v="9"/>
  </r>
  <r>
    <x v="1"/>
    <x v="0"/>
    <x v="7"/>
    <x v="1"/>
    <n v="17.754999999999999"/>
    <x v="9"/>
  </r>
  <r>
    <x v="1"/>
    <x v="0"/>
    <x v="7"/>
    <x v="2"/>
    <n v="17.815999999999999"/>
    <x v="9"/>
  </r>
  <r>
    <x v="1"/>
    <x v="0"/>
    <x v="7"/>
    <x v="3"/>
    <n v="16.181000000000001"/>
    <x v="9"/>
  </r>
  <r>
    <x v="1"/>
    <x v="0"/>
    <x v="7"/>
    <x v="4"/>
    <n v="17.135000000000002"/>
    <x v="9"/>
  </r>
  <r>
    <x v="1"/>
    <x v="0"/>
    <x v="8"/>
    <x v="0"/>
    <n v="3.27"/>
    <x v="9"/>
  </r>
  <r>
    <x v="1"/>
    <x v="0"/>
    <x v="8"/>
    <x v="1"/>
    <n v="4.2539999999999996"/>
    <x v="9"/>
  </r>
  <r>
    <x v="1"/>
    <x v="0"/>
    <x v="8"/>
    <x v="2"/>
    <n v="4.0279999999999996"/>
    <x v="9"/>
  </r>
  <r>
    <x v="1"/>
    <x v="0"/>
    <x v="8"/>
    <x v="3"/>
    <n v="5.0030000000000001"/>
    <x v="9"/>
  </r>
  <r>
    <x v="1"/>
    <x v="0"/>
    <x v="8"/>
    <x v="4"/>
    <n v="3.8029999999999999"/>
    <x v="9"/>
  </r>
  <r>
    <x v="1"/>
    <x v="0"/>
    <x v="9"/>
    <x v="0"/>
    <n v="0"/>
    <x v="9"/>
  </r>
  <r>
    <x v="1"/>
    <x v="0"/>
    <x v="9"/>
    <x v="1"/>
    <n v="0"/>
    <x v="9"/>
  </r>
  <r>
    <x v="1"/>
    <x v="0"/>
    <x v="9"/>
    <x v="2"/>
    <n v="0"/>
    <x v="9"/>
  </r>
  <r>
    <x v="1"/>
    <x v="0"/>
    <x v="9"/>
    <x v="3"/>
    <n v="0"/>
    <x v="9"/>
  </r>
  <r>
    <x v="1"/>
    <x v="0"/>
    <x v="9"/>
    <x v="4"/>
    <n v="0"/>
    <x v="9"/>
  </r>
  <r>
    <x v="1"/>
    <x v="0"/>
    <x v="10"/>
    <x v="0"/>
    <n v="0"/>
    <x v="9"/>
  </r>
  <r>
    <x v="1"/>
    <x v="0"/>
    <x v="10"/>
    <x v="1"/>
    <n v="0"/>
    <x v="9"/>
  </r>
  <r>
    <x v="1"/>
    <x v="0"/>
    <x v="10"/>
    <x v="2"/>
    <n v="0"/>
    <x v="9"/>
  </r>
  <r>
    <x v="1"/>
    <x v="0"/>
    <x v="10"/>
    <x v="3"/>
    <n v="0"/>
    <x v="9"/>
  </r>
  <r>
    <x v="1"/>
    <x v="0"/>
    <x v="10"/>
    <x v="4"/>
    <n v="0"/>
    <x v="9"/>
  </r>
  <r>
    <x v="1"/>
    <x v="0"/>
    <x v="11"/>
    <x v="0"/>
    <n v="28.608000000000001"/>
    <x v="9"/>
  </r>
  <r>
    <x v="1"/>
    <x v="0"/>
    <x v="11"/>
    <x v="1"/>
    <n v="26.443000000000001"/>
    <x v="9"/>
  </r>
  <r>
    <x v="1"/>
    <x v="0"/>
    <x v="11"/>
    <x v="2"/>
    <n v="25.831"/>
    <x v="9"/>
  </r>
  <r>
    <x v="1"/>
    <x v="0"/>
    <x v="11"/>
    <x v="3"/>
    <n v="21.989000000000001"/>
    <x v="9"/>
  </r>
  <r>
    <x v="1"/>
    <x v="0"/>
    <x v="11"/>
    <x v="4"/>
    <n v="23.091000000000001"/>
    <x v="9"/>
  </r>
  <r>
    <x v="1"/>
    <x v="0"/>
    <x v="12"/>
    <x v="0"/>
    <n v="12.474"/>
    <x v="9"/>
  </r>
  <r>
    <x v="1"/>
    <x v="0"/>
    <x v="12"/>
    <x v="1"/>
    <n v="10.353"/>
    <x v="9"/>
  </r>
  <r>
    <x v="1"/>
    <x v="0"/>
    <x v="12"/>
    <x v="2"/>
    <n v="7.7249999999999996"/>
    <x v="9"/>
  </r>
  <r>
    <x v="1"/>
    <x v="0"/>
    <x v="12"/>
    <x v="3"/>
    <n v="6.09"/>
    <x v="9"/>
  </r>
  <r>
    <x v="1"/>
    <x v="0"/>
    <x v="12"/>
    <x v="4"/>
    <n v="4.9710000000000001"/>
    <x v="9"/>
  </r>
  <r>
    <x v="1"/>
    <x v="0"/>
    <x v="13"/>
    <x v="0"/>
    <n v="0"/>
    <x v="9"/>
  </r>
  <r>
    <x v="1"/>
    <x v="0"/>
    <x v="13"/>
    <x v="1"/>
    <n v="0"/>
    <x v="9"/>
  </r>
  <r>
    <x v="1"/>
    <x v="0"/>
    <x v="13"/>
    <x v="2"/>
    <n v="0"/>
    <x v="9"/>
  </r>
  <r>
    <x v="1"/>
    <x v="0"/>
    <x v="13"/>
    <x v="3"/>
    <n v="0"/>
    <x v="9"/>
  </r>
  <r>
    <x v="1"/>
    <x v="0"/>
    <x v="13"/>
    <x v="4"/>
    <n v="0"/>
    <x v="9"/>
  </r>
  <r>
    <x v="1"/>
    <x v="0"/>
    <x v="14"/>
    <x v="0"/>
    <n v="1.55"/>
    <x v="9"/>
  </r>
  <r>
    <x v="1"/>
    <x v="0"/>
    <x v="14"/>
    <x v="1"/>
    <n v="1.859"/>
    <x v="9"/>
  </r>
  <r>
    <x v="1"/>
    <x v="0"/>
    <x v="14"/>
    <x v="2"/>
    <n v="0.81"/>
    <x v="9"/>
  </r>
  <r>
    <x v="1"/>
    <x v="0"/>
    <x v="14"/>
    <x v="3"/>
    <n v="0.50900000000000001"/>
    <x v="9"/>
  </r>
  <r>
    <x v="1"/>
    <x v="0"/>
    <x v="14"/>
    <x v="4"/>
    <n v="0.19500000000000001"/>
    <x v="9"/>
  </r>
  <r>
    <x v="1"/>
    <x v="0"/>
    <x v="15"/>
    <x v="0"/>
    <n v="0"/>
    <x v="9"/>
  </r>
  <r>
    <x v="1"/>
    <x v="0"/>
    <x v="15"/>
    <x v="1"/>
    <n v="0"/>
    <x v="9"/>
  </r>
  <r>
    <x v="1"/>
    <x v="0"/>
    <x v="15"/>
    <x v="2"/>
    <n v="0"/>
    <x v="9"/>
  </r>
  <r>
    <x v="1"/>
    <x v="0"/>
    <x v="15"/>
    <x v="3"/>
    <n v="0"/>
    <x v="9"/>
  </r>
  <r>
    <x v="1"/>
    <x v="0"/>
    <x v="15"/>
    <x v="4"/>
    <n v="0"/>
    <x v="9"/>
  </r>
  <r>
    <x v="1"/>
    <x v="0"/>
    <x v="16"/>
    <x v="0"/>
    <n v="0"/>
    <x v="9"/>
  </r>
  <r>
    <x v="1"/>
    <x v="0"/>
    <x v="16"/>
    <x v="1"/>
    <n v="0"/>
    <x v="9"/>
  </r>
  <r>
    <x v="1"/>
    <x v="0"/>
    <x v="16"/>
    <x v="2"/>
    <n v="0"/>
    <x v="9"/>
  </r>
  <r>
    <x v="1"/>
    <x v="0"/>
    <x v="16"/>
    <x v="3"/>
    <n v="0"/>
    <x v="9"/>
  </r>
  <r>
    <x v="1"/>
    <x v="0"/>
    <x v="16"/>
    <x v="4"/>
    <n v="0"/>
    <x v="9"/>
  </r>
  <r>
    <x v="1"/>
    <x v="0"/>
    <x v="17"/>
    <x v="0"/>
    <n v="3.452"/>
    <x v="9"/>
  </r>
  <r>
    <x v="1"/>
    <x v="0"/>
    <x v="17"/>
    <x v="1"/>
    <n v="3.9929999999999999"/>
    <x v="9"/>
  </r>
  <r>
    <x v="1"/>
    <x v="0"/>
    <x v="17"/>
    <x v="2"/>
    <n v="3.96"/>
    <x v="9"/>
  </r>
  <r>
    <x v="1"/>
    <x v="0"/>
    <x v="17"/>
    <x v="3"/>
    <n v="3.6720000000000002"/>
    <x v="9"/>
  </r>
  <r>
    <x v="1"/>
    <x v="0"/>
    <x v="17"/>
    <x v="4"/>
    <n v="3.391"/>
    <x v="9"/>
  </r>
  <r>
    <x v="1"/>
    <x v="0"/>
    <x v="18"/>
    <x v="0"/>
    <n v="12.691000000000001"/>
    <x v="9"/>
  </r>
  <r>
    <x v="1"/>
    <x v="0"/>
    <x v="18"/>
    <x v="1"/>
    <n v="8.7780000000000005"/>
    <x v="9"/>
  </r>
  <r>
    <x v="1"/>
    <x v="0"/>
    <x v="18"/>
    <x v="2"/>
    <n v="9.2360000000000007"/>
    <x v="9"/>
  </r>
  <r>
    <x v="1"/>
    <x v="0"/>
    <x v="18"/>
    <x v="3"/>
    <n v="7.51"/>
    <x v="9"/>
  </r>
  <r>
    <x v="1"/>
    <x v="0"/>
    <x v="18"/>
    <x v="4"/>
    <n v="8.0370000000000008"/>
    <x v="9"/>
  </r>
  <r>
    <x v="1"/>
    <x v="0"/>
    <x v="19"/>
    <x v="0"/>
    <n v="0.123"/>
    <x v="9"/>
  </r>
  <r>
    <x v="1"/>
    <x v="0"/>
    <x v="19"/>
    <x v="1"/>
    <n v="0.11600000000000001"/>
    <x v="9"/>
  </r>
  <r>
    <x v="1"/>
    <x v="0"/>
    <x v="19"/>
    <x v="2"/>
    <n v="0.10199999999999999"/>
    <x v="9"/>
  </r>
  <r>
    <x v="1"/>
    <x v="0"/>
    <x v="19"/>
    <x v="3"/>
    <n v="0.10100000000000001"/>
    <x v="9"/>
  </r>
  <r>
    <x v="1"/>
    <x v="0"/>
    <x v="19"/>
    <x v="4"/>
    <n v="9.5000000000000001E-2"/>
    <x v="9"/>
  </r>
  <r>
    <x v="1"/>
    <x v="0"/>
    <x v="20"/>
    <x v="0"/>
    <n v="5.8360000000000003"/>
    <x v="9"/>
  </r>
  <r>
    <x v="1"/>
    <x v="0"/>
    <x v="20"/>
    <x v="1"/>
    <n v="5.9880000000000004"/>
    <x v="9"/>
  </r>
  <r>
    <x v="1"/>
    <x v="0"/>
    <x v="20"/>
    <x v="2"/>
    <n v="5.9039999999999999"/>
    <x v="9"/>
  </r>
  <r>
    <x v="1"/>
    <x v="0"/>
    <x v="20"/>
    <x v="3"/>
    <n v="5.4349999999999996"/>
    <x v="9"/>
  </r>
  <r>
    <x v="1"/>
    <x v="0"/>
    <x v="20"/>
    <x v="4"/>
    <n v="6.1909999999999998"/>
    <x v="9"/>
  </r>
  <r>
    <x v="1"/>
    <x v="0"/>
    <x v="21"/>
    <x v="0"/>
    <n v="0.35499999999999998"/>
    <x v="9"/>
  </r>
  <r>
    <x v="1"/>
    <x v="0"/>
    <x v="21"/>
    <x v="1"/>
    <n v="0.26900000000000002"/>
    <x v="9"/>
  </r>
  <r>
    <x v="1"/>
    <x v="0"/>
    <x v="21"/>
    <x v="2"/>
    <n v="0.23"/>
    <x v="9"/>
  </r>
  <r>
    <x v="1"/>
    <x v="0"/>
    <x v="21"/>
    <x v="3"/>
    <n v="0.4"/>
    <x v="9"/>
  </r>
  <r>
    <x v="1"/>
    <x v="0"/>
    <x v="21"/>
    <x v="4"/>
    <n v="0.51800000000000002"/>
    <x v="9"/>
  </r>
  <r>
    <x v="1"/>
    <x v="0"/>
    <x v="22"/>
    <x v="0"/>
    <n v="0"/>
    <x v="9"/>
  </r>
  <r>
    <x v="1"/>
    <x v="0"/>
    <x v="22"/>
    <x v="1"/>
    <n v="0"/>
    <x v="9"/>
  </r>
  <r>
    <x v="1"/>
    <x v="0"/>
    <x v="22"/>
    <x v="2"/>
    <n v="0"/>
    <x v="9"/>
  </r>
  <r>
    <x v="1"/>
    <x v="0"/>
    <x v="22"/>
    <x v="3"/>
    <n v="0"/>
    <x v="9"/>
  </r>
  <r>
    <x v="1"/>
    <x v="0"/>
    <x v="22"/>
    <x v="4"/>
    <n v="0"/>
    <x v="9"/>
  </r>
  <r>
    <x v="1"/>
    <x v="0"/>
    <x v="23"/>
    <x v="0"/>
    <n v="0"/>
    <x v="9"/>
  </r>
  <r>
    <x v="1"/>
    <x v="0"/>
    <x v="23"/>
    <x v="1"/>
    <n v="0"/>
    <x v="9"/>
  </r>
  <r>
    <x v="1"/>
    <x v="0"/>
    <x v="23"/>
    <x v="2"/>
    <n v="0"/>
    <x v="9"/>
  </r>
  <r>
    <x v="1"/>
    <x v="0"/>
    <x v="23"/>
    <x v="3"/>
    <n v="0"/>
    <x v="9"/>
  </r>
  <r>
    <x v="1"/>
    <x v="0"/>
    <x v="23"/>
    <x v="4"/>
    <n v="0"/>
    <x v="9"/>
  </r>
  <r>
    <x v="1"/>
    <x v="0"/>
    <x v="24"/>
    <x v="0"/>
    <n v="0"/>
    <x v="9"/>
  </r>
  <r>
    <x v="1"/>
    <x v="0"/>
    <x v="24"/>
    <x v="1"/>
    <n v="0"/>
    <x v="9"/>
  </r>
  <r>
    <x v="1"/>
    <x v="0"/>
    <x v="24"/>
    <x v="2"/>
    <n v="0"/>
    <x v="9"/>
  </r>
  <r>
    <x v="1"/>
    <x v="0"/>
    <x v="24"/>
    <x v="3"/>
    <n v="0"/>
    <x v="9"/>
  </r>
  <r>
    <x v="1"/>
    <x v="0"/>
    <x v="24"/>
    <x v="4"/>
    <n v="0"/>
    <x v="9"/>
  </r>
  <r>
    <x v="1"/>
    <x v="0"/>
    <x v="25"/>
    <x v="0"/>
    <n v="0.42199999999999999"/>
    <x v="9"/>
  </r>
  <r>
    <x v="1"/>
    <x v="0"/>
    <x v="25"/>
    <x v="1"/>
    <n v="7.5999999999999998E-2"/>
    <x v="9"/>
  </r>
  <r>
    <x v="1"/>
    <x v="0"/>
    <x v="25"/>
    <x v="2"/>
    <n v="2.3E-2"/>
    <x v="9"/>
  </r>
  <r>
    <x v="1"/>
    <x v="0"/>
    <x v="25"/>
    <x v="3"/>
    <n v="0"/>
    <x v="9"/>
  </r>
  <r>
    <x v="1"/>
    <x v="0"/>
    <x v="25"/>
    <x v="4"/>
    <n v="0"/>
    <x v="9"/>
  </r>
  <r>
    <x v="1"/>
    <x v="0"/>
    <x v="26"/>
    <x v="0"/>
    <n v="5.08"/>
    <x v="9"/>
  </r>
  <r>
    <x v="1"/>
    <x v="0"/>
    <x v="26"/>
    <x v="1"/>
    <n v="5.3940000000000001"/>
    <x v="9"/>
  </r>
  <r>
    <x v="1"/>
    <x v="0"/>
    <x v="26"/>
    <x v="2"/>
    <n v="5.21"/>
    <x v="9"/>
  </r>
  <r>
    <x v="1"/>
    <x v="0"/>
    <x v="26"/>
    <x v="3"/>
    <n v="4.46"/>
    <x v="9"/>
  </r>
  <r>
    <x v="1"/>
    <x v="0"/>
    <x v="26"/>
    <x v="4"/>
    <n v="4.7549999999999999"/>
    <x v="9"/>
  </r>
  <r>
    <x v="1"/>
    <x v="0"/>
    <x v="27"/>
    <x v="0"/>
    <n v="1.712"/>
    <x v="9"/>
  </r>
  <r>
    <x v="1"/>
    <x v="0"/>
    <x v="27"/>
    <x v="1"/>
    <n v="1.9950000000000001"/>
    <x v="9"/>
  </r>
  <r>
    <x v="1"/>
    <x v="0"/>
    <x v="27"/>
    <x v="2"/>
    <n v="1.6850000000000001"/>
    <x v="9"/>
  </r>
  <r>
    <x v="1"/>
    <x v="0"/>
    <x v="27"/>
    <x v="3"/>
    <n v="1.772"/>
    <x v="9"/>
  </r>
  <r>
    <x v="1"/>
    <x v="0"/>
    <x v="27"/>
    <x v="4"/>
    <n v="1.8779999999999999"/>
    <x v="9"/>
  </r>
  <r>
    <x v="1"/>
    <x v="0"/>
    <x v="28"/>
    <x v="0"/>
    <n v="0"/>
    <x v="9"/>
  </r>
  <r>
    <x v="1"/>
    <x v="0"/>
    <x v="28"/>
    <x v="1"/>
    <n v="0"/>
    <x v="9"/>
  </r>
  <r>
    <x v="1"/>
    <x v="0"/>
    <x v="28"/>
    <x v="2"/>
    <n v="0"/>
    <x v="9"/>
  </r>
  <r>
    <x v="1"/>
    <x v="0"/>
    <x v="28"/>
    <x v="3"/>
    <n v="0"/>
    <x v="9"/>
  </r>
  <r>
    <x v="1"/>
    <x v="0"/>
    <x v="28"/>
    <x v="4"/>
    <n v="0"/>
    <x v="9"/>
  </r>
  <r>
    <x v="1"/>
    <x v="0"/>
    <x v="29"/>
    <x v="0"/>
    <n v="1.675"/>
    <x v="9"/>
  </r>
  <r>
    <x v="1"/>
    <x v="0"/>
    <x v="29"/>
    <x v="1"/>
    <n v="1.694"/>
    <x v="9"/>
  </r>
  <r>
    <x v="1"/>
    <x v="0"/>
    <x v="29"/>
    <x v="2"/>
    <n v="1.9319999999999999"/>
    <x v="9"/>
  </r>
  <r>
    <x v="1"/>
    <x v="0"/>
    <x v="29"/>
    <x v="3"/>
    <n v="2.823"/>
    <x v="9"/>
  </r>
  <r>
    <x v="1"/>
    <x v="0"/>
    <x v="29"/>
    <x v="4"/>
    <n v="1.748"/>
    <x v="9"/>
  </r>
  <r>
    <x v="1"/>
    <x v="0"/>
    <x v="30"/>
    <x v="0"/>
    <n v="0.09"/>
    <x v="9"/>
  </r>
  <r>
    <x v="1"/>
    <x v="0"/>
    <x v="30"/>
    <x v="1"/>
    <n v="7.9000000000000001E-2"/>
    <x v="9"/>
  </r>
  <r>
    <x v="1"/>
    <x v="0"/>
    <x v="30"/>
    <x v="2"/>
    <n v="7.2999999999999995E-2"/>
    <x v="9"/>
  </r>
  <r>
    <x v="1"/>
    <x v="0"/>
    <x v="30"/>
    <x v="3"/>
    <n v="0.09"/>
    <x v="9"/>
  </r>
  <r>
    <x v="1"/>
    <x v="0"/>
    <x v="30"/>
    <x v="4"/>
    <n v="8.4000000000000005E-2"/>
    <x v="9"/>
  </r>
  <r>
    <x v="1"/>
    <x v="0"/>
    <x v="31"/>
    <x v="0"/>
    <n v="34.628"/>
    <x v="9"/>
  </r>
  <r>
    <x v="1"/>
    <x v="0"/>
    <x v="31"/>
    <x v="1"/>
    <n v="36.298000000000002"/>
    <x v="9"/>
  </r>
  <r>
    <x v="1"/>
    <x v="0"/>
    <x v="31"/>
    <x v="2"/>
    <n v="39.107999999999997"/>
    <x v="9"/>
  </r>
  <r>
    <x v="1"/>
    <x v="0"/>
    <x v="31"/>
    <x v="3"/>
    <n v="43.01"/>
    <x v="9"/>
  </r>
  <r>
    <x v="1"/>
    <x v="0"/>
    <x v="31"/>
    <x v="4"/>
    <n v="39.549999999999997"/>
    <x v="9"/>
  </r>
  <r>
    <x v="1"/>
    <x v="0"/>
    <x v="32"/>
    <x v="0"/>
    <n v="0.28699999999999998"/>
    <x v="9"/>
  </r>
  <r>
    <x v="1"/>
    <x v="0"/>
    <x v="32"/>
    <x v="1"/>
    <n v="0.38300000000000001"/>
    <x v="9"/>
  </r>
  <r>
    <x v="1"/>
    <x v="0"/>
    <x v="32"/>
    <x v="2"/>
    <n v="0.41599999999999998"/>
    <x v="9"/>
  </r>
  <r>
    <x v="1"/>
    <x v="0"/>
    <x v="32"/>
    <x v="3"/>
    <n v="0.34699999999999998"/>
    <x v="9"/>
  </r>
  <r>
    <x v="1"/>
    <x v="0"/>
    <x v="32"/>
    <x v="4"/>
    <n v="0.26900000000000002"/>
    <x v="9"/>
  </r>
  <r>
    <x v="1"/>
    <x v="0"/>
    <x v="33"/>
    <x v="0"/>
    <n v="2.2000000000000002"/>
    <x v="9"/>
  </r>
  <r>
    <x v="1"/>
    <x v="0"/>
    <x v="33"/>
    <x v="1"/>
    <n v="2.9460000000000002"/>
    <x v="9"/>
  </r>
  <r>
    <x v="1"/>
    <x v="0"/>
    <x v="33"/>
    <x v="2"/>
    <n v="2.9529999999999998"/>
    <x v="9"/>
  </r>
  <r>
    <x v="1"/>
    <x v="0"/>
    <x v="33"/>
    <x v="3"/>
    <n v="2.71"/>
    <x v="9"/>
  </r>
  <r>
    <x v="1"/>
    <x v="0"/>
    <x v="33"/>
    <x v="4"/>
    <n v="2.6669999999999998"/>
    <x v="9"/>
  </r>
  <r>
    <x v="1"/>
    <x v="0"/>
    <x v="34"/>
    <x v="0"/>
    <n v="0"/>
    <x v="9"/>
  </r>
  <r>
    <x v="1"/>
    <x v="0"/>
    <x v="34"/>
    <x v="1"/>
    <n v="0"/>
    <x v="9"/>
  </r>
  <r>
    <x v="1"/>
    <x v="0"/>
    <x v="34"/>
    <x v="2"/>
    <n v="0"/>
    <x v="9"/>
  </r>
  <r>
    <x v="1"/>
    <x v="0"/>
    <x v="34"/>
    <x v="3"/>
    <n v="0"/>
    <x v="9"/>
  </r>
  <r>
    <x v="1"/>
    <x v="0"/>
    <x v="34"/>
    <x v="4"/>
    <n v="0"/>
    <x v="9"/>
  </r>
  <r>
    <x v="1"/>
    <x v="0"/>
    <x v="35"/>
    <x v="0"/>
    <n v="1.4259999999999999"/>
    <x v="9"/>
  </r>
  <r>
    <x v="1"/>
    <x v="0"/>
    <x v="35"/>
    <x v="1"/>
    <n v="3.194"/>
    <x v="9"/>
  </r>
  <r>
    <x v="1"/>
    <x v="0"/>
    <x v="35"/>
    <x v="2"/>
    <n v="2.109"/>
    <x v="9"/>
  </r>
  <r>
    <x v="1"/>
    <x v="0"/>
    <x v="35"/>
    <x v="3"/>
    <n v="1.964"/>
    <x v="9"/>
  </r>
  <r>
    <x v="1"/>
    <x v="0"/>
    <x v="35"/>
    <x v="4"/>
    <n v="2.7549999999999999"/>
    <x v="9"/>
  </r>
  <r>
    <x v="1"/>
    <x v="0"/>
    <x v="36"/>
    <x v="0"/>
    <n v="0.22800000000000001"/>
    <x v="9"/>
  </r>
  <r>
    <x v="1"/>
    <x v="0"/>
    <x v="36"/>
    <x v="1"/>
    <n v="0.29399999999999998"/>
    <x v="9"/>
  </r>
  <r>
    <x v="1"/>
    <x v="0"/>
    <x v="36"/>
    <x v="2"/>
    <n v="2.1930000000000001"/>
    <x v="9"/>
  </r>
  <r>
    <x v="1"/>
    <x v="0"/>
    <x v="36"/>
    <x v="3"/>
    <n v="1.6160000000000001"/>
    <x v="9"/>
  </r>
  <r>
    <x v="1"/>
    <x v="0"/>
    <x v="36"/>
    <x v="4"/>
    <n v="6.5000000000000002E-2"/>
    <x v="9"/>
  </r>
  <r>
    <x v="1"/>
    <x v="0"/>
    <x v="37"/>
    <x v="0"/>
    <n v="0"/>
    <x v="9"/>
  </r>
  <r>
    <x v="1"/>
    <x v="0"/>
    <x v="37"/>
    <x v="1"/>
    <n v="0"/>
    <x v="9"/>
  </r>
  <r>
    <x v="1"/>
    <x v="0"/>
    <x v="37"/>
    <x v="2"/>
    <n v="0"/>
    <x v="9"/>
  </r>
  <r>
    <x v="1"/>
    <x v="0"/>
    <x v="37"/>
    <x v="3"/>
    <n v="0"/>
    <x v="9"/>
  </r>
  <r>
    <x v="1"/>
    <x v="0"/>
    <x v="37"/>
    <x v="4"/>
    <n v="0"/>
    <x v="9"/>
  </r>
  <r>
    <x v="1"/>
    <x v="0"/>
    <x v="0"/>
    <x v="0"/>
    <n v="0"/>
    <x v="10"/>
  </r>
  <r>
    <x v="1"/>
    <x v="0"/>
    <x v="0"/>
    <x v="1"/>
    <n v="0"/>
    <x v="10"/>
  </r>
  <r>
    <x v="1"/>
    <x v="0"/>
    <x v="0"/>
    <x v="2"/>
    <n v="0"/>
    <x v="10"/>
  </r>
  <r>
    <x v="1"/>
    <x v="0"/>
    <x v="0"/>
    <x v="3"/>
    <n v="0"/>
    <x v="10"/>
  </r>
  <r>
    <x v="1"/>
    <x v="0"/>
    <x v="0"/>
    <x v="4"/>
    <n v="0"/>
    <x v="10"/>
  </r>
  <r>
    <x v="1"/>
    <x v="0"/>
    <x v="1"/>
    <x v="0"/>
    <n v="7.5999999999999998E-2"/>
    <x v="10"/>
  </r>
  <r>
    <x v="1"/>
    <x v="0"/>
    <x v="1"/>
    <x v="1"/>
    <n v="8.7999999999999995E-2"/>
    <x v="10"/>
  </r>
  <r>
    <x v="1"/>
    <x v="0"/>
    <x v="1"/>
    <x v="2"/>
    <n v="8.7999999999999995E-2"/>
    <x v="10"/>
  </r>
  <r>
    <x v="1"/>
    <x v="0"/>
    <x v="1"/>
    <x v="3"/>
    <n v="7.3999999999999996E-2"/>
    <x v="10"/>
  </r>
  <r>
    <x v="1"/>
    <x v="0"/>
    <x v="1"/>
    <x v="4"/>
    <n v="0.08"/>
    <x v="10"/>
  </r>
  <r>
    <x v="1"/>
    <x v="0"/>
    <x v="2"/>
    <x v="0"/>
    <n v="0"/>
    <x v="10"/>
  </r>
  <r>
    <x v="1"/>
    <x v="0"/>
    <x v="2"/>
    <x v="1"/>
    <n v="0"/>
    <x v="10"/>
  </r>
  <r>
    <x v="1"/>
    <x v="0"/>
    <x v="2"/>
    <x v="2"/>
    <n v="0"/>
    <x v="10"/>
  </r>
  <r>
    <x v="1"/>
    <x v="0"/>
    <x v="2"/>
    <x v="3"/>
    <n v="0"/>
    <x v="10"/>
  </r>
  <r>
    <x v="1"/>
    <x v="0"/>
    <x v="2"/>
    <x v="4"/>
    <n v="0"/>
    <x v="10"/>
  </r>
  <r>
    <x v="1"/>
    <x v="0"/>
    <x v="3"/>
    <x v="0"/>
    <n v="0"/>
    <x v="10"/>
  </r>
  <r>
    <x v="1"/>
    <x v="0"/>
    <x v="3"/>
    <x v="1"/>
    <n v="0"/>
    <x v="10"/>
  </r>
  <r>
    <x v="1"/>
    <x v="0"/>
    <x v="3"/>
    <x v="2"/>
    <n v="0"/>
    <x v="10"/>
  </r>
  <r>
    <x v="1"/>
    <x v="0"/>
    <x v="3"/>
    <x v="3"/>
    <n v="0"/>
    <x v="10"/>
  </r>
  <r>
    <x v="1"/>
    <x v="0"/>
    <x v="3"/>
    <x v="4"/>
    <n v="0"/>
    <x v="10"/>
  </r>
  <r>
    <x v="1"/>
    <x v="0"/>
    <x v="4"/>
    <x v="0"/>
    <n v="0"/>
    <x v="10"/>
  </r>
  <r>
    <x v="1"/>
    <x v="0"/>
    <x v="4"/>
    <x v="1"/>
    <n v="0"/>
    <x v="10"/>
  </r>
  <r>
    <x v="1"/>
    <x v="0"/>
    <x v="4"/>
    <x v="2"/>
    <n v="0"/>
    <x v="10"/>
  </r>
  <r>
    <x v="1"/>
    <x v="0"/>
    <x v="4"/>
    <x v="3"/>
    <n v="0"/>
    <x v="10"/>
  </r>
  <r>
    <x v="1"/>
    <x v="0"/>
    <x v="4"/>
    <x v="4"/>
    <n v="0"/>
    <x v="10"/>
  </r>
  <r>
    <x v="1"/>
    <x v="0"/>
    <x v="5"/>
    <x v="0"/>
    <n v="0"/>
    <x v="10"/>
  </r>
  <r>
    <x v="1"/>
    <x v="0"/>
    <x v="5"/>
    <x v="1"/>
    <n v="0"/>
    <x v="10"/>
  </r>
  <r>
    <x v="1"/>
    <x v="0"/>
    <x v="5"/>
    <x v="2"/>
    <n v="0"/>
    <x v="10"/>
  </r>
  <r>
    <x v="1"/>
    <x v="0"/>
    <x v="5"/>
    <x v="3"/>
    <n v="0"/>
    <x v="10"/>
  </r>
  <r>
    <x v="1"/>
    <x v="0"/>
    <x v="5"/>
    <x v="4"/>
    <n v="0"/>
    <x v="10"/>
  </r>
  <r>
    <x v="1"/>
    <x v="0"/>
    <x v="6"/>
    <x v="0"/>
    <n v="4.1849999999999996"/>
    <x v="10"/>
  </r>
  <r>
    <x v="1"/>
    <x v="0"/>
    <x v="6"/>
    <x v="1"/>
    <n v="3.4740000000000002"/>
    <x v="10"/>
  </r>
  <r>
    <x v="1"/>
    <x v="0"/>
    <x v="6"/>
    <x v="2"/>
    <n v="2.0830000000000002"/>
    <x v="10"/>
  </r>
  <r>
    <x v="1"/>
    <x v="0"/>
    <x v="6"/>
    <x v="3"/>
    <n v="2.0369999999999999"/>
    <x v="10"/>
  </r>
  <r>
    <x v="1"/>
    <x v="0"/>
    <x v="6"/>
    <x v="4"/>
    <n v="0.89200000000000002"/>
    <x v="10"/>
  </r>
  <r>
    <x v="1"/>
    <x v="0"/>
    <x v="7"/>
    <x v="0"/>
    <n v="0.317"/>
    <x v="10"/>
  </r>
  <r>
    <x v="1"/>
    <x v="0"/>
    <x v="7"/>
    <x v="1"/>
    <n v="0.08"/>
    <x v="10"/>
  </r>
  <r>
    <x v="1"/>
    <x v="0"/>
    <x v="7"/>
    <x v="2"/>
    <n v="0.24299999999999999"/>
    <x v="10"/>
  </r>
  <r>
    <x v="1"/>
    <x v="0"/>
    <x v="7"/>
    <x v="3"/>
    <n v="0.186"/>
    <x v="10"/>
  </r>
  <r>
    <x v="1"/>
    <x v="0"/>
    <x v="7"/>
    <x v="4"/>
    <n v="0.185"/>
    <x v="10"/>
  </r>
  <r>
    <x v="1"/>
    <x v="0"/>
    <x v="8"/>
    <x v="0"/>
    <n v="0"/>
    <x v="10"/>
  </r>
  <r>
    <x v="1"/>
    <x v="0"/>
    <x v="8"/>
    <x v="1"/>
    <n v="0"/>
    <x v="10"/>
  </r>
  <r>
    <x v="1"/>
    <x v="0"/>
    <x v="8"/>
    <x v="2"/>
    <n v="0"/>
    <x v="10"/>
  </r>
  <r>
    <x v="1"/>
    <x v="0"/>
    <x v="8"/>
    <x v="3"/>
    <n v="0"/>
    <x v="10"/>
  </r>
  <r>
    <x v="1"/>
    <x v="0"/>
    <x v="8"/>
    <x v="4"/>
    <n v="4.0000000000000001E-3"/>
    <x v="10"/>
  </r>
  <r>
    <x v="1"/>
    <x v="0"/>
    <x v="9"/>
    <x v="0"/>
    <n v="0"/>
    <x v="10"/>
  </r>
  <r>
    <x v="1"/>
    <x v="0"/>
    <x v="9"/>
    <x v="1"/>
    <n v="0"/>
    <x v="10"/>
  </r>
  <r>
    <x v="1"/>
    <x v="0"/>
    <x v="9"/>
    <x v="2"/>
    <n v="0"/>
    <x v="10"/>
  </r>
  <r>
    <x v="1"/>
    <x v="0"/>
    <x v="9"/>
    <x v="3"/>
    <n v="0"/>
    <x v="10"/>
  </r>
  <r>
    <x v="1"/>
    <x v="0"/>
    <x v="9"/>
    <x v="4"/>
    <n v="0"/>
    <x v="10"/>
  </r>
  <r>
    <x v="1"/>
    <x v="0"/>
    <x v="10"/>
    <x v="0"/>
    <n v="0"/>
    <x v="10"/>
  </r>
  <r>
    <x v="1"/>
    <x v="0"/>
    <x v="10"/>
    <x v="1"/>
    <n v="0"/>
    <x v="10"/>
  </r>
  <r>
    <x v="1"/>
    <x v="0"/>
    <x v="10"/>
    <x v="2"/>
    <n v="0"/>
    <x v="10"/>
  </r>
  <r>
    <x v="1"/>
    <x v="0"/>
    <x v="10"/>
    <x v="3"/>
    <n v="0"/>
    <x v="10"/>
  </r>
  <r>
    <x v="1"/>
    <x v="0"/>
    <x v="10"/>
    <x v="4"/>
    <n v="0"/>
    <x v="10"/>
  </r>
  <r>
    <x v="1"/>
    <x v="0"/>
    <x v="11"/>
    <x v="0"/>
    <n v="0.39500000000000002"/>
    <x v="10"/>
  </r>
  <r>
    <x v="1"/>
    <x v="0"/>
    <x v="11"/>
    <x v="1"/>
    <n v="0.379"/>
    <x v="10"/>
  </r>
  <r>
    <x v="1"/>
    <x v="0"/>
    <x v="11"/>
    <x v="2"/>
    <n v="0.34100000000000003"/>
    <x v="10"/>
  </r>
  <r>
    <x v="1"/>
    <x v="0"/>
    <x v="11"/>
    <x v="3"/>
    <n v="0.34699999999999998"/>
    <x v="10"/>
  </r>
  <r>
    <x v="1"/>
    <x v="0"/>
    <x v="11"/>
    <x v="4"/>
    <n v="0.378"/>
    <x v="10"/>
  </r>
  <r>
    <x v="1"/>
    <x v="0"/>
    <x v="12"/>
    <x v="0"/>
    <n v="0.127"/>
    <x v="10"/>
  </r>
  <r>
    <x v="1"/>
    <x v="0"/>
    <x v="12"/>
    <x v="1"/>
    <n v="0.127"/>
    <x v="10"/>
  </r>
  <r>
    <x v="1"/>
    <x v="0"/>
    <x v="12"/>
    <x v="2"/>
    <n v="0.127"/>
    <x v="10"/>
  </r>
  <r>
    <x v="1"/>
    <x v="0"/>
    <x v="12"/>
    <x v="3"/>
    <n v="0.13800000000000001"/>
    <x v="10"/>
  </r>
  <r>
    <x v="1"/>
    <x v="0"/>
    <x v="12"/>
    <x v="4"/>
    <n v="0.14799999999999999"/>
    <x v="10"/>
  </r>
  <r>
    <x v="1"/>
    <x v="0"/>
    <x v="13"/>
    <x v="0"/>
    <n v="0"/>
    <x v="10"/>
  </r>
  <r>
    <x v="1"/>
    <x v="0"/>
    <x v="13"/>
    <x v="1"/>
    <n v="0"/>
    <x v="10"/>
  </r>
  <r>
    <x v="1"/>
    <x v="0"/>
    <x v="13"/>
    <x v="2"/>
    <n v="0"/>
    <x v="10"/>
  </r>
  <r>
    <x v="1"/>
    <x v="0"/>
    <x v="13"/>
    <x v="3"/>
    <n v="0"/>
    <x v="10"/>
  </r>
  <r>
    <x v="1"/>
    <x v="0"/>
    <x v="13"/>
    <x v="4"/>
    <n v="0"/>
    <x v="10"/>
  </r>
  <r>
    <x v="1"/>
    <x v="0"/>
    <x v="14"/>
    <x v="0"/>
    <n v="0"/>
    <x v="10"/>
  </r>
  <r>
    <x v="1"/>
    <x v="0"/>
    <x v="14"/>
    <x v="1"/>
    <n v="1E-3"/>
    <x v="10"/>
  </r>
  <r>
    <x v="1"/>
    <x v="0"/>
    <x v="14"/>
    <x v="2"/>
    <n v="1.9E-2"/>
    <x v="10"/>
  </r>
  <r>
    <x v="1"/>
    <x v="0"/>
    <x v="14"/>
    <x v="3"/>
    <n v="1.4E-2"/>
    <x v="10"/>
  </r>
  <r>
    <x v="1"/>
    <x v="0"/>
    <x v="14"/>
    <x v="4"/>
    <n v="1.2999999999999999E-2"/>
    <x v="10"/>
  </r>
  <r>
    <x v="1"/>
    <x v="0"/>
    <x v="15"/>
    <x v="0"/>
    <n v="0"/>
    <x v="10"/>
  </r>
  <r>
    <x v="1"/>
    <x v="0"/>
    <x v="15"/>
    <x v="1"/>
    <n v="0"/>
    <x v="10"/>
  </r>
  <r>
    <x v="1"/>
    <x v="0"/>
    <x v="15"/>
    <x v="2"/>
    <n v="0"/>
    <x v="10"/>
  </r>
  <r>
    <x v="1"/>
    <x v="0"/>
    <x v="15"/>
    <x v="3"/>
    <n v="0"/>
    <x v="10"/>
  </r>
  <r>
    <x v="1"/>
    <x v="0"/>
    <x v="15"/>
    <x v="4"/>
    <n v="0"/>
    <x v="10"/>
  </r>
  <r>
    <x v="1"/>
    <x v="0"/>
    <x v="16"/>
    <x v="0"/>
    <n v="0"/>
    <x v="10"/>
  </r>
  <r>
    <x v="1"/>
    <x v="0"/>
    <x v="16"/>
    <x v="1"/>
    <n v="0"/>
    <x v="10"/>
  </r>
  <r>
    <x v="1"/>
    <x v="0"/>
    <x v="16"/>
    <x v="2"/>
    <n v="0"/>
    <x v="10"/>
  </r>
  <r>
    <x v="1"/>
    <x v="0"/>
    <x v="16"/>
    <x v="3"/>
    <n v="0"/>
    <x v="10"/>
  </r>
  <r>
    <x v="1"/>
    <x v="0"/>
    <x v="16"/>
    <x v="4"/>
    <n v="0"/>
    <x v="10"/>
  </r>
  <r>
    <x v="1"/>
    <x v="0"/>
    <x v="17"/>
    <x v="0"/>
    <n v="1.6E-2"/>
    <x v="10"/>
  </r>
  <r>
    <x v="1"/>
    <x v="0"/>
    <x v="17"/>
    <x v="1"/>
    <n v="1.4E-2"/>
    <x v="10"/>
  </r>
  <r>
    <x v="1"/>
    <x v="0"/>
    <x v="17"/>
    <x v="2"/>
    <n v="1.4999999999999999E-2"/>
    <x v="10"/>
  </r>
  <r>
    <x v="1"/>
    <x v="0"/>
    <x v="17"/>
    <x v="3"/>
    <n v="1.2999999999999999E-2"/>
    <x v="10"/>
  </r>
  <r>
    <x v="1"/>
    <x v="0"/>
    <x v="17"/>
    <x v="4"/>
    <n v="1.4999999999999999E-2"/>
    <x v="10"/>
  </r>
  <r>
    <x v="1"/>
    <x v="0"/>
    <x v="18"/>
    <x v="0"/>
    <n v="0"/>
    <x v="10"/>
  </r>
  <r>
    <x v="1"/>
    <x v="0"/>
    <x v="18"/>
    <x v="1"/>
    <n v="0"/>
    <x v="10"/>
  </r>
  <r>
    <x v="1"/>
    <x v="0"/>
    <x v="18"/>
    <x v="2"/>
    <n v="0"/>
    <x v="10"/>
  </r>
  <r>
    <x v="1"/>
    <x v="0"/>
    <x v="18"/>
    <x v="3"/>
    <n v="0"/>
    <x v="10"/>
  </r>
  <r>
    <x v="1"/>
    <x v="0"/>
    <x v="18"/>
    <x v="4"/>
    <n v="0"/>
    <x v="10"/>
  </r>
  <r>
    <x v="1"/>
    <x v="0"/>
    <x v="19"/>
    <x v="0"/>
    <n v="0"/>
    <x v="10"/>
  </r>
  <r>
    <x v="1"/>
    <x v="0"/>
    <x v="19"/>
    <x v="1"/>
    <n v="0"/>
    <x v="10"/>
  </r>
  <r>
    <x v="1"/>
    <x v="0"/>
    <x v="19"/>
    <x v="2"/>
    <n v="0"/>
    <x v="10"/>
  </r>
  <r>
    <x v="1"/>
    <x v="0"/>
    <x v="19"/>
    <x v="3"/>
    <n v="0"/>
    <x v="10"/>
  </r>
  <r>
    <x v="1"/>
    <x v="0"/>
    <x v="19"/>
    <x v="4"/>
    <n v="0"/>
    <x v="10"/>
  </r>
  <r>
    <x v="1"/>
    <x v="0"/>
    <x v="20"/>
    <x v="0"/>
    <n v="0"/>
    <x v="10"/>
  </r>
  <r>
    <x v="1"/>
    <x v="0"/>
    <x v="20"/>
    <x v="1"/>
    <n v="0"/>
    <x v="10"/>
  </r>
  <r>
    <x v="1"/>
    <x v="0"/>
    <x v="20"/>
    <x v="2"/>
    <n v="0"/>
    <x v="10"/>
  </r>
  <r>
    <x v="1"/>
    <x v="0"/>
    <x v="20"/>
    <x v="3"/>
    <n v="0"/>
    <x v="10"/>
  </r>
  <r>
    <x v="1"/>
    <x v="0"/>
    <x v="20"/>
    <x v="4"/>
    <n v="0"/>
    <x v="10"/>
  </r>
  <r>
    <x v="1"/>
    <x v="0"/>
    <x v="21"/>
    <x v="0"/>
    <n v="0"/>
    <x v="10"/>
  </r>
  <r>
    <x v="1"/>
    <x v="0"/>
    <x v="21"/>
    <x v="1"/>
    <n v="0"/>
    <x v="10"/>
  </r>
  <r>
    <x v="1"/>
    <x v="0"/>
    <x v="21"/>
    <x v="2"/>
    <n v="0"/>
    <x v="10"/>
  </r>
  <r>
    <x v="1"/>
    <x v="0"/>
    <x v="21"/>
    <x v="3"/>
    <n v="0"/>
    <x v="10"/>
  </r>
  <r>
    <x v="1"/>
    <x v="0"/>
    <x v="21"/>
    <x v="4"/>
    <n v="0"/>
    <x v="10"/>
  </r>
  <r>
    <x v="1"/>
    <x v="0"/>
    <x v="22"/>
    <x v="0"/>
    <n v="0"/>
    <x v="10"/>
  </r>
  <r>
    <x v="1"/>
    <x v="0"/>
    <x v="22"/>
    <x v="1"/>
    <n v="0"/>
    <x v="10"/>
  </r>
  <r>
    <x v="1"/>
    <x v="0"/>
    <x v="22"/>
    <x v="2"/>
    <n v="0"/>
    <x v="10"/>
  </r>
  <r>
    <x v="1"/>
    <x v="0"/>
    <x v="22"/>
    <x v="3"/>
    <n v="0"/>
    <x v="10"/>
  </r>
  <r>
    <x v="1"/>
    <x v="0"/>
    <x v="22"/>
    <x v="4"/>
    <n v="0"/>
    <x v="10"/>
  </r>
  <r>
    <x v="1"/>
    <x v="0"/>
    <x v="23"/>
    <x v="0"/>
    <n v="0"/>
    <x v="10"/>
  </r>
  <r>
    <x v="1"/>
    <x v="0"/>
    <x v="23"/>
    <x v="1"/>
    <n v="0"/>
    <x v="10"/>
  </r>
  <r>
    <x v="1"/>
    <x v="0"/>
    <x v="23"/>
    <x v="2"/>
    <n v="0"/>
    <x v="10"/>
  </r>
  <r>
    <x v="1"/>
    <x v="0"/>
    <x v="23"/>
    <x v="3"/>
    <n v="0"/>
    <x v="10"/>
  </r>
  <r>
    <x v="1"/>
    <x v="0"/>
    <x v="23"/>
    <x v="4"/>
    <n v="0"/>
    <x v="10"/>
  </r>
  <r>
    <x v="1"/>
    <x v="0"/>
    <x v="24"/>
    <x v="0"/>
    <n v="0"/>
    <x v="10"/>
  </r>
  <r>
    <x v="1"/>
    <x v="0"/>
    <x v="24"/>
    <x v="1"/>
    <n v="0"/>
    <x v="10"/>
  </r>
  <r>
    <x v="1"/>
    <x v="0"/>
    <x v="24"/>
    <x v="2"/>
    <n v="0"/>
    <x v="10"/>
  </r>
  <r>
    <x v="1"/>
    <x v="0"/>
    <x v="24"/>
    <x v="3"/>
    <n v="0"/>
    <x v="10"/>
  </r>
  <r>
    <x v="1"/>
    <x v="0"/>
    <x v="24"/>
    <x v="4"/>
    <n v="0"/>
    <x v="10"/>
  </r>
  <r>
    <x v="1"/>
    <x v="0"/>
    <x v="25"/>
    <x v="0"/>
    <n v="0"/>
    <x v="10"/>
  </r>
  <r>
    <x v="1"/>
    <x v="0"/>
    <x v="25"/>
    <x v="1"/>
    <n v="0"/>
    <x v="10"/>
  </r>
  <r>
    <x v="1"/>
    <x v="0"/>
    <x v="25"/>
    <x v="2"/>
    <n v="0"/>
    <x v="10"/>
  </r>
  <r>
    <x v="1"/>
    <x v="0"/>
    <x v="25"/>
    <x v="3"/>
    <n v="0"/>
    <x v="10"/>
  </r>
  <r>
    <x v="1"/>
    <x v="0"/>
    <x v="25"/>
    <x v="4"/>
    <n v="0"/>
    <x v="10"/>
  </r>
  <r>
    <x v="1"/>
    <x v="0"/>
    <x v="26"/>
    <x v="0"/>
    <n v="0.27"/>
    <x v="10"/>
  </r>
  <r>
    <x v="1"/>
    <x v="0"/>
    <x v="26"/>
    <x v="1"/>
    <n v="8.7999999999999995E-2"/>
    <x v="10"/>
  </r>
  <r>
    <x v="1"/>
    <x v="0"/>
    <x v="26"/>
    <x v="2"/>
    <n v="0.151"/>
    <x v="10"/>
  </r>
  <r>
    <x v="1"/>
    <x v="0"/>
    <x v="26"/>
    <x v="3"/>
    <n v="8.2000000000000003E-2"/>
    <x v="10"/>
  </r>
  <r>
    <x v="1"/>
    <x v="0"/>
    <x v="26"/>
    <x v="4"/>
    <n v="7.6999999999999999E-2"/>
    <x v="10"/>
  </r>
  <r>
    <x v="1"/>
    <x v="0"/>
    <x v="27"/>
    <x v="0"/>
    <n v="1.4E-2"/>
    <x v="10"/>
  </r>
  <r>
    <x v="1"/>
    <x v="0"/>
    <x v="27"/>
    <x v="1"/>
    <n v="1.4999999999999999E-2"/>
    <x v="10"/>
  </r>
  <r>
    <x v="1"/>
    <x v="0"/>
    <x v="27"/>
    <x v="2"/>
    <n v="1.4999999999999999E-2"/>
    <x v="10"/>
  </r>
  <r>
    <x v="1"/>
    <x v="0"/>
    <x v="27"/>
    <x v="3"/>
    <n v="1.6E-2"/>
    <x v="10"/>
  </r>
  <r>
    <x v="1"/>
    <x v="0"/>
    <x v="27"/>
    <x v="4"/>
    <n v="1.4999999999999999E-2"/>
    <x v="10"/>
  </r>
  <r>
    <x v="1"/>
    <x v="0"/>
    <x v="28"/>
    <x v="0"/>
    <n v="0"/>
    <x v="10"/>
  </r>
  <r>
    <x v="1"/>
    <x v="0"/>
    <x v="28"/>
    <x v="1"/>
    <n v="0"/>
    <x v="10"/>
  </r>
  <r>
    <x v="1"/>
    <x v="0"/>
    <x v="28"/>
    <x v="2"/>
    <n v="0"/>
    <x v="10"/>
  </r>
  <r>
    <x v="1"/>
    <x v="0"/>
    <x v="28"/>
    <x v="3"/>
    <n v="0"/>
    <x v="10"/>
  </r>
  <r>
    <x v="1"/>
    <x v="0"/>
    <x v="28"/>
    <x v="4"/>
    <n v="0"/>
    <x v="10"/>
  </r>
  <r>
    <x v="1"/>
    <x v="0"/>
    <x v="29"/>
    <x v="0"/>
    <n v="2E-3"/>
    <x v="10"/>
  </r>
  <r>
    <x v="1"/>
    <x v="0"/>
    <x v="29"/>
    <x v="1"/>
    <n v="1.7000000000000001E-2"/>
    <x v="10"/>
  </r>
  <r>
    <x v="1"/>
    <x v="0"/>
    <x v="29"/>
    <x v="2"/>
    <n v="3.6999999999999998E-2"/>
    <x v="10"/>
  </r>
  <r>
    <x v="1"/>
    <x v="0"/>
    <x v="29"/>
    <x v="3"/>
    <n v="5.1999999999999998E-2"/>
    <x v="10"/>
  </r>
  <r>
    <x v="1"/>
    <x v="0"/>
    <x v="29"/>
    <x v="4"/>
    <n v="0.02"/>
    <x v="10"/>
  </r>
  <r>
    <x v="1"/>
    <x v="0"/>
    <x v="30"/>
    <x v="0"/>
    <n v="0"/>
    <x v="10"/>
  </r>
  <r>
    <x v="1"/>
    <x v="0"/>
    <x v="30"/>
    <x v="1"/>
    <n v="0"/>
    <x v="10"/>
  </r>
  <r>
    <x v="1"/>
    <x v="0"/>
    <x v="30"/>
    <x v="2"/>
    <n v="0"/>
    <x v="10"/>
  </r>
  <r>
    <x v="1"/>
    <x v="0"/>
    <x v="30"/>
    <x v="3"/>
    <n v="0"/>
    <x v="10"/>
  </r>
  <r>
    <x v="1"/>
    <x v="0"/>
    <x v="30"/>
    <x v="4"/>
    <n v="0"/>
    <x v="10"/>
  </r>
  <r>
    <x v="1"/>
    <x v="0"/>
    <x v="31"/>
    <x v="0"/>
    <n v="0.19500000000000001"/>
    <x v="10"/>
  </r>
  <r>
    <x v="1"/>
    <x v="0"/>
    <x v="31"/>
    <x v="1"/>
    <n v="0.35299999999999998"/>
    <x v="10"/>
  </r>
  <r>
    <x v="1"/>
    <x v="0"/>
    <x v="31"/>
    <x v="2"/>
    <n v="0.26600000000000001"/>
    <x v="10"/>
  </r>
  <r>
    <x v="1"/>
    <x v="0"/>
    <x v="31"/>
    <x v="3"/>
    <n v="0.42699999999999999"/>
    <x v="10"/>
  </r>
  <r>
    <x v="1"/>
    <x v="0"/>
    <x v="31"/>
    <x v="4"/>
    <n v="0.46800000000000003"/>
    <x v="10"/>
  </r>
  <r>
    <x v="1"/>
    <x v="0"/>
    <x v="32"/>
    <x v="0"/>
    <n v="0"/>
    <x v="10"/>
  </r>
  <r>
    <x v="1"/>
    <x v="0"/>
    <x v="32"/>
    <x v="1"/>
    <n v="0"/>
    <x v="10"/>
  </r>
  <r>
    <x v="1"/>
    <x v="0"/>
    <x v="32"/>
    <x v="2"/>
    <n v="0"/>
    <x v="10"/>
  </r>
  <r>
    <x v="1"/>
    <x v="0"/>
    <x v="32"/>
    <x v="3"/>
    <n v="0"/>
    <x v="10"/>
  </r>
  <r>
    <x v="1"/>
    <x v="0"/>
    <x v="32"/>
    <x v="4"/>
    <n v="0"/>
    <x v="10"/>
  </r>
  <r>
    <x v="1"/>
    <x v="0"/>
    <x v="33"/>
    <x v="0"/>
    <n v="0"/>
    <x v="10"/>
  </r>
  <r>
    <x v="1"/>
    <x v="0"/>
    <x v="33"/>
    <x v="1"/>
    <n v="0"/>
    <x v="10"/>
  </r>
  <r>
    <x v="1"/>
    <x v="0"/>
    <x v="33"/>
    <x v="2"/>
    <n v="0"/>
    <x v="10"/>
  </r>
  <r>
    <x v="1"/>
    <x v="0"/>
    <x v="33"/>
    <x v="3"/>
    <n v="4.8000000000000001E-2"/>
    <x v="10"/>
  </r>
  <r>
    <x v="1"/>
    <x v="0"/>
    <x v="33"/>
    <x v="4"/>
    <n v="0.03"/>
    <x v="10"/>
  </r>
  <r>
    <x v="1"/>
    <x v="0"/>
    <x v="34"/>
    <x v="0"/>
    <n v="0"/>
    <x v="10"/>
  </r>
  <r>
    <x v="1"/>
    <x v="0"/>
    <x v="34"/>
    <x v="1"/>
    <n v="0"/>
    <x v="10"/>
  </r>
  <r>
    <x v="1"/>
    <x v="0"/>
    <x v="34"/>
    <x v="2"/>
    <n v="0"/>
    <x v="10"/>
  </r>
  <r>
    <x v="1"/>
    <x v="0"/>
    <x v="34"/>
    <x v="3"/>
    <n v="0"/>
    <x v="10"/>
  </r>
  <r>
    <x v="1"/>
    <x v="0"/>
    <x v="34"/>
    <x v="4"/>
    <n v="0"/>
    <x v="10"/>
  </r>
  <r>
    <x v="1"/>
    <x v="0"/>
    <x v="35"/>
    <x v="0"/>
    <n v="0"/>
    <x v="10"/>
  </r>
  <r>
    <x v="1"/>
    <x v="0"/>
    <x v="35"/>
    <x v="1"/>
    <n v="0"/>
    <x v="10"/>
  </r>
  <r>
    <x v="1"/>
    <x v="0"/>
    <x v="35"/>
    <x v="2"/>
    <n v="0"/>
    <x v="10"/>
  </r>
  <r>
    <x v="1"/>
    <x v="0"/>
    <x v="35"/>
    <x v="3"/>
    <n v="0"/>
    <x v="10"/>
  </r>
  <r>
    <x v="1"/>
    <x v="0"/>
    <x v="35"/>
    <x v="4"/>
    <n v="0"/>
    <x v="10"/>
  </r>
  <r>
    <x v="1"/>
    <x v="0"/>
    <x v="36"/>
    <x v="0"/>
    <n v="0"/>
    <x v="10"/>
  </r>
  <r>
    <x v="1"/>
    <x v="0"/>
    <x v="36"/>
    <x v="1"/>
    <n v="0"/>
    <x v="10"/>
  </r>
  <r>
    <x v="1"/>
    <x v="0"/>
    <x v="36"/>
    <x v="2"/>
    <n v="0"/>
    <x v="10"/>
  </r>
  <r>
    <x v="1"/>
    <x v="0"/>
    <x v="36"/>
    <x v="3"/>
    <n v="0"/>
    <x v="10"/>
  </r>
  <r>
    <x v="1"/>
    <x v="0"/>
    <x v="36"/>
    <x v="4"/>
    <n v="0"/>
    <x v="10"/>
  </r>
  <r>
    <x v="1"/>
    <x v="0"/>
    <x v="37"/>
    <x v="0"/>
    <n v="0"/>
    <x v="10"/>
  </r>
  <r>
    <x v="1"/>
    <x v="0"/>
    <x v="37"/>
    <x v="1"/>
    <n v="0"/>
    <x v="10"/>
  </r>
  <r>
    <x v="1"/>
    <x v="0"/>
    <x v="37"/>
    <x v="2"/>
    <n v="0"/>
    <x v="10"/>
  </r>
  <r>
    <x v="1"/>
    <x v="0"/>
    <x v="37"/>
    <x v="3"/>
    <n v="0"/>
    <x v="10"/>
  </r>
  <r>
    <x v="1"/>
    <x v="0"/>
    <x v="37"/>
    <x v="4"/>
    <n v="0"/>
    <x v="10"/>
  </r>
  <r>
    <x v="1"/>
    <x v="0"/>
    <x v="0"/>
    <x v="0"/>
    <n v="0"/>
    <x v="11"/>
  </r>
  <r>
    <x v="1"/>
    <x v="0"/>
    <x v="0"/>
    <x v="1"/>
    <n v="0"/>
    <x v="11"/>
  </r>
  <r>
    <x v="1"/>
    <x v="0"/>
    <x v="0"/>
    <x v="2"/>
    <n v="0"/>
    <x v="11"/>
  </r>
  <r>
    <x v="1"/>
    <x v="0"/>
    <x v="0"/>
    <x v="3"/>
    <n v="0"/>
    <x v="11"/>
  </r>
  <r>
    <x v="1"/>
    <x v="0"/>
    <x v="0"/>
    <x v="4"/>
    <n v="0"/>
    <x v="11"/>
  </r>
  <r>
    <x v="1"/>
    <x v="0"/>
    <x v="1"/>
    <x v="0"/>
    <n v="0.83099999999999996"/>
    <x v="11"/>
  </r>
  <r>
    <x v="1"/>
    <x v="0"/>
    <x v="1"/>
    <x v="1"/>
    <n v="0.82499999999999996"/>
    <x v="11"/>
  </r>
  <r>
    <x v="1"/>
    <x v="0"/>
    <x v="1"/>
    <x v="2"/>
    <n v="0.85299999999999998"/>
    <x v="11"/>
  </r>
  <r>
    <x v="1"/>
    <x v="0"/>
    <x v="1"/>
    <x v="3"/>
    <n v="0.77500000000000002"/>
    <x v="11"/>
  </r>
  <r>
    <x v="1"/>
    <x v="0"/>
    <x v="1"/>
    <x v="4"/>
    <n v="0.71199999999999997"/>
    <x v="11"/>
  </r>
  <r>
    <x v="1"/>
    <x v="0"/>
    <x v="2"/>
    <x v="0"/>
    <n v="0.17199999999999999"/>
    <x v="11"/>
  </r>
  <r>
    <x v="1"/>
    <x v="0"/>
    <x v="2"/>
    <x v="1"/>
    <n v="0.17699999999999999"/>
    <x v="11"/>
  </r>
  <r>
    <x v="1"/>
    <x v="0"/>
    <x v="2"/>
    <x v="2"/>
    <n v="0.17699999999999999"/>
    <x v="11"/>
  </r>
  <r>
    <x v="1"/>
    <x v="0"/>
    <x v="2"/>
    <x v="3"/>
    <n v="0"/>
    <x v="11"/>
  </r>
  <r>
    <x v="1"/>
    <x v="0"/>
    <x v="2"/>
    <x v="4"/>
    <n v="0"/>
    <x v="11"/>
  </r>
  <r>
    <x v="1"/>
    <x v="0"/>
    <x v="3"/>
    <x v="0"/>
    <n v="0"/>
    <x v="11"/>
  </r>
  <r>
    <x v="1"/>
    <x v="0"/>
    <x v="3"/>
    <x v="1"/>
    <n v="0"/>
    <x v="11"/>
  </r>
  <r>
    <x v="1"/>
    <x v="0"/>
    <x v="3"/>
    <x v="2"/>
    <n v="0"/>
    <x v="11"/>
  </r>
  <r>
    <x v="1"/>
    <x v="0"/>
    <x v="3"/>
    <x v="3"/>
    <n v="0"/>
    <x v="11"/>
  </r>
  <r>
    <x v="1"/>
    <x v="0"/>
    <x v="3"/>
    <x v="4"/>
    <n v="0"/>
    <x v="11"/>
  </r>
  <r>
    <x v="1"/>
    <x v="0"/>
    <x v="4"/>
    <x v="0"/>
    <n v="0"/>
    <x v="11"/>
  </r>
  <r>
    <x v="1"/>
    <x v="0"/>
    <x v="4"/>
    <x v="1"/>
    <n v="0"/>
    <x v="11"/>
  </r>
  <r>
    <x v="1"/>
    <x v="0"/>
    <x v="4"/>
    <x v="2"/>
    <n v="0"/>
    <x v="11"/>
  </r>
  <r>
    <x v="1"/>
    <x v="0"/>
    <x v="4"/>
    <x v="3"/>
    <n v="0"/>
    <x v="11"/>
  </r>
  <r>
    <x v="1"/>
    <x v="0"/>
    <x v="4"/>
    <x v="4"/>
    <n v="0"/>
    <x v="11"/>
  </r>
  <r>
    <x v="1"/>
    <x v="0"/>
    <x v="5"/>
    <x v="0"/>
    <n v="0"/>
    <x v="11"/>
  </r>
  <r>
    <x v="1"/>
    <x v="0"/>
    <x v="5"/>
    <x v="1"/>
    <n v="0"/>
    <x v="11"/>
  </r>
  <r>
    <x v="1"/>
    <x v="0"/>
    <x v="5"/>
    <x v="2"/>
    <n v="0"/>
    <x v="11"/>
  </r>
  <r>
    <x v="1"/>
    <x v="0"/>
    <x v="5"/>
    <x v="3"/>
    <n v="0"/>
    <x v="11"/>
  </r>
  <r>
    <x v="1"/>
    <x v="0"/>
    <x v="5"/>
    <x v="4"/>
    <n v="0"/>
    <x v="11"/>
  </r>
  <r>
    <x v="1"/>
    <x v="0"/>
    <x v="6"/>
    <x v="0"/>
    <n v="17.109000000000002"/>
    <x v="11"/>
  </r>
  <r>
    <x v="1"/>
    <x v="0"/>
    <x v="6"/>
    <x v="1"/>
    <n v="18.574999999999999"/>
    <x v="11"/>
  </r>
  <r>
    <x v="1"/>
    <x v="0"/>
    <x v="6"/>
    <x v="2"/>
    <n v="21.402999999999999"/>
    <x v="11"/>
  </r>
  <r>
    <x v="1"/>
    <x v="0"/>
    <x v="6"/>
    <x v="3"/>
    <n v="19.082999999999998"/>
    <x v="11"/>
  </r>
  <r>
    <x v="1"/>
    <x v="0"/>
    <x v="6"/>
    <x v="4"/>
    <n v="16.995999999999999"/>
    <x v="11"/>
  </r>
  <r>
    <x v="1"/>
    <x v="0"/>
    <x v="7"/>
    <x v="0"/>
    <n v="1.653"/>
    <x v="11"/>
  </r>
  <r>
    <x v="1"/>
    <x v="0"/>
    <x v="7"/>
    <x v="1"/>
    <n v="1.7509999999999999"/>
    <x v="11"/>
  </r>
  <r>
    <x v="1"/>
    <x v="0"/>
    <x v="7"/>
    <x v="2"/>
    <n v="1.6859999999999999"/>
    <x v="11"/>
  </r>
  <r>
    <x v="1"/>
    <x v="0"/>
    <x v="7"/>
    <x v="3"/>
    <n v="1.92"/>
    <x v="11"/>
  </r>
  <r>
    <x v="1"/>
    <x v="0"/>
    <x v="7"/>
    <x v="4"/>
    <n v="1.85"/>
    <x v="11"/>
  </r>
  <r>
    <x v="1"/>
    <x v="0"/>
    <x v="8"/>
    <x v="0"/>
    <n v="0"/>
    <x v="11"/>
  </r>
  <r>
    <x v="1"/>
    <x v="0"/>
    <x v="8"/>
    <x v="1"/>
    <n v="0"/>
    <x v="11"/>
  </r>
  <r>
    <x v="1"/>
    <x v="0"/>
    <x v="8"/>
    <x v="2"/>
    <n v="0"/>
    <x v="11"/>
  </r>
  <r>
    <x v="1"/>
    <x v="0"/>
    <x v="8"/>
    <x v="3"/>
    <n v="0"/>
    <x v="11"/>
  </r>
  <r>
    <x v="1"/>
    <x v="0"/>
    <x v="8"/>
    <x v="4"/>
    <n v="0"/>
    <x v="11"/>
  </r>
  <r>
    <x v="1"/>
    <x v="0"/>
    <x v="9"/>
    <x v="0"/>
    <n v="0"/>
    <x v="11"/>
  </r>
  <r>
    <x v="1"/>
    <x v="0"/>
    <x v="9"/>
    <x v="1"/>
    <n v="0"/>
    <x v="11"/>
  </r>
  <r>
    <x v="1"/>
    <x v="0"/>
    <x v="9"/>
    <x v="2"/>
    <n v="0"/>
    <x v="11"/>
  </r>
  <r>
    <x v="1"/>
    <x v="0"/>
    <x v="9"/>
    <x v="3"/>
    <n v="0"/>
    <x v="11"/>
  </r>
  <r>
    <x v="1"/>
    <x v="0"/>
    <x v="9"/>
    <x v="4"/>
    <n v="0"/>
    <x v="11"/>
  </r>
  <r>
    <x v="1"/>
    <x v="0"/>
    <x v="10"/>
    <x v="0"/>
    <n v="0"/>
    <x v="11"/>
  </r>
  <r>
    <x v="1"/>
    <x v="0"/>
    <x v="10"/>
    <x v="1"/>
    <n v="0"/>
    <x v="11"/>
  </r>
  <r>
    <x v="1"/>
    <x v="0"/>
    <x v="10"/>
    <x v="2"/>
    <n v="0"/>
    <x v="11"/>
  </r>
  <r>
    <x v="1"/>
    <x v="0"/>
    <x v="10"/>
    <x v="3"/>
    <n v="0"/>
    <x v="11"/>
  </r>
  <r>
    <x v="1"/>
    <x v="0"/>
    <x v="10"/>
    <x v="4"/>
    <n v="0"/>
    <x v="11"/>
  </r>
  <r>
    <x v="1"/>
    <x v="0"/>
    <x v="11"/>
    <x v="0"/>
    <n v="0.69099999999999995"/>
    <x v="11"/>
  </r>
  <r>
    <x v="1"/>
    <x v="0"/>
    <x v="11"/>
    <x v="1"/>
    <n v="0.32200000000000001"/>
    <x v="11"/>
  </r>
  <r>
    <x v="1"/>
    <x v="0"/>
    <x v="11"/>
    <x v="2"/>
    <n v="0.55300000000000005"/>
    <x v="11"/>
  </r>
  <r>
    <x v="1"/>
    <x v="0"/>
    <x v="11"/>
    <x v="3"/>
    <n v="0.45700000000000002"/>
    <x v="11"/>
  </r>
  <r>
    <x v="1"/>
    <x v="0"/>
    <x v="11"/>
    <x v="4"/>
    <n v="0.61799999999999999"/>
    <x v="11"/>
  </r>
  <r>
    <x v="1"/>
    <x v="0"/>
    <x v="12"/>
    <x v="0"/>
    <n v="4.6710000000000003"/>
    <x v="11"/>
  </r>
  <r>
    <x v="1"/>
    <x v="0"/>
    <x v="12"/>
    <x v="1"/>
    <n v="4.6710000000000003"/>
    <x v="11"/>
  </r>
  <r>
    <x v="1"/>
    <x v="0"/>
    <x v="12"/>
    <x v="2"/>
    <n v="5.1529999999999996"/>
    <x v="11"/>
  </r>
  <r>
    <x v="1"/>
    <x v="0"/>
    <x v="12"/>
    <x v="3"/>
    <n v="3.6389999999999998"/>
    <x v="11"/>
  </r>
  <r>
    <x v="1"/>
    <x v="0"/>
    <x v="12"/>
    <x v="4"/>
    <n v="6.9089999999999998"/>
    <x v="11"/>
  </r>
  <r>
    <x v="1"/>
    <x v="0"/>
    <x v="13"/>
    <x v="0"/>
    <n v="0"/>
    <x v="11"/>
  </r>
  <r>
    <x v="1"/>
    <x v="0"/>
    <x v="13"/>
    <x v="1"/>
    <n v="0"/>
    <x v="11"/>
  </r>
  <r>
    <x v="1"/>
    <x v="0"/>
    <x v="13"/>
    <x v="2"/>
    <n v="0"/>
    <x v="11"/>
  </r>
  <r>
    <x v="1"/>
    <x v="0"/>
    <x v="13"/>
    <x v="3"/>
    <n v="0"/>
    <x v="11"/>
  </r>
  <r>
    <x v="1"/>
    <x v="0"/>
    <x v="13"/>
    <x v="4"/>
    <n v="0"/>
    <x v="11"/>
  </r>
  <r>
    <x v="1"/>
    <x v="0"/>
    <x v="14"/>
    <x v="0"/>
    <n v="0"/>
    <x v="11"/>
  </r>
  <r>
    <x v="1"/>
    <x v="0"/>
    <x v="14"/>
    <x v="1"/>
    <n v="0"/>
    <x v="11"/>
  </r>
  <r>
    <x v="1"/>
    <x v="0"/>
    <x v="14"/>
    <x v="2"/>
    <n v="0"/>
    <x v="11"/>
  </r>
  <r>
    <x v="1"/>
    <x v="0"/>
    <x v="14"/>
    <x v="3"/>
    <n v="0"/>
    <x v="11"/>
  </r>
  <r>
    <x v="1"/>
    <x v="0"/>
    <x v="14"/>
    <x v="4"/>
    <n v="0"/>
    <x v="11"/>
  </r>
  <r>
    <x v="1"/>
    <x v="0"/>
    <x v="15"/>
    <x v="0"/>
    <n v="0"/>
    <x v="11"/>
  </r>
  <r>
    <x v="1"/>
    <x v="0"/>
    <x v="15"/>
    <x v="1"/>
    <n v="0"/>
    <x v="11"/>
  </r>
  <r>
    <x v="1"/>
    <x v="0"/>
    <x v="15"/>
    <x v="2"/>
    <n v="0"/>
    <x v="11"/>
  </r>
  <r>
    <x v="1"/>
    <x v="0"/>
    <x v="15"/>
    <x v="3"/>
    <n v="0"/>
    <x v="11"/>
  </r>
  <r>
    <x v="1"/>
    <x v="0"/>
    <x v="15"/>
    <x v="4"/>
    <n v="0"/>
    <x v="11"/>
  </r>
  <r>
    <x v="1"/>
    <x v="0"/>
    <x v="16"/>
    <x v="0"/>
    <n v="0"/>
    <x v="11"/>
  </r>
  <r>
    <x v="1"/>
    <x v="0"/>
    <x v="16"/>
    <x v="1"/>
    <n v="0"/>
    <x v="11"/>
  </r>
  <r>
    <x v="1"/>
    <x v="0"/>
    <x v="16"/>
    <x v="2"/>
    <n v="0"/>
    <x v="11"/>
  </r>
  <r>
    <x v="1"/>
    <x v="0"/>
    <x v="16"/>
    <x v="3"/>
    <n v="0"/>
    <x v="11"/>
  </r>
  <r>
    <x v="1"/>
    <x v="0"/>
    <x v="16"/>
    <x v="4"/>
    <n v="1.7999999999999999E-2"/>
    <x v="11"/>
  </r>
  <r>
    <x v="1"/>
    <x v="0"/>
    <x v="17"/>
    <x v="0"/>
    <n v="0"/>
    <x v="11"/>
  </r>
  <r>
    <x v="1"/>
    <x v="0"/>
    <x v="17"/>
    <x v="1"/>
    <n v="0"/>
    <x v="11"/>
  </r>
  <r>
    <x v="1"/>
    <x v="0"/>
    <x v="17"/>
    <x v="2"/>
    <n v="0"/>
    <x v="11"/>
  </r>
  <r>
    <x v="1"/>
    <x v="0"/>
    <x v="17"/>
    <x v="3"/>
    <n v="0"/>
    <x v="11"/>
  </r>
  <r>
    <x v="1"/>
    <x v="0"/>
    <x v="17"/>
    <x v="4"/>
    <n v="0"/>
    <x v="11"/>
  </r>
  <r>
    <x v="1"/>
    <x v="0"/>
    <x v="18"/>
    <x v="0"/>
    <n v="0"/>
    <x v="11"/>
  </r>
  <r>
    <x v="1"/>
    <x v="0"/>
    <x v="18"/>
    <x v="1"/>
    <n v="0"/>
    <x v="11"/>
  </r>
  <r>
    <x v="1"/>
    <x v="0"/>
    <x v="18"/>
    <x v="2"/>
    <n v="0"/>
    <x v="11"/>
  </r>
  <r>
    <x v="1"/>
    <x v="0"/>
    <x v="18"/>
    <x v="3"/>
    <n v="0"/>
    <x v="11"/>
  </r>
  <r>
    <x v="1"/>
    <x v="0"/>
    <x v="18"/>
    <x v="4"/>
    <n v="0"/>
    <x v="11"/>
  </r>
  <r>
    <x v="1"/>
    <x v="0"/>
    <x v="19"/>
    <x v="0"/>
    <n v="0"/>
    <x v="11"/>
  </r>
  <r>
    <x v="1"/>
    <x v="0"/>
    <x v="19"/>
    <x v="1"/>
    <n v="0"/>
    <x v="11"/>
  </r>
  <r>
    <x v="1"/>
    <x v="0"/>
    <x v="19"/>
    <x v="2"/>
    <n v="0"/>
    <x v="11"/>
  </r>
  <r>
    <x v="1"/>
    <x v="0"/>
    <x v="19"/>
    <x v="3"/>
    <n v="0"/>
    <x v="11"/>
  </r>
  <r>
    <x v="1"/>
    <x v="0"/>
    <x v="19"/>
    <x v="4"/>
    <n v="0"/>
    <x v="11"/>
  </r>
  <r>
    <x v="1"/>
    <x v="0"/>
    <x v="20"/>
    <x v="0"/>
    <n v="0"/>
    <x v="11"/>
  </r>
  <r>
    <x v="1"/>
    <x v="0"/>
    <x v="20"/>
    <x v="1"/>
    <n v="0"/>
    <x v="11"/>
  </r>
  <r>
    <x v="1"/>
    <x v="0"/>
    <x v="20"/>
    <x v="2"/>
    <n v="0"/>
    <x v="11"/>
  </r>
  <r>
    <x v="1"/>
    <x v="0"/>
    <x v="20"/>
    <x v="3"/>
    <n v="0"/>
    <x v="11"/>
  </r>
  <r>
    <x v="1"/>
    <x v="0"/>
    <x v="20"/>
    <x v="4"/>
    <n v="0"/>
    <x v="11"/>
  </r>
  <r>
    <x v="1"/>
    <x v="0"/>
    <x v="21"/>
    <x v="0"/>
    <n v="0"/>
    <x v="11"/>
  </r>
  <r>
    <x v="1"/>
    <x v="0"/>
    <x v="21"/>
    <x v="1"/>
    <n v="0"/>
    <x v="11"/>
  </r>
  <r>
    <x v="1"/>
    <x v="0"/>
    <x v="21"/>
    <x v="2"/>
    <n v="0"/>
    <x v="11"/>
  </r>
  <r>
    <x v="1"/>
    <x v="0"/>
    <x v="21"/>
    <x v="3"/>
    <n v="0"/>
    <x v="11"/>
  </r>
  <r>
    <x v="1"/>
    <x v="0"/>
    <x v="21"/>
    <x v="4"/>
    <n v="0"/>
    <x v="11"/>
  </r>
  <r>
    <x v="1"/>
    <x v="0"/>
    <x v="22"/>
    <x v="0"/>
    <n v="0"/>
    <x v="11"/>
  </r>
  <r>
    <x v="1"/>
    <x v="0"/>
    <x v="22"/>
    <x v="1"/>
    <n v="0"/>
    <x v="11"/>
  </r>
  <r>
    <x v="1"/>
    <x v="0"/>
    <x v="22"/>
    <x v="2"/>
    <n v="0"/>
    <x v="11"/>
  </r>
  <r>
    <x v="1"/>
    <x v="0"/>
    <x v="22"/>
    <x v="3"/>
    <n v="0"/>
    <x v="11"/>
  </r>
  <r>
    <x v="1"/>
    <x v="0"/>
    <x v="22"/>
    <x v="4"/>
    <n v="0"/>
    <x v="11"/>
  </r>
  <r>
    <x v="1"/>
    <x v="0"/>
    <x v="23"/>
    <x v="0"/>
    <n v="0"/>
    <x v="11"/>
  </r>
  <r>
    <x v="1"/>
    <x v="0"/>
    <x v="23"/>
    <x v="1"/>
    <n v="0"/>
    <x v="11"/>
  </r>
  <r>
    <x v="1"/>
    <x v="0"/>
    <x v="23"/>
    <x v="2"/>
    <n v="0"/>
    <x v="11"/>
  </r>
  <r>
    <x v="1"/>
    <x v="0"/>
    <x v="23"/>
    <x v="3"/>
    <n v="0"/>
    <x v="11"/>
  </r>
  <r>
    <x v="1"/>
    <x v="0"/>
    <x v="23"/>
    <x v="4"/>
    <n v="0"/>
    <x v="11"/>
  </r>
  <r>
    <x v="1"/>
    <x v="0"/>
    <x v="24"/>
    <x v="0"/>
    <n v="0"/>
    <x v="11"/>
  </r>
  <r>
    <x v="1"/>
    <x v="0"/>
    <x v="24"/>
    <x v="1"/>
    <n v="0"/>
    <x v="11"/>
  </r>
  <r>
    <x v="1"/>
    <x v="0"/>
    <x v="24"/>
    <x v="2"/>
    <n v="0"/>
    <x v="11"/>
  </r>
  <r>
    <x v="1"/>
    <x v="0"/>
    <x v="24"/>
    <x v="3"/>
    <n v="0"/>
    <x v="11"/>
  </r>
  <r>
    <x v="1"/>
    <x v="0"/>
    <x v="24"/>
    <x v="4"/>
    <n v="0"/>
    <x v="11"/>
  </r>
  <r>
    <x v="1"/>
    <x v="0"/>
    <x v="25"/>
    <x v="0"/>
    <n v="0"/>
    <x v="11"/>
  </r>
  <r>
    <x v="1"/>
    <x v="0"/>
    <x v="25"/>
    <x v="1"/>
    <n v="0"/>
    <x v="11"/>
  </r>
  <r>
    <x v="1"/>
    <x v="0"/>
    <x v="25"/>
    <x v="2"/>
    <n v="0"/>
    <x v="11"/>
  </r>
  <r>
    <x v="1"/>
    <x v="0"/>
    <x v="25"/>
    <x v="3"/>
    <n v="5.3220000000000001"/>
    <x v="11"/>
  </r>
  <r>
    <x v="1"/>
    <x v="0"/>
    <x v="25"/>
    <x v="4"/>
    <n v="5.5229999999999997"/>
    <x v="11"/>
  </r>
  <r>
    <x v="1"/>
    <x v="0"/>
    <x v="26"/>
    <x v="0"/>
    <n v="2.5430000000000001"/>
    <x v="11"/>
  </r>
  <r>
    <x v="1"/>
    <x v="0"/>
    <x v="26"/>
    <x v="1"/>
    <n v="2.08"/>
    <x v="11"/>
  </r>
  <r>
    <x v="1"/>
    <x v="0"/>
    <x v="26"/>
    <x v="2"/>
    <n v="1.95"/>
    <x v="11"/>
  </r>
  <r>
    <x v="1"/>
    <x v="0"/>
    <x v="26"/>
    <x v="3"/>
    <n v="1.8"/>
    <x v="11"/>
  </r>
  <r>
    <x v="1"/>
    <x v="0"/>
    <x v="26"/>
    <x v="4"/>
    <n v="1.62"/>
    <x v="11"/>
  </r>
  <r>
    <x v="1"/>
    <x v="0"/>
    <x v="27"/>
    <x v="0"/>
    <n v="1.6E-2"/>
    <x v="11"/>
  </r>
  <r>
    <x v="1"/>
    <x v="0"/>
    <x v="27"/>
    <x v="1"/>
    <n v="0"/>
    <x v="11"/>
  </r>
  <r>
    <x v="1"/>
    <x v="0"/>
    <x v="27"/>
    <x v="2"/>
    <n v="0"/>
    <x v="11"/>
  </r>
  <r>
    <x v="1"/>
    <x v="0"/>
    <x v="27"/>
    <x v="3"/>
    <n v="0"/>
    <x v="11"/>
  </r>
  <r>
    <x v="1"/>
    <x v="0"/>
    <x v="27"/>
    <x v="4"/>
    <n v="0"/>
    <x v="11"/>
  </r>
  <r>
    <x v="1"/>
    <x v="0"/>
    <x v="28"/>
    <x v="0"/>
    <n v="0"/>
    <x v="11"/>
  </r>
  <r>
    <x v="1"/>
    <x v="0"/>
    <x v="28"/>
    <x v="1"/>
    <n v="0"/>
    <x v="11"/>
  </r>
  <r>
    <x v="1"/>
    <x v="0"/>
    <x v="28"/>
    <x v="2"/>
    <n v="0"/>
    <x v="11"/>
  </r>
  <r>
    <x v="1"/>
    <x v="0"/>
    <x v="28"/>
    <x v="3"/>
    <n v="0"/>
    <x v="11"/>
  </r>
  <r>
    <x v="1"/>
    <x v="0"/>
    <x v="28"/>
    <x v="4"/>
    <n v="0"/>
    <x v="11"/>
  </r>
  <r>
    <x v="1"/>
    <x v="0"/>
    <x v="29"/>
    <x v="0"/>
    <n v="4.1000000000000002E-2"/>
    <x v="11"/>
  </r>
  <r>
    <x v="1"/>
    <x v="0"/>
    <x v="29"/>
    <x v="1"/>
    <n v="0"/>
    <x v="11"/>
  </r>
  <r>
    <x v="1"/>
    <x v="0"/>
    <x v="29"/>
    <x v="2"/>
    <n v="0"/>
    <x v="11"/>
  </r>
  <r>
    <x v="1"/>
    <x v="0"/>
    <x v="29"/>
    <x v="3"/>
    <n v="0"/>
    <x v="11"/>
  </r>
  <r>
    <x v="1"/>
    <x v="0"/>
    <x v="29"/>
    <x v="4"/>
    <n v="0"/>
    <x v="11"/>
  </r>
  <r>
    <x v="1"/>
    <x v="0"/>
    <x v="30"/>
    <x v="0"/>
    <n v="0"/>
    <x v="11"/>
  </r>
  <r>
    <x v="1"/>
    <x v="0"/>
    <x v="30"/>
    <x v="1"/>
    <n v="0"/>
    <x v="11"/>
  </r>
  <r>
    <x v="1"/>
    <x v="0"/>
    <x v="30"/>
    <x v="2"/>
    <n v="0"/>
    <x v="11"/>
  </r>
  <r>
    <x v="1"/>
    <x v="0"/>
    <x v="30"/>
    <x v="3"/>
    <n v="0"/>
    <x v="11"/>
  </r>
  <r>
    <x v="1"/>
    <x v="0"/>
    <x v="30"/>
    <x v="4"/>
    <n v="0"/>
    <x v="11"/>
  </r>
  <r>
    <x v="1"/>
    <x v="0"/>
    <x v="31"/>
    <x v="0"/>
    <n v="2.0390000000000001"/>
    <x v="11"/>
  </r>
  <r>
    <x v="1"/>
    <x v="0"/>
    <x v="31"/>
    <x v="1"/>
    <n v="2.2429999999999999"/>
    <x v="11"/>
  </r>
  <r>
    <x v="1"/>
    <x v="0"/>
    <x v="31"/>
    <x v="2"/>
    <n v="2.3780000000000001"/>
    <x v="11"/>
  </r>
  <r>
    <x v="1"/>
    <x v="0"/>
    <x v="31"/>
    <x v="3"/>
    <n v="2.4369999999999998"/>
    <x v="11"/>
  </r>
  <r>
    <x v="1"/>
    <x v="0"/>
    <x v="31"/>
    <x v="4"/>
    <n v="4.8"/>
    <x v="11"/>
  </r>
  <r>
    <x v="1"/>
    <x v="0"/>
    <x v="32"/>
    <x v="0"/>
    <n v="0"/>
    <x v="11"/>
  </r>
  <r>
    <x v="1"/>
    <x v="0"/>
    <x v="32"/>
    <x v="1"/>
    <n v="0"/>
    <x v="11"/>
  </r>
  <r>
    <x v="1"/>
    <x v="0"/>
    <x v="32"/>
    <x v="2"/>
    <n v="0"/>
    <x v="11"/>
  </r>
  <r>
    <x v="1"/>
    <x v="0"/>
    <x v="32"/>
    <x v="3"/>
    <n v="0"/>
    <x v="11"/>
  </r>
  <r>
    <x v="1"/>
    <x v="0"/>
    <x v="32"/>
    <x v="4"/>
    <n v="0"/>
    <x v="11"/>
  </r>
  <r>
    <x v="1"/>
    <x v="0"/>
    <x v="33"/>
    <x v="0"/>
    <n v="0"/>
    <x v="11"/>
  </r>
  <r>
    <x v="1"/>
    <x v="0"/>
    <x v="33"/>
    <x v="1"/>
    <n v="4.3999999999999997E-2"/>
    <x v="11"/>
  </r>
  <r>
    <x v="1"/>
    <x v="0"/>
    <x v="33"/>
    <x v="2"/>
    <n v="5.1999999999999998E-2"/>
    <x v="11"/>
  </r>
  <r>
    <x v="1"/>
    <x v="0"/>
    <x v="33"/>
    <x v="3"/>
    <n v="0.06"/>
    <x v="11"/>
  </r>
  <r>
    <x v="1"/>
    <x v="0"/>
    <x v="33"/>
    <x v="4"/>
    <n v="6.7000000000000004E-2"/>
    <x v="11"/>
  </r>
  <r>
    <x v="1"/>
    <x v="0"/>
    <x v="34"/>
    <x v="0"/>
    <n v="0"/>
    <x v="11"/>
  </r>
  <r>
    <x v="1"/>
    <x v="0"/>
    <x v="34"/>
    <x v="1"/>
    <n v="0"/>
    <x v="11"/>
  </r>
  <r>
    <x v="1"/>
    <x v="0"/>
    <x v="34"/>
    <x v="2"/>
    <n v="0"/>
    <x v="11"/>
  </r>
  <r>
    <x v="1"/>
    <x v="0"/>
    <x v="34"/>
    <x v="3"/>
    <n v="0"/>
    <x v="11"/>
  </r>
  <r>
    <x v="1"/>
    <x v="0"/>
    <x v="34"/>
    <x v="4"/>
    <n v="0"/>
    <x v="11"/>
  </r>
  <r>
    <x v="1"/>
    <x v="0"/>
    <x v="35"/>
    <x v="0"/>
    <n v="0"/>
    <x v="11"/>
  </r>
  <r>
    <x v="1"/>
    <x v="0"/>
    <x v="35"/>
    <x v="1"/>
    <n v="0"/>
    <x v="11"/>
  </r>
  <r>
    <x v="1"/>
    <x v="0"/>
    <x v="35"/>
    <x v="2"/>
    <n v="0"/>
    <x v="11"/>
  </r>
  <r>
    <x v="1"/>
    <x v="0"/>
    <x v="35"/>
    <x v="3"/>
    <n v="0"/>
    <x v="11"/>
  </r>
  <r>
    <x v="1"/>
    <x v="0"/>
    <x v="35"/>
    <x v="4"/>
    <n v="0"/>
    <x v="11"/>
  </r>
  <r>
    <x v="1"/>
    <x v="0"/>
    <x v="36"/>
    <x v="0"/>
    <n v="1.355"/>
    <x v="11"/>
  </r>
  <r>
    <x v="1"/>
    <x v="0"/>
    <x v="36"/>
    <x v="1"/>
    <n v="1.1080000000000001"/>
    <x v="11"/>
  </r>
  <r>
    <x v="1"/>
    <x v="0"/>
    <x v="36"/>
    <x v="2"/>
    <n v="1.383"/>
    <x v="11"/>
  </r>
  <r>
    <x v="1"/>
    <x v="0"/>
    <x v="36"/>
    <x v="3"/>
    <n v="1.1879999999999999"/>
    <x v="11"/>
  </r>
  <r>
    <x v="1"/>
    <x v="0"/>
    <x v="36"/>
    <x v="4"/>
    <n v="0.94199999999999995"/>
    <x v="11"/>
  </r>
  <r>
    <x v="1"/>
    <x v="0"/>
    <x v="37"/>
    <x v="0"/>
    <n v="0"/>
    <x v="11"/>
  </r>
  <r>
    <x v="1"/>
    <x v="0"/>
    <x v="37"/>
    <x v="1"/>
    <n v="0"/>
    <x v="11"/>
  </r>
  <r>
    <x v="1"/>
    <x v="0"/>
    <x v="37"/>
    <x v="2"/>
    <n v="0"/>
    <x v="11"/>
  </r>
  <r>
    <x v="1"/>
    <x v="0"/>
    <x v="37"/>
    <x v="3"/>
    <n v="0"/>
    <x v="11"/>
  </r>
  <r>
    <x v="1"/>
    <x v="0"/>
    <x v="37"/>
    <x v="4"/>
    <n v="0"/>
    <x v="11"/>
  </r>
  <r>
    <x v="1"/>
    <x v="0"/>
    <x v="0"/>
    <x v="0"/>
    <n v="0"/>
    <x v="12"/>
  </r>
  <r>
    <x v="1"/>
    <x v="0"/>
    <x v="0"/>
    <x v="1"/>
    <n v="0"/>
    <x v="12"/>
  </r>
  <r>
    <x v="1"/>
    <x v="0"/>
    <x v="0"/>
    <x v="2"/>
    <n v="0"/>
    <x v="12"/>
  </r>
  <r>
    <x v="1"/>
    <x v="0"/>
    <x v="0"/>
    <x v="3"/>
    <n v="0"/>
    <x v="12"/>
  </r>
  <r>
    <x v="1"/>
    <x v="0"/>
    <x v="0"/>
    <x v="4"/>
    <n v="0"/>
    <x v="12"/>
  </r>
  <r>
    <x v="1"/>
    <x v="0"/>
    <x v="1"/>
    <x v="0"/>
    <n v="2.2800000000000001E-2"/>
    <x v="12"/>
  </r>
  <r>
    <x v="1"/>
    <x v="0"/>
    <x v="1"/>
    <x v="1"/>
    <n v="1.18E-2"/>
    <x v="12"/>
  </r>
  <r>
    <x v="1"/>
    <x v="0"/>
    <x v="1"/>
    <x v="2"/>
    <n v="0"/>
    <x v="12"/>
  </r>
  <r>
    <x v="1"/>
    <x v="0"/>
    <x v="1"/>
    <x v="3"/>
    <n v="0"/>
    <x v="12"/>
  </r>
  <r>
    <x v="1"/>
    <x v="0"/>
    <x v="1"/>
    <x v="4"/>
    <n v="1E-4"/>
    <x v="12"/>
  </r>
  <r>
    <x v="1"/>
    <x v="0"/>
    <x v="2"/>
    <x v="0"/>
    <n v="0"/>
    <x v="12"/>
  </r>
  <r>
    <x v="1"/>
    <x v="0"/>
    <x v="2"/>
    <x v="1"/>
    <n v="0"/>
    <x v="12"/>
  </r>
  <r>
    <x v="1"/>
    <x v="0"/>
    <x v="2"/>
    <x v="2"/>
    <n v="0"/>
    <x v="12"/>
  </r>
  <r>
    <x v="1"/>
    <x v="0"/>
    <x v="2"/>
    <x v="3"/>
    <n v="0"/>
    <x v="12"/>
  </r>
  <r>
    <x v="1"/>
    <x v="0"/>
    <x v="2"/>
    <x v="4"/>
    <n v="0"/>
    <x v="12"/>
  </r>
  <r>
    <x v="1"/>
    <x v="0"/>
    <x v="3"/>
    <x v="0"/>
    <n v="0"/>
    <x v="12"/>
  </r>
  <r>
    <x v="1"/>
    <x v="0"/>
    <x v="3"/>
    <x v="1"/>
    <n v="0"/>
    <x v="12"/>
  </r>
  <r>
    <x v="1"/>
    <x v="0"/>
    <x v="3"/>
    <x v="2"/>
    <n v="0"/>
    <x v="12"/>
  </r>
  <r>
    <x v="1"/>
    <x v="0"/>
    <x v="3"/>
    <x v="3"/>
    <n v="0"/>
    <x v="12"/>
  </r>
  <r>
    <x v="1"/>
    <x v="0"/>
    <x v="3"/>
    <x v="4"/>
    <n v="0"/>
    <x v="12"/>
  </r>
  <r>
    <x v="1"/>
    <x v="0"/>
    <x v="4"/>
    <x v="0"/>
    <n v="0"/>
    <x v="12"/>
  </r>
  <r>
    <x v="1"/>
    <x v="0"/>
    <x v="4"/>
    <x v="1"/>
    <n v="0"/>
    <x v="12"/>
  </r>
  <r>
    <x v="1"/>
    <x v="0"/>
    <x v="4"/>
    <x v="2"/>
    <n v="0"/>
    <x v="12"/>
  </r>
  <r>
    <x v="1"/>
    <x v="0"/>
    <x v="4"/>
    <x v="3"/>
    <n v="0"/>
    <x v="12"/>
  </r>
  <r>
    <x v="1"/>
    <x v="0"/>
    <x v="4"/>
    <x v="4"/>
    <n v="0"/>
    <x v="12"/>
  </r>
  <r>
    <x v="1"/>
    <x v="0"/>
    <x v="5"/>
    <x v="0"/>
    <n v="0"/>
    <x v="12"/>
  </r>
  <r>
    <x v="1"/>
    <x v="0"/>
    <x v="5"/>
    <x v="1"/>
    <n v="0"/>
    <x v="12"/>
  </r>
  <r>
    <x v="1"/>
    <x v="0"/>
    <x v="5"/>
    <x v="2"/>
    <n v="0"/>
    <x v="12"/>
  </r>
  <r>
    <x v="1"/>
    <x v="0"/>
    <x v="5"/>
    <x v="3"/>
    <n v="0"/>
    <x v="12"/>
  </r>
  <r>
    <x v="1"/>
    <x v="0"/>
    <x v="5"/>
    <x v="4"/>
    <n v="0"/>
    <x v="12"/>
  </r>
  <r>
    <x v="1"/>
    <x v="0"/>
    <x v="6"/>
    <x v="0"/>
    <n v="2.81E-2"/>
    <x v="12"/>
  </r>
  <r>
    <x v="1"/>
    <x v="0"/>
    <x v="6"/>
    <x v="1"/>
    <n v="2.81E-2"/>
    <x v="12"/>
  </r>
  <r>
    <x v="1"/>
    <x v="0"/>
    <x v="6"/>
    <x v="2"/>
    <n v="5.9999999999999995E-4"/>
    <x v="12"/>
  </r>
  <r>
    <x v="1"/>
    <x v="0"/>
    <x v="6"/>
    <x v="3"/>
    <n v="7.2700000000000001E-2"/>
    <x v="12"/>
  </r>
  <r>
    <x v="1"/>
    <x v="0"/>
    <x v="6"/>
    <x v="4"/>
    <n v="0.2742"/>
    <x v="12"/>
  </r>
  <r>
    <x v="1"/>
    <x v="0"/>
    <x v="7"/>
    <x v="0"/>
    <n v="0.78400000000000003"/>
    <x v="12"/>
  </r>
  <r>
    <x v="1"/>
    <x v="0"/>
    <x v="7"/>
    <x v="1"/>
    <n v="0.82040000000000002"/>
    <x v="12"/>
  </r>
  <r>
    <x v="1"/>
    <x v="0"/>
    <x v="7"/>
    <x v="2"/>
    <n v="0.93"/>
    <x v="12"/>
  </r>
  <r>
    <x v="1"/>
    <x v="0"/>
    <x v="7"/>
    <x v="3"/>
    <n v="0.77529999999999999"/>
    <x v="12"/>
  </r>
  <r>
    <x v="1"/>
    <x v="0"/>
    <x v="7"/>
    <x v="4"/>
    <n v="1.9279999999999999"/>
    <x v="12"/>
  </r>
  <r>
    <x v="1"/>
    <x v="0"/>
    <x v="8"/>
    <x v="0"/>
    <n v="0"/>
    <x v="12"/>
  </r>
  <r>
    <x v="1"/>
    <x v="0"/>
    <x v="8"/>
    <x v="1"/>
    <n v="0"/>
    <x v="12"/>
  </r>
  <r>
    <x v="1"/>
    <x v="0"/>
    <x v="8"/>
    <x v="2"/>
    <n v="0"/>
    <x v="12"/>
  </r>
  <r>
    <x v="1"/>
    <x v="0"/>
    <x v="8"/>
    <x v="3"/>
    <n v="0"/>
    <x v="12"/>
  </r>
  <r>
    <x v="1"/>
    <x v="0"/>
    <x v="8"/>
    <x v="4"/>
    <n v="0"/>
    <x v="12"/>
  </r>
  <r>
    <x v="1"/>
    <x v="0"/>
    <x v="9"/>
    <x v="0"/>
    <n v="0"/>
    <x v="12"/>
  </r>
  <r>
    <x v="1"/>
    <x v="0"/>
    <x v="9"/>
    <x v="1"/>
    <n v="0"/>
    <x v="12"/>
  </r>
  <r>
    <x v="1"/>
    <x v="0"/>
    <x v="9"/>
    <x v="2"/>
    <n v="0"/>
    <x v="12"/>
  </r>
  <r>
    <x v="1"/>
    <x v="0"/>
    <x v="9"/>
    <x v="3"/>
    <n v="0"/>
    <x v="12"/>
  </r>
  <r>
    <x v="1"/>
    <x v="0"/>
    <x v="9"/>
    <x v="4"/>
    <n v="0"/>
    <x v="12"/>
  </r>
  <r>
    <x v="1"/>
    <x v="0"/>
    <x v="10"/>
    <x v="0"/>
    <n v="0"/>
    <x v="12"/>
  </r>
  <r>
    <x v="1"/>
    <x v="0"/>
    <x v="10"/>
    <x v="1"/>
    <n v="0"/>
    <x v="12"/>
  </r>
  <r>
    <x v="1"/>
    <x v="0"/>
    <x v="10"/>
    <x v="2"/>
    <n v="0"/>
    <x v="12"/>
  </r>
  <r>
    <x v="1"/>
    <x v="0"/>
    <x v="10"/>
    <x v="3"/>
    <n v="0"/>
    <x v="12"/>
  </r>
  <r>
    <x v="1"/>
    <x v="0"/>
    <x v="10"/>
    <x v="4"/>
    <n v="0"/>
    <x v="12"/>
  </r>
  <r>
    <x v="1"/>
    <x v="0"/>
    <x v="11"/>
    <x v="0"/>
    <n v="7.4000000000000003E-3"/>
    <x v="12"/>
  </r>
  <r>
    <x v="1"/>
    <x v="0"/>
    <x v="11"/>
    <x v="1"/>
    <n v="2.9999999999999997E-4"/>
    <x v="12"/>
  </r>
  <r>
    <x v="1"/>
    <x v="0"/>
    <x v="11"/>
    <x v="2"/>
    <n v="0"/>
    <x v="12"/>
  </r>
  <r>
    <x v="1"/>
    <x v="0"/>
    <x v="11"/>
    <x v="3"/>
    <n v="0"/>
    <x v="12"/>
  </r>
  <r>
    <x v="1"/>
    <x v="0"/>
    <x v="11"/>
    <x v="4"/>
    <n v="0"/>
    <x v="12"/>
  </r>
  <r>
    <x v="1"/>
    <x v="0"/>
    <x v="12"/>
    <x v="0"/>
    <n v="0"/>
    <x v="12"/>
  </r>
  <r>
    <x v="1"/>
    <x v="0"/>
    <x v="12"/>
    <x v="1"/>
    <n v="0"/>
    <x v="12"/>
  </r>
  <r>
    <x v="1"/>
    <x v="0"/>
    <x v="12"/>
    <x v="2"/>
    <n v="0"/>
    <x v="12"/>
  </r>
  <r>
    <x v="1"/>
    <x v="0"/>
    <x v="12"/>
    <x v="3"/>
    <n v="0"/>
    <x v="12"/>
  </r>
  <r>
    <x v="1"/>
    <x v="0"/>
    <x v="12"/>
    <x v="4"/>
    <n v="0"/>
    <x v="12"/>
  </r>
  <r>
    <x v="1"/>
    <x v="0"/>
    <x v="13"/>
    <x v="0"/>
    <n v="0"/>
    <x v="12"/>
  </r>
  <r>
    <x v="1"/>
    <x v="0"/>
    <x v="13"/>
    <x v="1"/>
    <n v="0"/>
    <x v="12"/>
  </r>
  <r>
    <x v="1"/>
    <x v="0"/>
    <x v="13"/>
    <x v="2"/>
    <n v="0"/>
    <x v="12"/>
  </r>
  <r>
    <x v="1"/>
    <x v="0"/>
    <x v="13"/>
    <x v="3"/>
    <n v="0"/>
    <x v="12"/>
  </r>
  <r>
    <x v="1"/>
    <x v="0"/>
    <x v="13"/>
    <x v="4"/>
    <n v="0"/>
    <x v="12"/>
  </r>
  <r>
    <x v="1"/>
    <x v="0"/>
    <x v="14"/>
    <x v="0"/>
    <n v="0"/>
    <x v="12"/>
  </r>
  <r>
    <x v="1"/>
    <x v="0"/>
    <x v="14"/>
    <x v="1"/>
    <n v="0"/>
    <x v="12"/>
  </r>
  <r>
    <x v="1"/>
    <x v="0"/>
    <x v="14"/>
    <x v="2"/>
    <n v="0"/>
    <x v="12"/>
  </r>
  <r>
    <x v="1"/>
    <x v="0"/>
    <x v="14"/>
    <x v="3"/>
    <n v="0"/>
    <x v="12"/>
  </r>
  <r>
    <x v="1"/>
    <x v="0"/>
    <x v="14"/>
    <x v="4"/>
    <n v="0"/>
    <x v="12"/>
  </r>
  <r>
    <x v="1"/>
    <x v="0"/>
    <x v="15"/>
    <x v="0"/>
    <n v="0"/>
    <x v="12"/>
  </r>
  <r>
    <x v="1"/>
    <x v="0"/>
    <x v="15"/>
    <x v="1"/>
    <n v="0"/>
    <x v="12"/>
  </r>
  <r>
    <x v="1"/>
    <x v="0"/>
    <x v="15"/>
    <x v="2"/>
    <n v="0"/>
    <x v="12"/>
  </r>
  <r>
    <x v="1"/>
    <x v="0"/>
    <x v="15"/>
    <x v="3"/>
    <n v="0"/>
    <x v="12"/>
  </r>
  <r>
    <x v="1"/>
    <x v="0"/>
    <x v="15"/>
    <x v="4"/>
    <n v="0"/>
    <x v="12"/>
  </r>
  <r>
    <x v="1"/>
    <x v="0"/>
    <x v="16"/>
    <x v="0"/>
    <n v="0"/>
    <x v="12"/>
  </r>
  <r>
    <x v="1"/>
    <x v="0"/>
    <x v="16"/>
    <x v="1"/>
    <n v="0"/>
    <x v="12"/>
  </r>
  <r>
    <x v="1"/>
    <x v="0"/>
    <x v="16"/>
    <x v="2"/>
    <n v="0"/>
    <x v="12"/>
  </r>
  <r>
    <x v="1"/>
    <x v="0"/>
    <x v="16"/>
    <x v="3"/>
    <n v="0"/>
    <x v="12"/>
  </r>
  <r>
    <x v="1"/>
    <x v="0"/>
    <x v="16"/>
    <x v="4"/>
    <n v="0"/>
    <x v="12"/>
  </r>
  <r>
    <x v="1"/>
    <x v="0"/>
    <x v="17"/>
    <x v="0"/>
    <n v="1.2699999999999999E-2"/>
    <x v="12"/>
  </r>
  <r>
    <x v="1"/>
    <x v="0"/>
    <x v="17"/>
    <x v="1"/>
    <n v="8.0000000000000004E-4"/>
    <x v="12"/>
  </r>
  <r>
    <x v="1"/>
    <x v="0"/>
    <x v="17"/>
    <x v="2"/>
    <n v="1E-3"/>
    <x v="12"/>
  </r>
  <r>
    <x v="1"/>
    <x v="0"/>
    <x v="17"/>
    <x v="3"/>
    <n v="6.9999999999999999E-4"/>
    <x v="12"/>
  </r>
  <r>
    <x v="1"/>
    <x v="0"/>
    <x v="17"/>
    <x v="4"/>
    <n v="8.9999999999999998E-4"/>
    <x v="12"/>
  </r>
  <r>
    <x v="1"/>
    <x v="0"/>
    <x v="18"/>
    <x v="0"/>
    <n v="0"/>
    <x v="12"/>
  </r>
  <r>
    <x v="1"/>
    <x v="0"/>
    <x v="18"/>
    <x v="1"/>
    <n v="0"/>
    <x v="12"/>
  </r>
  <r>
    <x v="1"/>
    <x v="0"/>
    <x v="18"/>
    <x v="2"/>
    <n v="0"/>
    <x v="12"/>
  </r>
  <r>
    <x v="1"/>
    <x v="0"/>
    <x v="18"/>
    <x v="3"/>
    <n v="0"/>
    <x v="12"/>
  </r>
  <r>
    <x v="1"/>
    <x v="0"/>
    <x v="18"/>
    <x v="4"/>
    <n v="0"/>
    <x v="12"/>
  </r>
  <r>
    <x v="1"/>
    <x v="0"/>
    <x v="19"/>
    <x v="0"/>
    <n v="0"/>
    <x v="12"/>
  </r>
  <r>
    <x v="1"/>
    <x v="0"/>
    <x v="19"/>
    <x v="1"/>
    <n v="0"/>
    <x v="12"/>
  </r>
  <r>
    <x v="1"/>
    <x v="0"/>
    <x v="19"/>
    <x v="2"/>
    <n v="0"/>
    <x v="12"/>
  </r>
  <r>
    <x v="1"/>
    <x v="0"/>
    <x v="19"/>
    <x v="3"/>
    <n v="0"/>
    <x v="12"/>
  </r>
  <r>
    <x v="1"/>
    <x v="0"/>
    <x v="19"/>
    <x v="4"/>
    <n v="0"/>
    <x v="12"/>
  </r>
  <r>
    <x v="1"/>
    <x v="0"/>
    <x v="20"/>
    <x v="0"/>
    <n v="0"/>
    <x v="12"/>
  </r>
  <r>
    <x v="1"/>
    <x v="0"/>
    <x v="20"/>
    <x v="1"/>
    <n v="0"/>
    <x v="12"/>
  </r>
  <r>
    <x v="1"/>
    <x v="0"/>
    <x v="20"/>
    <x v="2"/>
    <n v="0"/>
    <x v="12"/>
  </r>
  <r>
    <x v="1"/>
    <x v="0"/>
    <x v="20"/>
    <x v="3"/>
    <n v="0"/>
    <x v="12"/>
  </r>
  <r>
    <x v="1"/>
    <x v="0"/>
    <x v="20"/>
    <x v="4"/>
    <n v="0"/>
    <x v="12"/>
  </r>
  <r>
    <x v="1"/>
    <x v="0"/>
    <x v="21"/>
    <x v="0"/>
    <n v="0"/>
    <x v="12"/>
  </r>
  <r>
    <x v="1"/>
    <x v="0"/>
    <x v="21"/>
    <x v="1"/>
    <n v="0"/>
    <x v="12"/>
  </r>
  <r>
    <x v="1"/>
    <x v="0"/>
    <x v="21"/>
    <x v="2"/>
    <n v="0"/>
    <x v="12"/>
  </r>
  <r>
    <x v="1"/>
    <x v="0"/>
    <x v="21"/>
    <x v="3"/>
    <n v="0"/>
    <x v="12"/>
  </r>
  <r>
    <x v="1"/>
    <x v="0"/>
    <x v="21"/>
    <x v="4"/>
    <n v="0"/>
    <x v="12"/>
  </r>
  <r>
    <x v="1"/>
    <x v="0"/>
    <x v="22"/>
    <x v="0"/>
    <n v="0"/>
    <x v="12"/>
  </r>
  <r>
    <x v="1"/>
    <x v="0"/>
    <x v="22"/>
    <x v="1"/>
    <n v="0"/>
    <x v="12"/>
  </r>
  <r>
    <x v="1"/>
    <x v="0"/>
    <x v="22"/>
    <x v="2"/>
    <n v="0"/>
    <x v="12"/>
  </r>
  <r>
    <x v="1"/>
    <x v="0"/>
    <x v="22"/>
    <x v="3"/>
    <n v="0"/>
    <x v="12"/>
  </r>
  <r>
    <x v="1"/>
    <x v="0"/>
    <x v="22"/>
    <x v="4"/>
    <n v="0"/>
    <x v="12"/>
  </r>
  <r>
    <x v="1"/>
    <x v="0"/>
    <x v="23"/>
    <x v="0"/>
    <n v="0"/>
    <x v="12"/>
  </r>
  <r>
    <x v="1"/>
    <x v="0"/>
    <x v="23"/>
    <x v="1"/>
    <n v="0"/>
    <x v="12"/>
  </r>
  <r>
    <x v="1"/>
    <x v="0"/>
    <x v="23"/>
    <x v="2"/>
    <n v="0"/>
    <x v="12"/>
  </r>
  <r>
    <x v="1"/>
    <x v="0"/>
    <x v="23"/>
    <x v="3"/>
    <n v="0"/>
    <x v="12"/>
  </r>
  <r>
    <x v="1"/>
    <x v="0"/>
    <x v="23"/>
    <x v="4"/>
    <n v="0"/>
    <x v="12"/>
  </r>
  <r>
    <x v="1"/>
    <x v="0"/>
    <x v="24"/>
    <x v="0"/>
    <n v="0"/>
    <x v="12"/>
  </r>
  <r>
    <x v="1"/>
    <x v="0"/>
    <x v="24"/>
    <x v="1"/>
    <n v="0"/>
    <x v="12"/>
  </r>
  <r>
    <x v="1"/>
    <x v="0"/>
    <x v="24"/>
    <x v="2"/>
    <n v="0"/>
    <x v="12"/>
  </r>
  <r>
    <x v="1"/>
    <x v="0"/>
    <x v="24"/>
    <x v="3"/>
    <n v="0"/>
    <x v="12"/>
  </r>
  <r>
    <x v="1"/>
    <x v="0"/>
    <x v="24"/>
    <x v="4"/>
    <n v="0"/>
    <x v="12"/>
  </r>
  <r>
    <x v="1"/>
    <x v="0"/>
    <x v="25"/>
    <x v="0"/>
    <n v="0"/>
    <x v="12"/>
  </r>
  <r>
    <x v="1"/>
    <x v="0"/>
    <x v="25"/>
    <x v="1"/>
    <n v="0"/>
    <x v="12"/>
  </r>
  <r>
    <x v="1"/>
    <x v="0"/>
    <x v="25"/>
    <x v="2"/>
    <n v="0"/>
    <x v="12"/>
  </r>
  <r>
    <x v="1"/>
    <x v="0"/>
    <x v="25"/>
    <x v="3"/>
    <n v="0"/>
    <x v="12"/>
  </r>
  <r>
    <x v="1"/>
    <x v="0"/>
    <x v="25"/>
    <x v="4"/>
    <n v="0"/>
    <x v="12"/>
  </r>
  <r>
    <x v="1"/>
    <x v="0"/>
    <x v="26"/>
    <x v="0"/>
    <n v="0.1472"/>
    <x v="12"/>
  </r>
  <r>
    <x v="1"/>
    <x v="0"/>
    <x v="26"/>
    <x v="1"/>
    <n v="0.2576"/>
    <x v="12"/>
  </r>
  <r>
    <x v="1"/>
    <x v="0"/>
    <x v="26"/>
    <x v="2"/>
    <n v="0"/>
    <x v="12"/>
  </r>
  <r>
    <x v="1"/>
    <x v="0"/>
    <x v="26"/>
    <x v="3"/>
    <n v="0"/>
    <x v="12"/>
  </r>
  <r>
    <x v="1"/>
    <x v="0"/>
    <x v="26"/>
    <x v="4"/>
    <n v="0"/>
    <x v="12"/>
  </r>
  <r>
    <x v="1"/>
    <x v="0"/>
    <x v="27"/>
    <x v="0"/>
    <n v="0"/>
    <x v="12"/>
  </r>
  <r>
    <x v="1"/>
    <x v="0"/>
    <x v="27"/>
    <x v="1"/>
    <n v="0"/>
    <x v="12"/>
  </r>
  <r>
    <x v="1"/>
    <x v="0"/>
    <x v="27"/>
    <x v="2"/>
    <n v="0"/>
    <x v="12"/>
  </r>
  <r>
    <x v="1"/>
    <x v="0"/>
    <x v="27"/>
    <x v="3"/>
    <n v="0"/>
    <x v="12"/>
  </r>
  <r>
    <x v="1"/>
    <x v="0"/>
    <x v="27"/>
    <x v="4"/>
    <n v="0"/>
    <x v="12"/>
  </r>
  <r>
    <x v="1"/>
    <x v="0"/>
    <x v="28"/>
    <x v="0"/>
    <n v="0"/>
    <x v="12"/>
  </r>
  <r>
    <x v="1"/>
    <x v="0"/>
    <x v="28"/>
    <x v="1"/>
    <n v="0"/>
    <x v="12"/>
  </r>
  <r>
    <x v="1"/>
    <x v="0"/>
    <x v="28"/>
    <x v="2"/>
    <n v="0"/>
    <x v="12"/>
  </r>
  <r>
    <x v="1"/>
    <x v="0"/>
    <x v="28"/>
    <x v="3"/>
    <n v="0"/>
    <x v="12"/>
  </r>
  <r>
    <x v="1"/>
    <x v="0"/>
    <x v="28"/>
    <x v="4"/>
    <n v="0"/>
    <x v="12"/>
  </r>
  <r>
    <x v="1"/>
    <x v="0"/>
    <x v="29"/>
    <x v="0"/>
    <n v="0"/>
    <x v="12"/>
  </r>
  <r>
    <x v="1"/>
    <x v="0"/>
    <x v="29"/>
    <x v="1"/>
    <n v="0"/>
    <x v="12"/>
  </r>
  <r>
    <x v="1"/>
    <x v="0"/>
    <x v="29"/>
    <x v="2"/>
    <n v="0"/>
    <x v="12"/>
  </r>
  <r>
    <x v="1"/>
    <x v="0"/>
    <x v="29"/>
    <x v="3"/>
    <n v="0"/>
    <x v="12"/>
  </r>
  <r>
    <x v="1"/>
    <x v="0"/>
    <x v="29"/>
    <x v="4"/>
    <n v="0"/>
    <x v="12"/>
  </r>
  <r>
    <x v="1"/>
    <x v="0"/>
    <x v="30"/>
    <x v="0"/>
    <n v="0"/>
    <x v="12"/>
  </r>
  <r>
    <x v="1"/>
    <x v="0"/>
    <x v="30"/>
    <x v="1"/>
    <n v="0"/>
    <x v="12"/>
  </r>
  <r>
    <x v="1"/>
    <x v="0"/>
    <x v="30"/>
    <x v="2"/>
    <n v="0"/>
    <x v="12"/>
  </r>
  <r>
    <x v="1"/>
    <x v="0"/>
    <x v="30"/>
    <x v="3"/>
    <n v="0"/>
    <x v="12"/>
  </r>
  <r>
    <x v="1"/>
    <x v="0"/>
    <x v="30"/>
    <x v="4"/>
    <n v="0"/>
    <x v="12"/>
  </r>
  <r>
    <x v="1"/>
    <x v="0"/>
    <x v="31"/>
    <x v="0"/>
    <n v="1.8480000000000001"/>
    <x v="12"/>
  </r>
  <r>
    <x v="1"/>
    <x v="0"/>
    <x v="31"/>
    <x v="1"/>
    <n v="3.234"/>
    <x v="12"/>
  </r>
  <r>
    <x v="1"/>
    <x v="0"/>
    <x v="31"/>
    <x v="2"/>
    <n v="4.4542000000000002"/>
    <x v="12"/>
  </r>
  <r>
    <x v="1"/>
    <x v="0"/>
    <x v="31"/>
    <x v="3"/>
    <n v="3.6120000000000001"/>
    <x v="12"/>
  </r>
  <r>
    <x v="1"/>
    <x v="0"/>
    <x v="31"/>
    <x v="4"/>
    <n v="7.2824"/>
    <x v="12"/>
  </r>
  <r>
    <x v="1"/>
    <x v="0"/>
    <x v="32"/>
    <x v="0"/>
    <n v="0"/>
    <x v="12"/>
  </r>
  <r>
    <x v="1"/>
    <x v="0"/>
    <x v="32"/>
    <x v="1"/>
    <n v="0"/>
    <x v="12"/>
  </r>
  <r>
    <x v="1"/>
    <x v="0"/>
    <x v="32"/>
    <x v="2"/>
    <n v="0"/>
    <x v="12"/>
  </r>
  <r>
    <x v="1"/>
    <x v="0"/>
    <x v="32"/>
    <x v="3"/>
    <n v="0"/>
    <x v="12"/>
  </r>
  <r>
    <x v="1"/>
    <x v="0"/>
    <x v="32"/>
    <x v="4"/>
    <n v="0"/>
    <x v="12"/>
  </r>
  <r>
    <x v="1"/>
    <x v="0"/>
    <x v="33"/>
    <x v="0"/>
    <n v="0"/>
    <x v="12"/>
  </r>
  <r>
    <x v="1"/>
    <x v="0"/>
    <x v="33"/>
    <x v="1"/>
    <n v="0"/>
    <x v="12"/>
  </r>
  <r>
    <x v="1"/>
    <x v="0"/>
    <x v="33"/>
    <x v="2"/>
    <n v="0"/>
    <x v="12"/>
  </r>
  <r>
    <x v="1"/>
    <x v="0"/>
    <x v="33"/>
    <x v="3"/>
    <n v="0"/>
    <x v="12"/>
  </r>
  <r>
    <x v="1"/>
    <x v="0"/>
    <x v="33"/>
    <x v="4"/>
    <n v="0"/>
    <x v="12"/>
  </r>
  <r>
    <x v="1"/>
    <x v="0"/>
    <x v="34"/>
    <x v="0"/>
    <n v="0"/>
    <x v="12"/>
  </r>
  <r>
    <x v="1"/>
    <x v="0"/>
    <x v="34"/>
    <x v="1"/>
    <n v="0"/>
    <x v="12"/>
  </r>
  <r>
    <x v="1"/>
    <x v="0"/>
    <x v="34"/>
    <x v="2"/>
    <n v="0"/>
    <x v="12"/>
  </r>
  <r>
    <x v="1"/>
    <x v="0"/>
    <x v="34"/>
    <x v="3"/>
    <n v="0"/>
    <x v="12"/>
  </r>
  <r>
    <x v="1"/>
    <x v="0"/>
    <x v="34"/>
    <x v="4"/>
    <n v="0"/>
    <x v="12"/>
  </r>
  <r>
    <x v="1"/>
    <x v="0"/>
    <x v="35"/>
    <x v="0"/>
    <n v="0"/>
    <x v="12"/>
  </r>
  <r>
    <x v="1"/>
    <x v="0"/>
    <x v="35"/>
    <x v="1"/>
    <n v="0"/>
    <x v="12"/>
  </r>
  <r>
    <x v="1"/>
    <x v="0"/>
    <x v="35"/>
    <x v="2"/>
    <n v="0"/>
    <x v="12"/>
  </r>
  <r>
    <x v="1"/>
    <x v="0"/>
    <x v="35"/>
    <x v="3"/>
    <n v="0"/>
    <x v="12"/>
  </r>
  <r>
    <x v="1"/>
    <x v="0"/>
    <x v="35"/>
    <x v="4"/>
    <n v="0"/>
    <x v="12"/>
  </r>
  <r>
    <x v="1"/>
    <x v="0"/>
    <x v="36"/>
    <x v="0"/>
    <n v="0"/>
    <x v="12"/>
  </r>
  <r>
    <x v="1"/>
    <x v="0"/>
    <x v="36"/>
    <x v="1"/>
    <n v="0"/>
    <x v="12"/>
  </r>
  <r>
    <x v="1"/>
    <x v="0"/>
    <x v="36"/>
    <x v="2"/>
    <n v="0"/>
    <x v="12"/>
  </r>
  <r>
    <x v="1"/>
    <x v="0"/>
    <x v="36"/>
    <x v="3"/>
    <n v="0"/>
    <x v="12"/>
  </r>
  <r>
    <x v="1"/>
    <x v="0"/>
    <x v="36"/>
    <x v="4"/>
    <n v="0"/>
    <x v="12"/>
  </r>
  <r>
    <x v="1"/>
    <x v="0"/>
    <x v="37"/>
    <x v="0"/>
    <n v="0"/>
    <x v="12"/>
  </r>
  <r>
    <x v="1"/>
    <x v="0"/>
    <x v="37"/>
    <x v="1"/>
    <n v="0"/>
    <x v="12"/>
  </r>
  <r>
    <x v="1"/>
    <x v="0"/>
    <x v="37"/>
    <x v="2"/>
    <n v="0"/>
    <x v="12"/>
  </r>
  <r>
    <x v="1"/>
    <x v="0"/>
    <x v="37"/>
    <x v="3"/>
    <n v="0"/>
    <x v="12"/>
  </r>
  <r>
    <x v="1"/>
    <x v="0"/>
    <x v="37"/>
    <x v="4"/>
    <n v="0"/>
    <x v="12"/>
  </r>
  <r>
    <x v="1"/>
    <x v="0"/>
    <x v="0"/>
    <x v="0"/>
    <n v="0"/>
    <x v="13"/>
  </r>
  <r>
    <x v="1"/>
    <x v="0"/>
    <x v="0"/>
    <x v="1"/>
    <n v="0"/>
    <x v="13"/>
  </r>
  <r>
    <x v="1"/>
    <x v="0"/>
    <x v="0"/>
    <x v="2"/>
    <n v="0"/>
    <x v="13"/>
  </r>
  <r>
    <x v="1"/>
    <x v="0"/>
    <x v="0"/>
    <x v="3"/>
    <n v="0"/>
    <x v="13"/>
  </r>
  <r>
    <x v="1"/>
    <x v="0"/>
    <x v="0"/>
    <x v="4"/>
    <n v="0"/>
    <x v="13"/>
  </r>
  <r>
    <x v="1"/>
    <x v="0"/>
    <x v="1"/>
    <x v="0"/>
    <n v="0"/>
    <x v="13"/>
  </r>
  <r>
    <x v="1"/>
    <x v="0"/>
    <x v="1"/>
    <x v="1"/>
    <n v="0"/>
    <x v="13"/>
  </r>
  <r>
    <x v="1"/>
    <x v="0"/>
    <x v="1"/>
    <x v="2"/>
    <n v="0"/>
    <x v="13"/>
  </r>
  <r>
    <x v="1"/>
    <x v="0"/>
    <x v="1"/>
    <x v="3"/>
    <n v="0"/>
    <x v="13"/>
  </r>
  <r>
    <x v="1"/>
    <x v="0"/>
    <x v="1"/>
    <x v="4"/>
    <n v="0"/>
    <x v="13"/>
  </r>
  <r>
    <x v="1"/>
    <x v="0"/>
    <x v="2"/>
    <x v="0"/>
    <n v="0"/>
    <x v="13"/>
  </r>
  <r>
    <x v="1"/>
    <x v="0"/>
    <x v="2"/>
    <x v="1"/>
    <n v="0"/>
    <x v="13"/>
  </r>
  <r>
    <x v="1"/>
    <x v="0"/>
    <x v="2"/>
    <x v="2"/>
    <n v="0"/>
    <x v="13"/>
  </r>
  <r>
    <x v="1"/>
    <x v="0"/>
    <x v="2"/>
    <x v="3"/>
    <n v="0"/>
    <x v="13"/>
  </r>
  <r>
    <x v="1"/>
    <x v="0"/>
    <x v="2"/>
    <x v="4"/>
    <n v="0"/>
    <x v="13"/>
  </r>
  <r>
    <x v="1"/>
    <x v="0"/>
    <x v="3"/>
    <x v="0"/>
    <n v="0"/>
    <x v="13"/>
  </r>
  <r>
    <x v="1"/>
    <x v="0"/>
    <x v="3"/>
    <x v="1"/>
    <n v="0"/>
    <x v="13"/>
  </r>
  <r>
    <x v="1"/>
    <x v="0"/>
    <x v="3"/>
    <x v="2"/>
    <n v="0"/>
    <x v="13"/>
  </r>
  <r>
    <x v="1"/>
    <x v="0"/>
    <x v="3"/>
    <x v="3"/>
    <n v="0"/>
    <x v="13"/>
  </r>
  <r>
    <x v="1"/>
    <x v="0"/>
    <x v="3"/>
    <x v="4"/>
    <n v="0"/>
    <x v="13"/>
  </r>
  <r>
    <x v="1"/>
    <x v="0"/>
    <x v="4"/>
    <x v="0"/>
    <n v="0"/>
    <x v="13"/>
  </r>
  <r>
    <x v="1"/>
    <x v="0"/>
    <x v="4"/>
    <x v="1"/>
    <n v="0"/>
    <x v="13"/>
  </r>
  <r>
    <x v="1"/>
    <x v="0"/>
    <x v="4"/>
    <x v="2"/>
    <n v="0"/>
    <x v="13"/>
  </r>
  <r>
    <x v="1"/>
    <x v="0"/>
    <x v="4"/>
    <x v="3"/>
    <n v="0"/>
    <x v="13"/>
  </r>
  <r>
    <x v="1"/>
    <x v="0"/>
    <x v="4"/>
    <x v="4"/>
    <n v="0"/>
    <x v="13"/>
  </r>
  <r>
    <x v="1"/>
    <x v="0"/>
    <x v="5"/>
    <x v="0"/>
    <n v="0"/>
    <x v="13"/>
  </r>
  <r>
    <x v="1"/>
    <x v="0"/>
    <x v="5"/>
    <x v="1"/>
    <n v="0"/>
    <x v="13"/>
  </r>
  <r>
    <x v="1"/>
    <x v="0"/>
    <x v="5"/>
    <x v="2"/>
    <n v="0"/>
    <x v="13"/>
  </r>
  <r>
    <x v="1"/>
    <x v="0"/>
    <x v="5"/>
    <x v="3"/>
    <n v="0"/>
    <x v="13"/>
  </r>
  <r>
    <x v="1"/>
    <x v="0"/>
    <x v="5"/>
    <x v="4"/>
    <n v="0"/>
    <x v="13"/>
  </r>
  <r>
    <x v="1"/>
    <x v="0"/>
    <x v="6"/>
    <x v="0"/>
    <n v="0"/>
    <x v="13"/>
  </r>
  <r>
    <x v="1"/>
    <x v="0"/>
    <x v="6"/>
    <x v="1"/>
    <n v="0"/>
    <x v="13"/>
  </r>
  <r>
    <x v="1"/>
    <x v="0"/>
    <x v="6"/>
    <x v="2"/>
    <n v="0"/>
    <x v="13"/>
  </r>
  <r>
    <x v="1"/>
    <x v="0"/>
    <x v="6"/>
    <x v="3"/>
    <n v="0"/>
    <x v="13"/>
  </r>
  <r>
    <x v="1"/>
    <x v="0"/>
    <x v="6"/>
    <x v="4"/>
    <n v="0"/>
    <x v="13"/>
  </r>
  <r>
    <x v="1"/>
    <x v="0"/>
    <x v="7"/>
    <x v="0"/>
    <n v="0"/>
    <x v="13"/>
  </r>
  <r>
    <x v="1"/>
    <x v="0"/>
    <x v="7"/>
    <x v="1"/>
    <n v="0"/>
    <x v="13"/>
  </r>
  <r>
    <x v="1"/>
    <x v="0"/>
    <x v="7"/>
    <x v="2"/>
    <n v="0"/>
    <x v="13"/>
  </r>
  <r>
    <x v="1"/>
    <x v="0"/>
    <x v="7"/>
    <x v="3"/>
    <n v="0"/>
    <x v="13"/>
  </r>
  <r>
    <x v="1"/>
    <x v="0"/>
    <x v="7"/>
    <x v="4"/>
    <n v="0"/>
    <x v="13"/>
  </r>
  <r>
    <x v="1"/>
    <x v="0"/>
    <x v="8"/>
    <x v="0"/>
    <n v="0"/>
    <x v="13"/>
  </r>
  <r>
    <x v="1"/>
    <x v="0"/>
    <x v="8"/>
    <x v="1"/>
    <n v="0"/>
    <x v="13"/>
  </r>
  <r>
    <x v="1"/>
    <x v="0"/>
    <x v="8"/>
    <x v="2"/>
    <n v="0"/>
    <x v="13"/>
  </r>
  <r>
    <x v="1"/>
    <x v="0"/>
    <x v="8"/>
    <x v="3"/>
    <n v="0"/>
    <x v="13"/>
  </r>
  <r>
    <x v="1"/>
    <x v="0"/>
    <x v="8"/>
    <x v="4"/>
    <n v="0"/>
    <x v="13"/>
  </r>
  <r>
    <x v="1"/>
    <x v="0"/>
    <x v="9"/>
    <x v="0"/>
    <n v="0"/>
    <x v="13"/>
  </r>
  <r>
    <x v="1"/>
    <x v="0"/>
    <x v="9"/>
    <x v="1"/>
    <n v="0"/>
    <x v="13"/>
  </r>
  <r>
    <x v="1"/>
    <x v="0"/>
    <x v="9"/>
    <x v="2"/>
    <n v="0"/>
    <x v="13"/>
  </r>
  <r>
    <x v="1"/>
    <x v="0"/>
    <x v="9"/>
    <x v="3"/>
    <n v="0"/>
    <x v="13"/>
  </r>
  <r>
    <x v="1"/>
    <x v="0"/>
    <x v="9"/>
    <x v="4"/>
    <n v="0"/>
    <x v="13"/>
  </r>
  <r>
    <x v="1"/>
    <x v="0"/>
    <x v="10"/>
    <x v="0"/>
    <n v="0"/>
    <x v="13"/>
  </r>
  <r>
    <x v="1"/>
    <x v="0"/>
    <x v="10"/>
    <x v="1"/>
    <n v="0"/>
    <x v="13"/>
  </r>
  <r>
    <x v="1"/>
    <x v="0"/>
    <x v="10"/>
    <x v="2"/>
    <n v="0"/>
    <x v="13"/>
  </r>
  <r>
    <x v="1"/>
    <x v="0"/>
    <x v="10"/>
    <x v="3"/>
    <n v="0"/>
    <x v="13"/>
  </r>
  <r>
    <x v="1"/>
    <x v="0"/>
    <x v="10"/>
    <x v="4"/>
    <n v="0"/>
    <x v="13"/>
  </r>
  <r>
    <x v="1"/>
    <x v="0"/>
    <x v="11"/>
    <x v="0"/>
    <n v="0"/>
    <x v="13"/>
  </r>
  <r>
    <x v="1"/>
    <x v="0"/>
    <x v="11"/>
    <x v="1"/>
    <n v="0"/>
    <x v="13"/>
  </r>
  <r>
    <x v="1"/>
    <x v="0"/>
    <x v="11"/>
    <x v="2"/>
    <n v="0"/>
    <x v="13"/>
  </r>
  <r>
    <x v="1"/>
    <x v="0"/>
    <x v="11"/>
    <x v="3"/>
    <n v="0"/>
    <x v="13"/>
  </r>
  <r>
    <x v="1"/>
    <x v="0"/>
    <x v="11"/>
    <x v="4"/>
    <n v="0"/>
    <x v="13"/>
  </r>
  <r>
    <x v="1"/>
    <x v="0"/>
    <x v="12"/>
    <x v="0"/>
    <n v="0"/>
    <x v="13"/>
  </r>
  <r>
    <x v="1"/>
    <x v="0"/>
    <x v="12"/>
    <x v="1"/>
    <n v="0"/>
    <x v="13"/>
  </r>
  <r>
    <x v="1"/>
    <x v="0"/>
    <x v="12"/>
    <x v="2"/>
    <n v="0"/>
    <x v="13"/>
  </r>
  <r>
    <x v="1"/>
    <x v="0"/>
    <x v="12"/>
    <x v="3"/>
    <n v="0"/>
    <x v="13"/>
  </r>
  <r>
    <x v="1"/>
    <x v="0"/>
    <x v="12"/>
    <x v="4"/>
    <n v="0"/>
    <x v="13"/>
  </r>
  <r>
    <x v="1"/>
    <x v="0"/>
    <x v="13"/>
    <x v="0"/>
    <n v="0"/>
    <x v="13"/>
  </r>
  <r>
    <x v="1"/>
    <x v="0"/>
    <x v="13"/>
    <x v="1"/>
    <n v="0"/>
    <x v="13"/>
  </r>
  <r>
    <x v="1"/>
    <x v="0"/>
    <x v="13"/>
    <x v="2"/>
    <n v="0"/>
    <x v="13"/>
  </r>
  <r>
    <x v="1"/>
    <x v="0"/>
    <x v="13"/>
    <x v="3"/>
    <n v="0"/>
    <x v="13"/>
  </r>
  <r>
    <x v="1"/>
    <x v="0"/>
    <x v="13"/>
    <x v="4"/>
    <n v="0"/>
    <x v="13"/>
  </r>
  <r>
    <x v="1"/>
    <x v="0"/>
    <x v="14"/>
    <x v="0"/>
    <n v="0"/>
    <x v="13"/>
  </r>
  <r>
    <x v="1"/>
    <x v="0"/>
    <x v="14"/>
    <x v="1"/>
    <n v="0"/>
    <x v="13"/>
  </r>
  <r>
    <x v="1"/>
    <x v="0"/>
    <x v="14"/>
    <x v="2"/>
    <n v="0"/>
    <x v="13"/>
  </r>
  <r>
    <x v="1"/>
    <x v="0"/>
    <x v="14"/>
    <x v="3"/>
    <n v="0"/>
    <x v="13"/>
  </r>
  <r>
    <x v="1"/>
    <x v="0"/>
    <x v="14"/>
    <x v="4"/>
    <n v="0"/>
    <x v="13"/>
  </r>
  <r>
    <x v="1"/>
    <x v="0"/>
    <x v="15"/>
    <x v="0"/>
    <n v="0"/>
    <x v="13"/>
  </r>
  <r>
    <x v="1"/>
    <x v="0"/>
    <x v="15"/>
    <x v="1"/>
    <n v="0"/>
    <x v="13"/>
  </r>
  <r>
    <x v="1"/>
    <x v="0"/>
    <x v="15"/>
    <x v="2"/>
    <n v="0"/>
    <x v="13"/>
  </r>
  <r>
    <x v="1"/>
    <x v="0"/>
    <x v="15"/>
    <x v="3"/>
    <n v="0"/>
    <x v="13"/>
  </r>
  <r>
    <x v="1"/>
    <x v="0"/>
    <x v="15"/>
    <x v="4"/>
    <n v="0"/>
    <x v="13"/>
  </r>
  <r>
    <x v="1"/>
    <x v="0"/>
    <x v="16"/>
    <x v="0"/>
    <n v="0"/>
    <x v="13"/>
  </r>
  <r>
    <x v="1"/>
    <x v="0"/>
    <x v="16"/>
    <x v="1"/>
    <n v="0"/>
    <x v="13"/>
  </r>
  <r>
    <x v="1"/>
    <x v="0"/>
    <x v="16"/>
    <x v="2"/>
    <n v="0"/>
    <x v="13"/>
  </r>
  <r>
    <x v="1"/>
    <x v="0"/>
    <x v="16"/>
    <x v="3"/>
    <n v="0"/>
    <x v="13"/>
  </r>
  <r>
    <x v="1"/>
    <x v="0"/>
    <x v="16"/>
    <x v="4"/>
    <n v="0"/>
    <x v="13"/>
  </r>
  <r>
    <x v="1"/>
    <x v="0"/>
    <x v="17"/>
    <x v="0"/>
    <n v="0"/>
    <x v="13"/>
  </r>
  <r>
    <x v="1"/>
    <x v="0"/>
    <x v="17"/>
    <x v="1"/>
    <n v="0"/>
    <x v="13"/>
  </r>
  <r>
    <x v="1"/>
    <x v="0"/>
    <x v="17"/>
    <x v="2"/>
    <n v="0"/>
    <x v="13"/>
  </r>
  <r>
    <x v="1"/>
    <x v="0"/>
    <x v="17"/>
    <x v="3"/>
    <n v="0"/>
    <x v="13"/>
  </r>
  <r>
    <x v="1"/>
    <x v="0"/>
    <x v="17"/>
    <x v="4"/>
    <n v="0"/>
    <x v="13"/>
  </r>
  <r>
    <x v="1"/>
    <x v="0"/>
    <x v="18"/>
    <x v="0"/>
    <n v="0"/>
    <x v="13"/>
  </r>
  <r>
    <x v="1"/>
    <x v="0"/>
    <x v="18"/>
    <x v="1"/>
    <n v="0"/>
    <x v="13"/>
  </r>
  <r>
    <x v="1"/>
    <x v="0"/>
    <x v="18"/>
    <x v="2"/>
    <n v="0"/>
    <x v="13"/>
  </r>
  <r>
    <x v="1"/>
    <x v="0"/>
    <x v="18"/>
    <x v="3"/>
    <n v="0"/>
    <x v="13"/>
  </r>
  <r>
    <x v="1"/>
    <x v="0"/>
    <x v="18"/>
    <x v="4"/>
    <n v="0"/>
    <x v="13"/>
  </r>
  <r>
    <x v="1"/>
    <x v="0"/>
    <x v="19"/>
    <x v="0"/>
    <n v="0"/>
    <x v="13"/>
  </r>
  <r>
    <x v="1"/>
    <x v="0"/>
    <x v="19"/>
    <x v="1"/>
    <n v="0"/>
    <x v="13"/>
  </r>
  <r>
    <x v="1"/>
    <x v="0"/>
    <x v="19"/>
    <x v="2"/>
    <n v="0"/>
    <x v="13"/>
  </r>
  <r>
    <x v="1"/>
    <x v="0"/>
    <x v="19"/>
    <x v="3"/>
    <n v="0"/>
    <x v="13"/>
  </r>
  <r>
    <x v="1"/>
    <x v="0"/>
    <x v="19"/>
    <x v="4"/>
    <n v="0"/>
    <x v="13"/>
  </r>
  <r>
    <x v="1"/>
    <x v="0"/>
    <x v="20"/>
    <x v="0"/>
    <n v="0"/>
    <x v="13"/>
  </r>
  <r>
    <x v="1"/>
    <x v="0"/>
    <x v="20"/>
    <x v="1"/>
    <n v="0"/>
    <x v="13"/>
  </r>
  <r>
    <x v="1"/>
    <x v="0"/>
    <x v="20"/>
    <x v="2"/>
    <n v="0"/>
    <x v="13"/>
  </r>
  <r>
    <x v="1"/>
    <x v="0"/>
    <x v="20"/>
    <x v="3"/>
    <n v="0"/>
    <x v="13"/>
  </r>
  <r>
    <x v="1"/>
    <x v="0"/>
    <x v="20"/>
    <x v="4"/>
    <n v="0"/>
    <x v="13"/>
  </r>
  <r>
    <x v="1"/>
    <x v="0"/>
    <x v="21"/>
    <x v="0"/>
    <n v="0"/>
    <x v="13"/>
  </r>
  <r>
    <x v="1"/>
    <x v="0"/>
    <x v="21"/>
    <x v="1"/>
    <n v="0"/>
    <x v="13"/>
  </r>
  <r>
    <x v="1"/>
    <x v="0"/>
    <x v="21"/>
    <x v="2"/>
    <n v="0"/>
    <x v="13"/>
  </r>
  <r>
    <x v="1"/>
    <x v="0"/>
    <x v="21"/>
    <x v="3"/>
    <n v="0"/>
    <x v="13"/>
  </r>
  <r>
    <x v="1"/>
    <x v="0"/>
    <x v="21"/>
    <x v="4"/>
    <n v="0"/>
    <x v="13"/>
  </r>
  <r>
    <x v="1"/>
    <x v="0"/>
    <x v="22"/>
    <x v="0"/>
    <n v="0"/>
    <x v="13"/>
  </r>
  <r>
    <x v="1"/>
    <x v="0"/>
    <x v="22"/>
    <x v="1"/>
    <n v="0"/>
    <x v="13"/>
  </r>
  <r>
    <x v="1"/>
    <x v="0"/>
    <x v="22"/>
    <x v="2"/>
    <n v="0"/>
    <x v="13"/>
  </r>
  <r>
    <x v="1"/>
    <x v="0"/>
    <x v="22"/>
    <x v="3"/>
    <n v="0"/>
    <x v="13"/>
  </r>
  <r>
    <x v="1"/>
    <x v="0"/>
    <x v="22"/>
    <x v="4"/>
    <n v="0"/>
    <x v="13"/>
  </r>
  <r>
    <x v="1"/>
    <x v="0"/>
    <x v="23"/>
    <x v="0"/>
    <n v="0"/>
    <x v="13"/>
  </r>
  <r>
    <x v="1"/>
    <x v="0"/>
    <x v="23"/>
    <x v="1"/>
    <n v="0"/>
    <x v="13"/>
  </r>
  <r>
    <x v="1"/>
    <x v="0"/>
    <x v="23"/>
    <x v="2"/>
    <n v="0"/>
    <x v="13"/>
  </r>
  <r>
    <x v="1"/>
    <x v="0"/>
    <x v="23"/>
    <x v="3"/>
    <n v="0"/>
    <x v="13"/>
  </r>
  <r>
    <x v="1"/>
    <x v="0"/>
    <x v="23"/>
    <x v="4"/>
    <n v="0"/>
    <x v="13"/>
  </r>
  <r>
    <x v="1"/>
    <x v="0"/>
    <x v="24"/>
    <x v="0"/>
    <n v="0"/>
    <x v="13"/>
  </r>
  <r>
    <x v="1"/>
    <x v="0"/>
    <x v="24"/>
    <x v="1"/>
    <n v="0"/>
    <x v="13"/>
  </r>
  <r>
    <x v="1"/>
    <x v="0"/>
    <x v="24"/>
    <x v="2"/>
    <n v="0"/>
    <x v="13"/>
  </r>
  <r>
    <x v="1"/>
    <x v="0"/>
    <x v="24"/>
    <x v="3"/>
    <n v="0"/>
    <x v="13"/>
  </r>
  <r>
    <x v="1"/>
    <x v="0"/>
    <x v="24"/>
    <x v="4"/>
    <n v="0"/>
    <x v="13"/>
  </r>
  <r>
    <x v="1"/>
    <x v="0"/>
    <x v="25"/>
    <x v="0"/>
    <n v="0"/>
    <x v="13"/>
  </r>
  <r>
    <x v="1"/>
    <x v="0"/>
    <x v="25"/>
    <x v="1"/>
    <n v="0"/>
    <x v="13"/>
  </r>
  <r>
    <x v="1"/>
    <x v="0"/>
    <x v="25"/>
    <x v="2"/>
    <n v="0"/>
    <x v="13"/>
  </r>
  <r>
    <x v="1"/>
    <x v="0"/>
    <x v="25"/>
    <x v="3"/>
    <n v="0"/>
    <x v="13"/>
  </r>
  <r>
    <x v="1"/>
    <x v="0"/>
    <x v="25"/>
    <x v="4"/>
    <n v="0"/>
    <x v="13"/>
  </r>
  <r>
    <x v="1"/>
    <x v="0"/>
    <x v="26"/>
    <x v="0"/>
    <n v="0"/>
    <x v="13"/>
  </r>
  <r>
    <x v="1"/>
    <x v="0"/>
    <x v="26"/>
    <x v="1"/>
    <n v="0"/>
    <x v="13"/>
  </r>
  <r>
    <x v="1"/>
    <x v="0"/>
    <x v="26"/>
    <x v="2"/>
    <n v="0"/>
    <x v="13"/>
  </r>
  <r>
    <x v="1"/>
    <x v="0"/>
    <x v="26"/>
    <x v="3"/>
    <n v="0"/>
    <x v="13"/>
  </r>
  <r>
    <x v="1"/>
    <x v="0"/>
    <x v="26"/>
    <x v="4"/>
    <n v="0"/>
    <x v="13"/>
  </r>
  <r>
    <x v="1"/>
    <x v="0"/>
    <x v="27"/>
    <x v="0"/>
    <n v="0"/>
    <x v="13"/>
  </r>
  <r>
    <x v="1"/>
    <x v="0"/>
    <x v="27"/>
    <x v="1"/>
    <n v="0"/>
    <x v="13"/>
  </r>
  <r>
    <x v="1"/>
    <x v="0"/>
    <x v="27"/>
    <x v="2"/>
    <n v="0"/>
    <x v="13"/>
  </r>
  <r>
    <x v="1"/>
    <x v="0"/>
    <x v="27"/>
    <x v="3"/>
    <n v="0"/>
    <x v="13"/>
  </r>
  <r>
    <x v="1"/>
    <x v="0"/>
    <x v="27"/>
    <x v="4"/>
    <n v="0"/>
    <x v="13"/>
  </r>
  <r>
    <x v="1"/>
    <x v="0"/>
    <x v="28"/>
    <x v="0"/>
    <n v="0"/>
    <x v="13"/>
  </r>
  <r>
    <x v="1"/>
    <x v="0"/>
    <x v="28"/>
    <x v="1"/>
    <n v="0"/>
    <x v="13"/>
  </r>
  <r>
    <x v="1"/>
    <x v="0"/>
    <x v="28"/>
    <x v="2"/>
    <n v="0"/>
    <x v="13"/>
  </r>
  <r>
    <x v="1"/>
    <x v="0"/>
    <x v="28"/>
    <x v="3"/>
    <n v="0"/>
    <x v="13"/>
  </r>
  <r>
    <x v="1"/>
    <x v="0"/>
    <x v="28"/>
    <x v="4"/>
    <n v="0"/>
    <x v="13"/>
  </r>
  <r>
    <x v="1"/>
    <x v="0"/>
    <x v="29"/>
    <x v="0"/>
    <n v="0"/>
    <x v="13"/>
  </r>
  <r>
    <x v="1"/>
    <x v="0"/>
    <x v="29"/>
    <x v="1"/>
    <n v="0"/>
    <x v="13"/>
  </r>
  <r>
    <x v="1"/>
    <x v="0"/>
    <x v="29"/>
    <x v="2"/>
    <n v="0"/>
    <x v="13"/>
  </r>
  <r>
    <x v="1"/>
    <x v="0"/>
    <x v="29"/>
    <x v="3"/>
    <n v="0"/>
    <x v="13"/>
  </r>
  <r>
    <x v="1"/>
    <x v="0"/>
    <x v="29"/>
    <x v="4"/>
    <n v="0"/>
    <x v="13"/>
  </r>
  <r>
    <x v="1"/>
    <x v="0"/>
    <x v="30"/>
    <x v="0"/>
    <n v="0"/>
    <x v="13"/>
  </r>
  <r>
    <x v="1"/>
    <x v="0"/>
    <x v="30"/>
    <x v="1"/>
    <n v="0"/>
    <x v="13"/>
  </r>
  <r>
    <x v="1"/>
    <x v="0"/>
    <x v="30"/>
    <x v="2"/>
    <n v="0"/>
    <x v="13"/>
  </r>
  <r>
    <x v="1"/>
    <x v="0"/>
    <x v="30"/>
    <x v="3"/>
    <n v="0"/>
    <x v="13"/>
  </r>
  <r>
    <x v="1"/>
    <x v="0"/>
    <x v="30"/>
    <x v="4"/>
    <n v="0"/>
    <x v="13"/>
  </r>
  <r>
    <x v="1"/>
    <x v="0"/>
    <x v="31"/>
    <x v="0"/>
    <n v="0"/>
    <x v="13"/>
  </r>
  <r>
    <x v="1"/>
    <x v="0"/>
    <x v="31"/>
    <x v="1"/>
    <n v="0"/>
    <x v="13"/>
  </r>
  <r>
    <x v="1"/>
    <x v="0"/>
    <x v="31"/>
    <x v="2"/>
    <n v="0"/>
    <x v="13"/>
  </r>
  <r>
    <x v="1"/>
    <x v="0"/>
    <x v="31"/>
    <x v="3"/>
    <n v="0"/>
    <x v="13"/>
  </r>
  <r>
    <x v="1"/>
    <x v="0"/>
    <x v="31"/>
    <x v="4"/>
    <n v="0"/>
    <x v="13"/>
  </r>
  <r>
    <x v="1"/>
    <x v="0"/>
    <x v="32"/>
    <x v="0"/>
    <n v="0"/>
    <x v="13"/>
  </r>
  <r>
    <x v="1"/>
    <x v="0"/>
    <x v="32"/>
    <x v="1"/>
    <n v="0"/>
    <x v="13"/>
  </r>
  <r>
    <x v="1"/>
    <x v="0"/>
    <x v="32"/>
    <x v="2"/>
    <n v="0"/>
    <x v="13"/>
  </r>
  <r>
    <x v="1"/>
    <x v="0"/>
    <x v="32"/>
    <x v="3"/>
    <n v="0"/>
    <x v="13"/>
  </r>
  <r>
    <x v="1"/>
    <x v="0"/>
    <x v="32"/>
    <x v="4"/>
    <n v="0"/>
    <x v="13"/>
  </r>
  <r>
    <x v="1"/>
    <x v="0"/>
    <x v="33"/>
    <x v="0"/>
    <n v="0"/>
    <x v="13"/>
  </r>
  <r>
    <x v="1"/>
    <x v="0"/>
    <x v="33"/>
    <x v="1"/>
    <n v="0"/>
    <x v="13"/>
  </r>
  <r>
    <x v="1"/>
    <x v="0"/>
    <x v="33"/>
    <x v="2"/>
    <n v="0"/>
    <x v="13"/>
  </r>
  <r>
    <x v="1"/>
    <x v="0"/>
    <x v="33"/>
    <x v="3"/>
    <n v="0"/>
    <x v="13"/>
  </r>
  <r>
    <x v="1"/>
    <x v="0"/>
    <x v="33"/>
    <x v="4"/>
    <n v="0"/>
    <x v="13"/>
  </r>
  <r>
    <x v="1"/>
    <x v="0"/>
    <x v="34"/>
    <x v="0"/>
    <n v="0"/>
    <x v="13"/>
  </r>
  <r>
    <x v="1"/>
    <x v="0"/>
    <x v="34"/>
    <x v="1"/>
    <n v="0"/>
    <x v="13"/>
  </r>
  <r>
    <x v="1"/>
    <x v="0"/>
    <x v="34"/>
    <x v="2"/>
    <n v="0"/>
    <x v="13"/>
  </r>
  <r>
    <x v="1"/>
    <x v="0"/>
    <x v="34"/>
    <x v="3"/>
    <n v="0"/>
    <x v="13"/>
  </r>
  <r>
    <x v="1"/>
    <x v="0"/>
    <x v="34"/>
    <x v="4"/>
    <n v="0"/>
    <x v="13"/>
  </r>
  <r>
    <x v="1"/>
    <x v="0"/>
    <x v="35"/>
    <x v="0"/>
    <n v="0"/>
    <x v="13"/>
  </r>
  <r>
    <x v="1"/>
    <x v="0"/>
    <x v="35"/>
    <x v="1"/>
    <n v="0"/>
    <x v="13"/>
  </r>
  <r>
    <x v="1"/>
    <x v="0"/>
    <x v="35"/>
    <x v="2"/>
    <n v="0"/>
    <x v="13"/>
  </r>
  <r>
    <x v="1"/>
    <x v="0"/>
    <x v="35"/>
    <x v="3"/>
    <n v="0"/>
    <x v="13"/>
  </r>
  <r>
    <x v="1"/>
    <x v="0"/>
    <x v="35"/>
    <x v="4"/>
    <n v="0"/>
    <x v="13"/>
  </r>
  <r>
    <x v="1"/>
    <x v="0"/>
    <x v="36"/>
    <x v="0"/>
    <n v="0"/>
    <x v="13"/>
  </r>
  <r>
    <x v="1"/>
    <x v="0"/>
    <x v="36"/>
    <x v="1"/>
    <n v="0"/>
    <x v="13"/>
  </r>
  <r>
    <x v="1"/>
    <x v="0"/>
    <x v="36"/>
    <x v="2"/>
    <n v="0"/>
    <x v="13"/>
  </r>
  <r>
    <x v="1"/>
    <x v="0"/>
    <x v="36"/>
    <x v="3"/>
    <n v="0"/>
    <x v="13"/>
  </r>
  <r>
    <x v="1"/>
    <x v="0"/>
    <x v="36"/>
    <x v="4"/>
    <n v="0"/>
    <x v="13"/>
  </r>
  <r>
    <x v="1"/>
    <x v="0"/>
    <x v="37"/>
    <x v="0"/>
    <n v="0"/>
    <x v="13"/>
  </r>
  <r>
    <x v="1"/>
    <x v="0"/>
    <x v="37"/>
    <x v="1"/>
    <n v="0"/>
    <x v="13"/>
  </r>
  <r>
    <x v="1"/>
    <x v="0"/>
    <x v="37"/>
    <x v="2"/>
    <n v="0"/>
    <x v="13"/>
  </r>
  <r>
    <x v="1"/>
    <x v="0"/>
    <x v="37"/>
    <x v="3"/>
    <n v="0"/>
    <x v="13"/>
  </r>
  <r>
    <x v="1"/>
    <x v="0"/>
    <x v="37"/>
    <x v="4"/>
    <n v="0"/>
    <x v="13"/>
  </r>
  <r>
    <x v="1"/>
    <x v="0"/>
    <x v="0"/>
    <x v="0"/>
    <n v="0"/>
    <x v="14"/>
  </r>
  <r>
    <x v="1"/>
    <x v="0"/>
    <x v="0"/>
    <x v="1"/>
    <n v="0"/>
    <x v="14"/>
  </r>
  <r>
    <x v="1"/>
    <x v="0"/>
    <x v="0"/>
    <x v="2"/>
    <n v="0"/>
    <x v="14"/>
  </r>
  <r>
    <x v="1"/>
    <x v="0"/>
    <x v="0"/>
    <x v="3"/>
    <n v="0"/>
    <x v="14"/>
  </r>
  <r>
    <x v="1"/>
    <x v="0"/>
    <x v="0"/>
    <x v="4"/>
    <n v="0"/>
    <x v="14"/>
  </r>
  <r>
    <x v="1"/>
    <x v="0"/>
    <x v="1"/>
    <x v="0"/>
    <n v="0"/>
    <x v="14"/>
  </r>
  <r>
    <x v="1"/>
    <x v="0"/>
    <x v="1"/>
    <x v="1"/>
    <n v="0"/>
    <x v="14"/>
  </r>
  <r>
    <x v="1"/>
    <x v="0"/>
    <x v="1"/>
    <x v="2"/>
    <n v="0"/>
    <x v="14"/>
  </r>
  <r>
    <x v="1"/>
    <x v="0"/>
    <x v="1"/>
    <x v="3"/>
    <n v="0"/>
    <x v="14"/>
  </r>
  <r>
    <x v="1"/>
    <x v="0"/>
    <x v="1"/>
    <x v="4"/>
    <n v="0"/>
    <x v="14"/>
  </r>
  <r>
    <x v="1"/>
    <x v="0"/>
    <x v="2"/>
    <x v="0"/>
    <n v="0"/>
    <x v="14"/>
  </r>
  <r>
    <x v="1"/>
    <x v="0"/>
    <x v="2"/>
    <x v="1"/>
    <n v="0"/>
    <x v="14"/>
  </r>
  <r>
    <x v="1"/>
    <x v="0"/>
    <x v="2"/>
    <x v="2"/>
    <n v="0"/>
    <x v="14"/>
  </r>
  <r>
    <x v="1"/>
    <x v="0"/>
    <x v="2"/>
    <x v="3"/>
    <n v="0"/>
    <x v="14"/>
  </r>
  <r>
    <x v="1"/>
    <x v="0"/>
    <x v="2"/>
    <x v="4"/>
    <n v="0"/>
    <x v="14"/>
  </r>
  <r>
    <x v="1"/>
    <x v="0"/>
    <x v="3"/>
    <x v="0"/>
    <n v="0"/>
    <x v="14"/>
  </r>
  <r>
    <x v="1"/>
    <x v="0"/>
    <x v="3"/>
    <x v="1"/>
    <n v="0"/>
    <x v="14"/>
  </r>
  <r>
    <x v="1"/>
    <x v="0"/>
    <x v="3"/>
    <x v="2"/>
    <n v="0"/>
    <x v="14"/>
  </r>
  <r>
    <x v="1"/>
    <x v="0"/>
    <x v="3"/>
    <x v="3"/>
    <n v="0"/>
    <x v="14"/>
  </r>
  <r>
    <x v="1"/>
    <x v="0"/>
    <x v="3"/>
    <x v="4"/>
    <n v="0"/>
    <x v="14"/>
  </r>
  <r>
    <x v="1"/>
    <x v="0"/>
    <x v="4"/>
    <x v="0"/>
    <n v="0"/>
    <x v="14"/>
  </r>
  <r>
    <x v="1"/>
    <x v="0"/>
    <x v="4"/>
    <x v="1"/>
    <n v="0"/>
    <x v="14"/>
  </r>
  <r>
    <x v="1"/>
    <x v="0"/>
    <x v="4"/>
    <x v="2"/>
    <n v="0"/>
    <x v="14"/>
  </r>
  <r>
    <x v="1"/>
    <x v="0"/>
    <x v="4"/>
    <x v="3"/>
    <n v="0"/>
    <x v="14"/>
  </r>
  <r>
    <x v="1"/>
    <x v="0"/>
    <x v="4"/>
    <x v="4"/>
    <n v="0"/>
    <x v="14"/>
  </r>
  <r>
    <x v="1"/>
    <x v="0"/>
    <x v="5"/>
    <x v="0"/>
    <n v="0"/>
    <x v="14"/>
  </r>
  <r>
    <x v="1"/>
    <x v="0"/>
    <x v="5"/>
    <x v="1"/>
    <n v="0"/>
    <x v="14"/>
  </r>
  <r>
    <x v="1"/>
    <x v="0"/>
    <x v="5"/>
    <x v="2"/>
    <n v="0"/>
    <x v="14"/>
  </r>
  <r>
    <x v="1"/>
    <x v="0"/>
    <x v="5"/>
    <x v="3"/>
    <n v="0"/>
    <x v="14"/>
  </r>
  <r>
    <x v="1"/>
    <x v="0"/>
    <x v="5"/>
    <x v="4"/>
    <n v="0"/>
    <x v="14"/>
  </r>
  <r>
    <x v="1"/>
    <x v="0"/>
    <x v="6"/>
    <x v="0"/>
    <n v="0"/>
    <x v="14"/>
  </r>
  <r>
    <x v="1"/>
    <x v="0"/>
    <x v="6"/>
    <x v="1"/>
    <n v="0"/>
    <x v="14"/>
  </r>
  <r>
    <x v="1"/>
    <x v="0"/>
    <x v="6"/>
    <x v="2"/>
    <n v="0"/>
    <x v="14"/>
  </r>
  <r>
    <x v="1"/>
    <x v="0"/>
    <x v="6"/>
    <x v="3"/>
    <n v="0"/>
    <x v="14"/>
  </r>
  <r>
    <x v="1"/>
    <x v="0"/>
    <x v="6"/>
    <x v="4"/>
    <n v="0"/>
    <x v="14"/>
  </r>
  <r>
    <x v="1"/>
    <x v="0"/>
    <x v="7"/>
    <x v="0"/>
    <n v="0"/>
    <x v="14"/>
  </r>
  <r>
    <x v="1"/>
    <x v="0"/>
    <x v="7"/>
    <x v="1"/>
    <n v="0"/>
    <x v="14"/>
  </r>
  <r>
    <x v="1"/>
    <x v="0"/>
    <x v="7"/>
    <x v="2"/>
    <n v="0"/>
    <x v="14"/>
  </r>
  <r>
    <x v="1"/>
    <x v="0"/>
    <x v="7"/>
    <x v="3"/>
    <n v="0"/>
    <x v="14"/>
  </r>
  <r>
    <x v="1"/>
    <x v="0"/>
    <x v="7"/>
    <x v="4"/>
    <n v="0"/>
    <x v="14"/>
  </r>
  <r>
    <x v="1"/>
    <x v="0"/>
    <x v="8"/>
    <x v="0"/>
    <n v="0"/>
    <x v="14"/>
  </r>
  <r>
    <x v="1"/>
    <x v="0"/>
    <x v="8"/>
    <x v="1"/>
    <n v="0"/>
    <x v="14"/>
  </r>
  <r>
    <x v="1"/>
    <x v="0"/>
    <x v="8"/>
    <x v="2"/>
    <n v="0"/>
    <x v="14"/>
  </r>
  <r>
    <x v="1"/>
    <x v="0"/>
    <x v="8"/>
    <x v="3"/>
    <n v="0"/>
    <x v="14"/>
  </r>
  <r>
    <x v="1"/>
    <x v="0"/>
    <x v="8"/>
    <x v="4"/>
    <n v="0"/>
    <x v="14"/>
  </r>
  <r>
    <x v="1"/>
    <x v="0"/>
    <x v="9"/>
    <x v="0"/>
    <n v="0"/>
    <x v="14"/>
  </r>
  <r>
    <x v="1"/>
    <x v="0"/>
    <x v="9"/>
    <x v="1"/>
    <n v="0"/>
    <x v="14"/>
  </r>
  <r>
    <x v="1"/>
    <x v="0"/>
    <x v="9"/>
    <x v="2"/>
    <n v="0"/>
    <x v="14"/>
  </r>
  <r>
    <x v="1"/>
    <x v="0"/>
    <x v="9"/>
    <x v="3"/>
    <n v="0"/>
    <x v="14"/>
  </r>
  <r>
    <x v="1"/>
    <x v="0"/>
    <x v="9"/>
    <x v="4"/>
    <n v="0"/>
    <x v="14"/>
  </r>
  <r>
    <x v="1"/>
    <x v="0"/>
    <x v="10"/>
    <x v="0"/>
    <n v="0"/>
    <x v="14"/>
  </r>
  <r>
    <x v="1"/>
    <x v="0"/>
    <x v="10"/>
    <x v="1"/>
    <n v="0"/>
    <x v="14"/>
  </r>
  <r>
    <x v="1"/>
    <x v="0"/>
    <x v="10"/>
    <x v="2"/>
    <n v="0"/>
    <x v="14"/>
  </r>
  <r>
    <x v="1"/>
    <x v="0"/>
    <x v="10"/>
    <x v="3"/>
    <n v="0"/>
    <x v="14"/>
  </r>
  <r>
    <x v="1"/>
    <x v="0"/>
    <x v="10"/>
    <x v="4"/>
    <n v="0"/>
    <x v="14"/>
  </r>
  <r>
    <x v="1"/>
    <x v="0"/>
    <x v="11"/>
    <x v="0"/>
    <n v="0"/>
    <x v="14"/>
  </r>
  <r>
    <x v="1"/>
    <x v="0"/>
    <x v="11"/>
    <x v="1"/>
    <n v="0"/>
    <x v="14"/>
  </r>
  <r>
    <x v="1"/>
    <x v="0"/>
    <x v="11"/>
    <x v="2"/>
    <n v="0"/>
    <x v="14"/>
  </r>
  <r>
    <x v="1"/>
    <x v="0"/>
    <x v="11"/>
    <x v="3"/>
    <n v="0"/>
    <x v="14"/>
  </r>
  <r>
    <x v="1"/>
    <x v="0"/>
    <x v="11"/>
    <x v="4"/>
    <n v="0"/>
    <x v="14"/>
  </r>
  <r>
    <x v="1"/>
    <x v="0"/>
    <x v="12"/>
    <x v="0"/>
    <n v="0"/>
    <x v="14"/>
  </r>
  <r>
    <x v="1"/>
    <x v="0"/>
    <x v="12"/>
    <x v="1"/>
    <n v="0"/>
    <x v="14"/>
  </r>
  <r>
    <x v="1"/>
    <x v="0"/>
    <x v="12"/>
    <x v="2"/>
    <n v="0"/>
    <x v="14"/>
  </r>
  <r>
    <x v="1"/>
    <x v="0"/>
    <x v="12"/>
    <x v="3"/>
    <n v="0"/>
    <x v="14"/>
  </r>
  <r>
    <x v="1"/>
    <x v="0"/>
    <x v="12"/>
    <x v="4"/>
    <n v="0"/>
    <x v="14"/>
  </r>
  <r>
    <x v="1"/>
    <x v="0"/>
    <x v="13"/>
    <x v="0"/>
    <n v="0"/>
    <x v="14"/>
  </r>
  <r>
    <x v="1"/>
    <x v="0"/>
    <x v="13"/>
    <x v="1"/>
    <n v="0"/>
    <x v="14"/>
  </r>
  <r>
    <x v="1"/>
    <x v="0"/>
    <x v="13"/>
    <x v="2"/>
    <n v="0"/>
    <x v="14"/>
  </r>
  <r>
    <x v="1"/>
    <x v="0"/>
    <x v="13"/>
    <x v="3"/>
    <n v="0"/>
    <x v="14"/>
  </r>
  <r>
    <x v="1"/>
    <x v="0"/>
    <x v="13"/>
    <x v="4"/>
    <n v="0"/>
    <x v="14"/>
  </r>
  <r>
    <x v="1"/>
    <x v="0"/>
    <x v="14"/>
    <x v="0"/>
    <n v="0"/>
    <x v="14"/>
  </r>
  <r>
    <x v="1"/>
    <x v="0"/>
    <x v="14"/>
    <x v="1"/>
    <n v="0"/>
    <x v="14"/>
  </r>
  <r>
    <x v="1"/>
    <x v="0"/>
    <x v="14"/>
    <x v="2"/>
    <n v="0"/>
    <x v="14"/>
  </r>
  <r>
    <x v="1"/>
    <x v="0"/>
    <x v="14"/>
    <x v="3"/>
    <n v="0"/>
    <x v="14"/>
  </r>
  <r>
    <x v="1"/>
    <x v="0"/>
    <x v="14"/>
    <x v="4"/>
    <n v="0"/>
    <x v="14"/>
  </r>
  <r>
    <x v="1"/>
    <x v="0"/>
    <x v="15"/>
    <x v="0"/>
    <n v="0"/>
    <x v="14"/>
  </r>
  <r>
    <x v="1"/>
    <x v="0"/>
    <x v="15"/>
    <x v="1"/>
    <n v="0"/>
    <x v="14"/>
  </r>
  <r>
    <x v="1"/>
    <x v="0"/>
    <x v="15"/>
    <x v="2"/>
    <n v="0"/>
    <x v="14"/>
  </r>
  <r>
    <x v="1"/>
    <x v="0"/>
    <x v="15"/>
    <x v="3"/>
    <n v="0"/>
    <x v="14"/>
  </r>
  <r>
    <x v="1"/>
    <x v="0"/>
    <x v="15"/>
    <x v="4"/>
    <n v="0"/>
    <x v="14"/>
  </r>
  <r>
    <x v="1"/>
    <x v="0"/>
    <x v="16"/>
    <x v="0"/>
    <n v="0"/>
    <x v="14"/>
  </r>
  <r>
    <x v="1"/>
    <x v="0"/>
    <x v="16"/>
    <x v="1"/>
    <n v="0"/>
    <x v="14"/>
  </r>
  <r>
    <x v="1"/>
    <x v="0"/>
    <x v="16"/>
    <x v="2"/>
    <n v="0"/>
    <x v="14"/>
  </r>
  <r>
    <x v="1"/>
    <x v="0"/>
    <x v="16"/>
    <x v="3"/>
    <n v="0"/>
    <x v="14"/>
  </r>
  <r>
    <x v="1"/>
    <x v="0"/>
    <x v="16"/>
    <x v="4"/>
    <n v="0"/>
    <x v="14"/>
  </r>
  <r>
    <x v="1"/>
    <x v="0"/>
    <x v="17"/>
    <x v="0"/>
    <n v="0"/>
    <x v="14"/>
  </r>
  <r>
    <x v="1"/>
    <x v="0"/>
    <x v="17"/>
    <x v="1"/>
    <n v="0"/>
    <x v="14"/>
  </r>
  <r>
    <x v="1"/>
    <x v="0"/>
    <x v="17"/>
    <x v="2"/>
    <n v="0"/>
    <x v="14"/>
  </r>
  <r>
    <x v="1"/>
    <x v="0"/>
    <x v="17"/>
    <x v="3"/>
    <n v="0"/>
    <x v="14"/>
  </r>
  <r>
    <x v="1"/>
    <x v="0"/>
    <x v="17"/>
    <x v="4"/>
    <n v="0"/>
    <x v="14"/>
  </r>
  <r>
    <x v="1"/>
    <x v="0"/>
    <x v="18"/>
    <x v="0"/>
    <n v="0"/>
    <x v="14"/>
  </r>
  <r>
    <x v="1"/>
    <x v="0"/>
    <x v="18"/>
    <x v="1"/>
    <n v="0"/>
    <x v="14"/>
  </r>
  <r>
    <x v="1"/>
    <x v="0"/>
    <x v="18"/>
    <x v="2"/>
    <n v="0"/>
    <x v="14"/>
  </r>
  <r>
    <x v="1"/>
    <x v="0"/>
    <x v="18"/>
    <x v="3"/>
    <n v="0"/>
    <x v="14"/>
  </r>
  <r>
    <x v="1"/>
    <x v="0"/>
    <x v="18"/>
    <x v="4"/>
    <n v="0"/>
    <x v="14"/>
  </r>
  <r>
    <x v="1"/>
    <x v="0"/>
    <x v="19"/>
    <x v="0"/>
    <n v="0"/>
    <x v="14"/>
  </r>
  <r>
    <x v="1"/>
    <x v="0"/>
    <x v="19"/>
    <x v="1"/>
    <n v="0"/>
    <x v="14"/>
  </r>
  <r>
    <x v="1"/>
    <x v="0"/>
    <x v="19"/>
    <x v="2"/>
    <n v="0"/>
    <x v="14"/>
  </r>
  <r>
    <x v="1"/>
    <x v="0"/>
    <x v="19"/>
    <x v="3"/>
    <n v="0"/>
    <x v="14"/>
  </r>
  <r>
    <x v="1"/>
    <x v="0"/>
    <x v="19"/>
    <x v="4"/>
    <n v="0"/>
    <x v="14"/>
  </r>
  <r>
    <x v="1"/>
    <x v="0"/>
    <x v="20"/>
    <x v="0"/>
    <n v="0"/>
    <x v="14"/>
  </r>
  <r>
    <x v="1"/>
    <x v="0"/>
    <x v="20"/>
    <x v="1"/>
    <n v="0"/>
    <x v="14"/>
  </r>
  <r>
    <x v="1"/>
    <x v="0"/>
    <x v="20"/>
    <x v="2"/>
    <n v="0"/>
    <x v="14"/>
  </r>
  <r>
    <x v="1"/>
    <x v="0"/>
    <x v="20"/>
    <x v="3"/>
    <n v="0"/>
    <x v="14"/>
  </r>
  <r>
    <x v="1"/>
    <x v="0"/>
    <x v="20"/>
    <x v="4"/>
    <n v="0"/>
    <x v="14"/>
  </r>
  <r>
    <x v="1"/>
    <x v="0"/>
    <x v="21"/>
    <x v="0"/>
    <n v="0"/>
    <x v="14"/>
  </r>
  <r>
    <x v="1"/>
    <x v="0"/>
    <x v="21"/>
    <x v="1"/>
    <n v="0"/>
    <x v="14"/>
  </r>
  <r>
    <x v="1"/>
    <x v="0"/>
    <x v="21"/>
    <x v="2"/>
    <n v="0"/>
    <x v="14"/>
  </r>
  <r>
    <x v="1"/>
    <x v="0"/>
    <x v="21"/>
    <x v="3"/>
    <n v="0"/>
    <x v="14"/>
  </r>
  <r>
    <x v="1"/>
    <x v="0"/>
    <x v="21"/>
    <x v="4"/>
    <n v="0"/>
    <x v="14"/>
  </r>
  <r>
    <x v="1"/>
    <x v="0"/>
    <x v="22"/>
    <x v="0"/>
    <n v="0"/>
    <x v="14"/>
  </r>
  <r>
    <x v="1"/>
    <x v="0"/>
    <x v="22"/>
    <x v="1"/>
    <n v="0"/>
    <x v="14"/>
  </r>
  <r>
    <x v="1"/>
    <x v="0"/>
    <x v="22"/>
    <x v="2"/>
    <n v="0"/>
    <x v="14"/>
  </r>
  <r>
    <x v="1"/>
    <x v="0"/>
    <x v="22"/>
    <x v="3"/>
    <n v="0"/>
    <x v="14"/>
  </r>
  <r>
    <x v="1"/>
    <x v="0"/>
    <x v="22"/>
    <x v="4"/>
    <n v="0"/>
    <x v="14"/>
  </r>
  <r>
    <x v="1"/>
    <x v="0"/>
    <x v="23"/>
    <x v="0"/>
    <n v="0"/>
    <x v="14"/>
  </r>
  <r>
    <x v="1"/>
    <x v="0"/>
    <x v="23"/>
    <x v="1"/>
    <n v="0"/>
    <x v="14"/>
  </r>
  <r>
    <x v="1"/>
    <x v="0"/>
    <x v="23"/>
    <x v="2"/>
    <n v="0"/>
    <x v="14"/>
  </r>
  <r>
    <x v="1"/>
    <x v="0"/>
    <x v="23"/>
    <x v="3"/>
    <n v="0"/>
    <x v="14"/>
  </r>
  <r>
    <x v="1"/>
    <x v="0"/>
    <x v="23"/>
    <x v="4"/>
    <n v="0"/>
    <x v="14"/>
  </r>
  <r>
    <x v="1"/>
    <x v="0"/>
    <x v="24"/>
    <x v="0"/>
    <n v="0"/>
    <x v="14"/>
  </r>
  <r>
    <x v="1"/>
    <x v="0"/>
    <x v="24"/>
    <x v="1"/>
    <n v="0"/>
    <x v="14"/>
  </r>
  <r>
    <x v="1"/>
    <x v="0"/>
    <x v="24"/>
    <x v="2"/>
    <n v="0"/>
    <x v="14"/>
  </r>
  <r>
    <x v="1"/>
    <x v="0"/>
    <x v="24"/>
    <x v="3"/>
    <n v="0"/>
    <x v="14"/>
  </r>
  <r>
    <x v="1"/>
    <x v="0"/>
    <x v="24"/>
    <x v="4"/>
    <n v="0"/>
    <x v="14"/>
  </r>
  <r>
    <x v="1"/>
    <x v="0"/>
    <x v="25"/>
    <x v="0"/>
    <n v="0"/>
    <x v="14"/>
  </r>
  <r>
    <x v="1"/>
    <x v="0"/>
    <x v="25"/>
    <x v="1"/>
    <n v="0"/>
    <x v="14"/>
  </r>
  <r>
    <x v="1"/>
    <x v="0"/>
    <x v="25"/>
    <x v="2"/>
    <n v="0"/>
    <x v="14"/>
  </r>
  <r>
    <x v="1"/>
    <x v="0"/>
    <x v="25"/>
    <x v="3"/>
    <n v="0"/>
    <x v="14"/>
  </r>
  <r>
    <x v="1"/>
    <x v="0"/>
    <x v="25"/>
    <x v="4"/>
    <n v="0"/>
    <x v="14"/>
  </r>
  <r>
    <x v="1"/>
    <x v="0"/>
    <x v="26"/>
    <x v="0"/>
    <n v="0"/>
    <x v="14"/>
  </r>
  <r>
    <x v="1"/>
    <x v="0"/>
    <x v="26"/>
    <x v="1"/>
    <n v="0"/>
    <x v="14"/>
  </r>
  <r>
    <x v="1"/>
    <x v="0"/>
    <x v="26"/>
    <x v="2"/>
    <n v="0"/>
    <x v="14"/>
  </r>
  <r>
    <x v="1"/>
    <x v="0"/>
    <x v="26"/>
    <x v="3"/>
    <n v="0"/>
    <x v="14"/>
  </r>
  <r>
    <x v="1"/>
    <x v="0"/>
    <x v="26"/>
    <x v="4"/>
    <n v="0"/>
    <x v="14"/>
  </r>
  <r>
    <x v="1"/>
    <x v="0"/>
    <x v="27"/>
    <x v="0"/>
    <n v="0"/>
    <x v="14"/>
  </r>
  <r>
    <x v="1"/>
    <x v="0"/>
    <x v="27"/>
    <x v="1"/>
    <n v="0"/>
    <x v="14"/>
  </r>
  <r>
    <x v="1"/>
    <x v="0"/>
    <x v="27"/>
    <x v="2"/>
    <n v="0"/>
    <x v="14"/>
  </r>
  <r>
    <x v="1"/>
    <x v="0"/>
    <x v="27"/>
    <x v="3"/>
    <n v="0"/>
    <x v="14"/>
  </r>
  <r>
    <x v="1"/>
    <x v="0"/>
    <x v="27"/>
    <x v="4"/>
    <n v="0"/>
    <x v="14"/>
  </r>
  <r>
    <x v="1"/>
    <x v="0"/>
    <x v="28"/>
    <x v="0"/>
    <n v="0"/>
    <x v="14"/>
  </r>
  <r>
    <x v="1"/>
    <x v="0"/>
    <x v="28"/>
    <x v="1"/>
    <n v="0"/>
    <x v="14"/>
  </r>
  <r>
    <x v="1"/>
    <x v="0"/>
    <x v="28"/>
    <x v="2"/>
    <n v="0"/>
    <x v="14"/>
  </r>
  <r>
    <x v="1"/>
    <x v="0"/>
    <x v="28"/>
    <x v="3"/>
    <n v="0"/>
    <x v="14"/>
  </r>
  <r>
    <x v="1"/>
    <x v="0"/>
    <x v="28"/>
    <x v="4"/>
    <n v="0"/>
    <x v="14"/>
  </r>
  <r>
    <x v="1"/>
    <x v="0"/>
    <x v="29"/>
    <x v="0"/>
    <n v="0"/>
    <x v="14"/>
  </r>
  <r>
    <x v="1"/>
    <x v="0"/>
    <x v="29"/>
    <x v="1"/>
    <n v="0"/>
    <x v="14"/>
  </r>
  <r>
    <x v="1"/>
    <x v="0"/>
    <x v="29"/>
    <x v="2"/>
    <n v="0"/>
    <x v="14"/>
  </r>
  <r>
    <x v="1"/>
    <x v="0"/>
    <x v="29"/>
    <x v="3"/>
    <n v="0"/>
    <x v="14"/>
  </r>
  <r>
    <x v="1"/>
    <x v="0"/>
    <x v="29"/>
    <x v="4"/>
    <n v="0"/>
    <x v="14"/>
  </r>
  <r>
    <x v="1"/>
    <x v="0"/>
    <x v="30"/>
    <x v="0"/>
    <n v="0"/>
    <x v="14"/>
  </r>
  <r>
    <x v="1"/>
    <x v="0"/>
    <x v="30"/>
    <x v="1"/>
    <n v="0"/>
    <x v="14"/>
  </r>
  <r>
    <x v="1"/>
    <x v="0"/>
    <x v="30"/>
    <x v="2"/>
    <n v="0"/>
    <x v="14"/>
  </r>
  <r>
    <x v="1"/>
    <x v="0"/>
    <x v="30"/>
    <x v="3"/>
    <n v="0"/>
    <x v="14"/>
  </r>
  <r>
    <x v="1"/>
    <x v="0"/>
    <x v="30"/>
    <x v="4"/>
    <n v="0"/>
    <x v="14"/>
  </r>
  <r>
    <x v="1"/>
    <x v="0"/>
    <x v="31"/>
    <x v="0"/>
    <n v="0"/>
    <x v="14"/>
  </r>
  <r>
    <x v="1"/>
    <x v="0"/>
    <x v="31"/>
    <x v="1"/>
    <n v="0"/>
    <x v="14"/>
  </r>
  <r>
    <x v="1"/>
    <x v="0"/>
    <x v="31"/>
    <x v="2"/>
    <n v="0"/>
    <x v="14"/>
  </r>
  <r>
    <x v="1"/>
    <x v="0"/>
    <x v="31"/>
    <x v="3"/>
    <n v="0"/>
    <x v="14"/>
  </r>
  <r>
    <x v="1"/>
    <x v="0"/>
    <x v="31"/>
    <x v="4"/>
    <n v="0"/>
    <x v="14"/>
  </r>
  <r>
    <x v="1"/>
    <x v="0"/>
    <x v="32"/>
    <x v="0"/>
    <n v="0"/>
    <x v="14"/>
  </r>
  <r>
    <x v="1"/>
    <x v="0"/>
    <x v="32"/>
    <x v="1"/>
    <n v="0"/>
    <x v="14"/>
  </r>
  <r>
    <x v="1"/>
    <x v="0"/>
    <x v="32"/>
    <x v="2"/>
    <n v="0"/>
    <x v="14"/>
  </r>
  <r>
    <x v="1"/>
    <x v="0"/>
    <x v="32"/>
    <x v="3"/>
    <n v="0"/>
    <x v="14"/>
  </r>
  <r>
    <x v="1"/>
    <x v="0"/>
    <x v="32"/>
    <x v="4"/>
    <n v="0"/>
    <x v="14"/>
  </r>
  <r>
    <x v="1"/>
    <x v="0"/>
    <x v="33"/>
    <x v="0"/>
    <n v="0"/>
    <x v="14"/>
  </r>
  <r>
    <x v="1"/>
    <x v="0"/>
    <x v="33"/>
    <x v="1"/>
    <n v="0"/>
    <x v="14"/>
  </r>
  <r>
    <x v="1"/>
    <x v="0"/>
    <x v="33"/>
    <x v="2"/>
    <n v="0"/>
    <x v="14"/>
  </r>
  <r>
    <x v="1"/>
    <x v="0"/>
    <x v="33"/>
    <x v="3"/>
    <n v="0"/>
    <x v="14"/>
  </r>
  <r>
    <x v="1"/>
    <x v="0"/>
    <x v="33"/>
    <x v="4"/>
    <n v="0"/>
    <x v="14"/>
  </r>
  <r>
    <x v="1"/>
    <x v="0"/>
    <x v="34"/>
    <x v="0"/>
    <n v="0"/>
    <x v="14"/>
  </r>
  <r>
    <x v="1"/>
    <x v="0"/>
    <x v="34"/>
    <x v="1"/>
    <n v="0"/>
    <x v="14"/>
  </r>
  <r>
    <x v="1"/>
    <x v="0"/>
    <x v="34"/>
    <x v="2"/>
    <n v="0"/>
    <x v="14"/>
  </r>
  <r>
    <x v="1"/>
    <x v="0"/>
    <x v="34"/>
    <x v="3"/>
    <n v="0"/>
    <x v="14"/>
  </r>
  <r>
    <x v="1"/>
    <x v="0"/>
    <x v="34"/>
    <x v="4"/>
    <n v="0"/>
    <x v="14"/>
  </r>
  <r>
    <x v="1"/>
    <x v="0"/>
    <x v="35"/>
    <x v="0"/>
    <n v="0"/>
    <x v="14"/>
  </r>
  <r>
    <x v="1"/>
    <x v="0"/>
    <x v="35"/>
    <x v="1"/>
    <n v="0"/>
    <x v="14"/>
  </r>
  <r>
    <x v="1"/>
    <x v="0"/>
    <x v="35"/>
    <x v="2"/>
    <n v="0"/>
    <x v="14"/>
  </r>
  <r>
    <x v="1"/>
    <x v="0"/>
    <x v="35"/>
    <x v="3"/>
    <n v="0"/>
    <x v="14"/>
  </r>
  <r>
    <x v="1"/>
    <x v="0"/>
    <x v="35"/>
    <x v="4"/>
    <n v="0"/>
    <x v="14"/>
  </r>
  <r>
    <x v="1"/>
    <x v="0"/>
    <x v="36"/>
    <x v="0"/>
    <n v="0"/>
    <x v="14"/>
  </r>
  <r>
    <x v="1"/>
    <x v="0"/>
    <x v="36"/>
    <x v="1"/>
    <n v="0"/>
    <x v="14"/>
  </r>
  <r>
    <x v="1"/>
    <x v="0"/>
    <x v="36"/>
    <x v="2"/>
    <n v="0"/>
    <x v="14"/>
  </r>
  <r>
    <x v="1"/>
    <x v="0"/>
    <x v="36"/>
    <x v="3"/>
    <n v="0"/>
    <x v="14"/>
  </r>
  <r>
    <x v="1"/>
    <x v="0"/>
    <x v="36"/>
    <x v="4"/>
    <n v="0"/>
    <x v="14"/>
  </r>
  <r>
    <x v="1"/>
    <x v="0"/>
    <x v="37"/>
    <x v="0"/>
    <n v="0"/>
    <x v="14"/>
  </r>
  <r>
    <x v="1"/>
    <x v="0"/>
    <x v="37"/>
    <x v="1"/>
    <n v="0"/>
    <x v="14"/>
  </r>
  <r>
    <x v="1"/>
    <x v="0"/>
    <x v="37"/>
    <x v="2"/>
    <n v="0"/>
    <x v="14"/>
  </r>
  <r>
    <x v="1"/>
    <x v="0"/>
    <x v="37"/>
    <x v="3"/>
    <n v="0"/>
    <x v="14"/>
  </r>
  <r>
    <x v="1"/>
    <x v="0"/>
    <x v="37"/>
    <x v="4"/>
    <n v="0"/>
    <x v="14"/>
  </r>
  <r>
    <x v="1"/>
    <x v="0"/>
    <x v="0"/>
    <x v="0"/>
    <n v="0"/>
    <x v="15"/>
  </r>
  <r>
    <x v="1"/>
    <x v="0"/>
    <x v="0"/>
    <x v="1"/>
    <n v="0"/>
    <x v="15"/>
  </r>
  <r>
    <x v="1"/>
    <x v="0"/>
    <x v="0"/>
    <x v="2"/>
    <n v="0"/>
    <x v="15"/>
  </r>
  <r>
    <x v="1"/>
    <x v="0"/>
    <x v="0"/>
    <x v="3"/>
    <n v="0"/>
    <x v="15"/>
  </r>
  <r>
    <x v="1"/>
    <x v="0"/>
    <x v="0"/>
    <x v="4"/>
    <n v="0"/>
    <x v="15"/>
  </r>
  <r>
    <x v="1"/>
    <x v="0"/>
    <x v="1"/>
    <x v="0"/>
    <n v="2.2800000000000001E-2"/>
    <x v="15"/>
  </r>
  <r>
    <x v="1"/>
    <x v="0"/>
    <x v="1"/>
    <x v="1"/>
    <n v="1.18E-2"/>
    <x v="15"/>
  </r>
  <r>
    <x v="1"/>
    <x v="0"/>
    <x v="1"/>
    <x v="2"/>
    <n v="0"/>
    <x v="15"/>
  </r>
  <r>
    <x v="1"/>
    <x v="0"/>
    <x v="1"/>
    <x v="3"/>
    <n v="0"/>
    <x v="15"/>
  </r>
  <r>
    <x v="1"/>
    <x v="0"/>
    <x v="1"/>
    <x v="4"/>
    <n v="1E-4"/>
    <x v="15"/>
  </r>
  <r>
    <x v="1"/>
    <x v="0"/>
    <x v="2"/>
    <x v="0"/>
    <n v="0"/>
    <x v="15"/>
  </r>
  <r>
    <x v="1"/>
    <x v="0"/>
    <x v="2"/>
    <x v="1"/>
    <n v="0"/>
    <x v="15"/>
  </r>
  <r>
    <x v="1"/>
    <x v="0"/>
    <x v="2"/>
    <x v="2"/>
    <n v="0"/>
    <x v="15"/>
  </r>
  <r>
    <x v="1"/>
    <x v="0"/>
    <x v="2"/>
    <x v="3"/>
    <n v="0"/>
    <x v="15"/>
  </r>
  <r>
    <x v="1"/>
    <x v="0"/>
    <x v="2"/>
    <x v="4"/>
    <n v="0"/>
    <x v="15"/>
  </r>
  <r>
    <x v="1"/>
    <x v="0"/>
    <x v="3"/>
    <x v="0"/>
    <n v="0"/>
    <x v="15"/>
  </r>
  <r>
    <x v="1"/>
    <x v="0"/>
    <x v="3"/>
    <x v="1"/>
    <n v="0"/>
    <x v="15"/>
  </r>
  <r>
    <x v="1"/>
    <x v="0"/>
    <x v="3"/>
    <x v="2"/>
    <n v="0"/>
    <x v="15"/>
  </r>
  <r>
    <x v="1"/>
    <x v="0"/>
    <x v="3"/>
    <x v="3"/>
    <n v="0"/>
    <x v="15"/>
  </r>
  <r>
    <x v="1"/>
    <x v="0"/>
    <x v="3"/>
    <x v="4"/>
    <n v="0"/>
    <x v="15"/>
  </r>
  <r>
    <x v="1"/>
    <x v="0"/>
    <x v="4"/>
    <x v="0"/>
    <n v="0"/>
    <x v="15"/>
  </r>
  <r>
    <x v="1"/>
    <x v="0"/>
    <x v="4"/>
    <x v="1"/>
    <n v="0"/>
    <x v="15"/>
  </r>
  <r>
    <x v="1"/>
    <x v="0"/>
    <x v="4"/>
    <x v="2"/>
    <n v="0"/>
    <x v="15"/>
  </r>
  <r>
    <x v="1"/>
    <x v="0"/>
    <x v="4"/>
    <x v="3"/>
    <n v="0"/>
    <x v="15"/>
  </r>
  <r>
    <x v="1"/>
    <x v="0"/>
    <x v="4"/>
    <x v="4"/>
    <n v="0"/>
    <x v="15"/>
  </r>
  <r>
    <x v="1"/>
    <x v="0"/>
    <x v="5"/>
    <x v="0"/>
    <n v="0"/>
    <x v="15"/>
  </r>
  <r>
    <x v="1"/>
    <x v="0"/>
    <x v="5"/>
    <x v="1"/>
    <n v="0"/>
    <x v="15"/>
  </r>
  <r>
    <x v="1"/>
    <x v="0"/>
    <x v="5"/>
    <x v="2"/>
    <n v="0"/>
    <x v="15"/>
  </r>
  <r>
    <x v="1"/>
    <x v="0"/>
    <x v="5"/>
    <x v="3"/>
    <n v="0"/>
    <x v="15"/>
  </r>
  <r>
    <x v="1"/>
    <x v="0"/>
    <x v="5"/>
    <x v="4"/>
    <n v="0"/>
    <x v="15"/>
  </r>
  <r>
    <x v="1"/>
    <x v="0"/>
    <x v="6"/>
    <x v="0"/>
    <n v="2.81E-2"/>
    <x v="15"/>
  </r>
  <r>
    <x v="1"/>
    <x v="0"/>
    <x v="6"/>
    <x v="1"/>
    <n v="2.81E-2"/>
    <x v="15"/>
  </r>
  <r>
    <x v="1"/>
    <x v="0"/>
    <x v="6"/>
    <x v="2"/>
    <n v="5.9999999999999995E-4"/>
    <x v="15"/>
  </r>
  <r>
    <x v="1"/>
    <x v="0"/>
    <x v="6"/>
    <x v="3"/>
    <n v="7.2700000000000001E-2"/>
    <x v="15"/>
  </r>
  <r>
    <x v="1"/>
    <x v="0"/>
    <x v="6"/>
    <x v="4"/>
    <n v="0.2742"/>
    <x v="15"/>
  </r>
  <r>
    <x v="1"/>
    <x v="0"/>
    <x v="7"/>
    <x v="0"/>
    <n v="0.78400000000000003"/>
    <x v="15"/>
  </r>
  <r>
    <x v="1"/>
    <x v="0"/>
    <x v="7"/>
    <x v="1"/>
    <n v="0.82040000000000002"/>
    <x v="15"/>
  </r>
  <r>
    <x v="1"/>
    <x v="0"/>
    <x v="7"/>
    <x v="2"/>
    <n v="0.93"/>
    <x v="15"/>
  </r>
  <r>
    <x v="1"/>
    <x v="0"/>
    <x v="7"/>
    <x v="3"/>
    <n v="0.77529999999999999"/>
    <x v="15"/>
  </r>
  <r>
    <x v="1"/>
    <x v="0"/>
    <x v="7"/>
    <x v="4"/>
    <n v="1.9279999999999999"/>
    <x v="15"/>
  </r>
  <r>
    <x v="1"/>
    <x v="0"/>
    <x v="8"/>
    <x v="0"/>
    <n v="0"/>
    <x v="15"/>
  </r>
  <r>
    <x v="1"/>
    <x v="0"/>
    <x v="8"/>
    <x v="1"/>
    <n v="0"/>
    <x v="15"/>
  </r>
  <r>
    <x v="1"/>
    <x v="0"/>
    <x v="8"/>
    <x v="2"/>
    <n v="0"/>
    <x v="15"/>
  </r>
  <r>
    <x v="1"/>
    <x v="0"/>
    <x v="8"/>
    <x v="3"/>
    <n v="0"/>
    <x v="15"/>
  </r>
  <r>
    <x v="1"/>
    <x v="0"/>
    <x v="8"/>
    <x v="4"/>
    <n v="0"/>
    <x v="15"/>
  </r>
  <r>
    <x v="1"/>
    <x v="0"/>
    <x v="9"/>
    <x v="0"/>
    <n v="0"/>
    <x v="15"/>
  </r>
  <r>
    <x v="1"/>
    <x v="0"/>
    <x v="9"/>
    <x v="1"/>
    <n v="0"/>
    <x v="15"/>
  </r>
  <r>
    <x v="1"/>
    <x v="0"/>
    <x v="9"/>
    <x v="2"/>
    <n v="0"/>
    <x v="15"/>
  </r>
  <r>
    <x v="1"/>
    <x v="0"/>
    <x v="9"/>
    <x v="3"/>
    <n v="0"/>
    <x v="15"/>
  </r>
  <r>
    <x v="1"/>
    <x v="0"/>
    <x v="9"/>
    <x v="4"/>
    <n v="0"/>
    <x v="15"/>
  </r>
  <r>
    <x v="1"/>
    <x v="0"/>
    <x v="10"/>
    <x v="0"/>
    <n v="0"/>
    <x v="15"/>
  </r>
  <r>
    <x v="1"/>
    <x v="0"/>
    <x v="10"/>
    <x v="1"/>
    <n v="0"/>
    <x v="15"/>
  </r>
  <r>
    <x v="1"/>
    <x v="0"/>
    <x v="10"/>
    <x v="2"/>
    <n v="0"/>
    <x v="15"/>
  </r>
  <r>
    <x v="1"/>
    <x v="0"/>
    <x v="10"/>
    <x v="3"/>
    <n v="0"/>
    <x v="15"/>
  </r>
  <r>
    <x v="1"/>
    <x v="0"/>
    <x v="10"/>
    <x v="4"/>
    <n v="0"/>
    <x v="15"/>
  </r>
  <r>
    <x v="1"/>
    <x v="0"/>
    <x v="11"/>
    <x v="0"/>
    <n v="7.4000000000000003E-3"/>
    <x v="15"/>
  </r>
  <r>
    <x v="1"/>
    <x v="0"/>
    <x v="11"/>
    <x v="1"/>
    <n v="2.9999999999999997E-4"/>
    <x v="15"/>
  </r>
  <r>
    <x v="1"/>
    <x v="0"/>
    <x v="11"/>
    <x v="2"/>
    <n v="0"/>
    <x v="15"/>
  </r>
  <r>
    <x v="1"/>
    <x v="0"/>
    <x v="11"/>
    <x v="3"/>
    <n v="0"/>
    <x v="15"/>
  </r>
  <r>
    <x v="1"/>
    <x v="0"/>
    <x v="11"/>
    <x v="4"/>
    <n v="0"/>
    <x v="15"/>
  </r>
  <r>
    <x v="1"/>
    <x v="0"/>
    <x v="12"/>
    <x v="0"/>
    <n v="0"/>
    <x v="15"/>
  </r>
  <r>
    <x v="1"/>
    <x v="0"/>
    <x v="12"/>
    <x v="1"/>
    <n v="0"/>
    <x v="15"/>
  </r>
  <r>
    <x v="1"/>
    <x v="0"/>
    <x v="12"/>
    <x v="2"/>
    <n v="0"/>
    <x v="15"/>
  </r>
  <r>
    <x v="1"/>
    <x v="0"/>
    <x v="12"/>
    <x v="3"/>
    <n v="0"/>
    <x v="15"/>
  </r>
  <r>
    <x v="1"/>
    <x v="0"/>
    <x v="12"/>
    <x v="4"/>
    <n v="0"/>
    <x v="15"/>
  </r>
  <r>
    <x v="1"/>
    <x v="0"/>
    <x v="13"/>
    <x v="0"/>
    <n v="0"/>
    <x v="15"/>
  </r>
  <r>
    <x v="1"/>
    <x v="0"/>
    <x v="13"/>
    <x v="1"/>
    <n v="0"/>
    <x v="15"/>
  </r>
  <r>
    <x v="1"/>
    <x v="0"/>
    <x v="13"/>
    <x v="2"/>
    <n v="0"/>
    <x v="15"/>
  </r>
  <r>
    <x v="1"/>
    <x v="0"/>
    <x v="13"/>
    <x v="3"/>
    <n v="0"/>
    <x v="15"/>
  </r>
  <r>
    <x v="1"/>
    <x v="0"/>
    <x v="13"/>
    <x v="4"/>
    <n v="0"/>
    <x v="15"/>
  </r>
  <r>
    <x v="1"/>
    <x v="0"/>
    <x v="14"/>
    <x v="0"/>
    <n v="0"/>
    <x v="15"/>
  </r>
  <r>
    <x v="1"/>
    <x v="0"/>
    <x v="14"/>
    <x v="1"/>
    <n v="0"/>
    <x v="15"/>
  </r>
  <r>
    <x v="1"/>
    <x v="0"/>
    <x v="14"/>
    <x v="2"/>
    <n v="0"/>
    <x v="15"/>
  </r>
  <r>
    <x v="1"/>
    <x v="0"/>
    <x v="14"/>
    <x v="3"/>
    <n v="0"/>
    <x v="15"/>
  </r>
  <r>
    <x v="1"/>
    <x v="0"/>
    <x v="14"/>
    <x v="4"/>
    <n v="0"/>
    <x v="15"/>
  </r>
  <r>
    <x v="1"/>
    <x v="0"/>
    <x v="15"/>
    <x v="0"/>
    <n v="0"/>
    <x v="15"/>
  </r>
  <r>
    <x v="1"/>
    <x v="0"/>
    <x v="15"/>
    <x v="1"/>
    <n v="0"/>
    <x v="15"/>
  </r>
  <r>
    <x v="1"/>
    <x v="0"/>
    <x v="15"/>
    <x v="2"/>
    <n v="0"/>
    <x v="15"/>
  </r>
  <r>
    <x v="1"/>
    <x v="0"/>
    <x v="15"/>
    <x v="3"/>
    <n v="0"/>
    <x v="15"/>
  </r>
  <r>
    <x v="1"/>
    <x v="0"/>
    <x v="15"/>
    <x v="4"/>
    <n v="0"/>
    <x v="15"/>
  </r>
  <r>
    <x v="1"/>
    <x v="0"/>
    <x v="16"/>
    <x v="0"/>
    <n v="0"/>
    <x v="15"/>
  </r>
  <r>
    <x v="1"/>
    <x v="0"/>
    <x v="16"/>
    <x v="1"/>
    <n v="0"/>
    <x v="15"/>
  </r>
  <r>
    <x v="1"/>
    <x v="0"/>
    <x v="16"/>
    <x v="2"/>
    <n v="0"/>
    <x v="15"/>
  </r>
  <r>
    <x v="1"/>
    <x v="0"/>
    <x v="16"/>
    <x v="3"/>
    <n v="0"/>
    <x v="15"/>
  </r>
  <r>
    <x v="1"/>
    <x v="0"/>
    <x v="16"/>
    <x v="4"/>
    <n v="0"/>
    <x v="15"/>
  </r>
  <r>
    <x v="1"/>
    <x v="0"/>
    <x v="17"/>
    <x v="0"/>
    <n v="1.2699999999999999E-2"/>
    <x v="15"/>
  </r>
  <r>
    <x v="1"/>
    <x v="0"/>
    <x v="17"/>
    <x v="1"/>
    <n v="8.0000000000000004E-4"/>
    <x v="15"/>
  </r>
  <r>
    <x v="1"/>
    <x v="0"/>
    <x v="17"/>
    <x v="2"/>
    <n v="1E-3"/>
    <x v="15"/>
  </r>
  <r>
    <x v="1"/>
    <x v="0"/>
    <x v="17"/>
    <x v="3"/>
    <n v="6.9999999999999999E-4"/>
    <x v="15"/>
  </r>
  <r>
    <x v="1"/>
    <x v="0"/>
    <x v="17"/>
    <x v="4"/>
    <n v="8.9999999999999998E-4"/>
    <x v="15"/>
  </r>
  <r>
    <x v="1"/>
    <x v="0"/>
    <x v="18"/>
    <x v="0"/>
    <n v="0"/>
    <x v="15"/>
  </r>
  <r>
    <x v="1"/>
    <x v="0"/>
    <x v="18"/>
    <x v="1"/>
    <n v="0"/>
    <x v="15"/>
  </r>
  <r>
    <x v="1"/>
    <x v="0"/>
    <x v="18"/>
    <x v="2"/>
    <n v="0"/>
    <x v="15"/>
  </r>
  <r>
    <x v="1"/>
    <x v="0"/>
    <x v="18"/>
    <x v="3"/>
    <n v="0"/>
    <x v="15"/>
  </r>
  <r>
    <x v="1"/>
    <x v="0"/>
    <x v="18"/>
    <x v="4"/>
    <n v="0"/>
    <x v="15"/>
  </r>
  <r>
    <x v="1"/>
    <x v="0"/>
    <x v="19"/>
    <x v="0"/>
    <n v="0"/>
    <x v="15"/>
  </r>
  <r>
    <x v="1"/>
    <x v="0"/>
    <x v="19"/>
    <x v="1"/>
    <n v="0"/>
    <x v="15"/>
  </r>
  <r>
    <x v="1"/>
    <x v="0"/>
    <x v="19"/>
    <x v="2"/>
    <n v="0"/>
    <x v="15"/>
  </r>
  <r>
    <x v="1"/>
    <x v="0"/>
    <x v="19"/>
    <x v="3"/>
    <n v="0"/>
    <x v="15"/>
  </r>
  <r>
    <x v="1"/>
    <x v="0"/>
    <x v="19"/>
    <x v="4"/>
    <n v="0"/>
    <x v="15"/>
  </r>
  <r>
    <x v="1"/>
    <x v="0"/>
    <x v="20"/>
    <x v="0"/>
    <n v="0"/>
    <x v="15"/>
  </r>
  <r>
    <x v="1"/>
    <x v="0"/>
    <x v="20"/>
    <x v="1"/>
    <n v="0"/>
    <x v="15"/>
  </r>
  <r>
    <x v="1"/>
    <x v="0"/>
    <x v="20"/>
    <x v="2"/>
    <n v="0"/>
    <x v="15"/>
  </r>
  <r>
    <x v="1"/>
    <x v="0"/>
    <x v="20"/>
    <x v="3"/>
    <n v="0"/>
    <x v="15"/>
  </r>
  <r>
    <x v="1"/>
    <x v="0"/>
    <x v="20"/>
    <x v="4"/>
    <n v="0"/>
    <x v="15"/>
  </r>
  <r>
    <x v="1"/>
    <x v="0"/>
    <x v="21"/>
    <x v="0"/>
    <n v="0"/>
    <x v="15"/>
  </r>
  <r>
    <x v="1"/>
    <x v="0"/>
    <x v="21"/>
    <x v="1"/>
    <n v="0"/>
    <x v="15"/>
  </r>
  <r>
    <x v="1"/>
    <x v="0"/>
    <x v="21"/>
    <x v="2"/>
    <n v="0"/>
    <x v="15"/>
  </r>
  <r>
    <x v="1"/>
    <x v="0"/>
    <x v="21"/>
    <x v="3"/>
    <n v="0"/>
    <x v="15"/>
  </r>
  <r>
    <x v="1"/>
    <x v="0"/>
    <x v="21"/>
    <x v="4"/>
    <n v="0"/>
    <x v="15"/>
  </r>
  <r>
    <x v="1"/>
    <x v="0"/>
    <x v="22"/>
    <x v="0"/>
    <n v="0"/>
    <x v="15"/>
  </r>
  <r>
    <x v="1"/>
    <x v="0"/>
    <x v="22"/>
    <x v="1"/>
    <n v="0"/>
    <x v="15"/>
  </r>
  <r>
    <x v="1"/>
    <x v="0"/>
    <x v="22"/>
    <x v="2"/>
    <n v="0"/>
    <x v="15"/>
  </r>
  <r>
    <x v="1"/>
    <x v="0"/>
    <x v="22"/>
    <x v="3"/>
    <n v="0"/>
    <x v="15"/>
  </r>
  <r>
    <x v="1"/>
    <x v="0"/>
    <x v="22"/>
    <x v="4"/>
    <n v="0"/>
    <x v="15"/>
  </r>
  <r>
    <x v="1"/>
    <x v="0"/>
    <x v="23"/>
    <x v="0"/>
    <n v="0"/>
    <x v="15"/>
  </r>
  <r>
    <x v="1"/>
    <x v="0"/>
    <x v="23"/>
    <x v="1"/>
    <n v="0"/>
    <x v="15"/>
  </r>
  <r>
    <x v="1"/>
    <x v="0"/>
    <x v="23"/>
    <x v="2"/>
    <n v="0"/>
    <x v="15"/>
  </r>
  <r>
    <x v="1"/>
    <x v="0"/>
    <x v="23"/>
    <x v="3"/>
    <n v="0"/>
    <x v="15"/>
  </r>
  <r>
    <x v="1"/>
    <x v="0"/>
    <x v="23"/>
    <x v="4"/>
    <n v="0"/>
    <x v="15"/>
  </r>
  <r>
    <x v="1"/>
    <x v="0"/>
    <x v="24"/>
    <x v="0"/>
    <n v="0"/>
    <x v="15"/>
  </r>
  <r>
    <x v="1"/>
    <x v="0"/>
    <x v="24"/>
    <x v="1"/>
    <n v="0"/>
    <x v="15"/>
  </r>
  <r>
    <x v="1"/>
    <x v="0"/>
    <x v="24"/>
    <x v="2"/>
    <n v="0"/>
    <x v="15"/>
  </r>
  <r>
    <x v="1"/>
    <x v="0"/>
    <x v="24"/>
    <x v="3"/>
    <n v="0"/>
    <x v="15"/>
  </r>
  <r>
    <x v="1"/>
    <x v="0"/>
    <x v="24"/>
    <x v="4"/>
    <n v="0"/>
    <x v="15"/>
  </r>
  <r>
    <x v="1"/>
    <x v="0"/>
    <x v="25"/>
    <x v="0"/>
    <n v="0"/>
    <x v="15"/>
  </r>
  <r>
    <x v="1"/>
    <x v="0"/>
    <x v="25"/>
    <x v="1"/>
    <n v="0"/>
    <x v="15"/>
  </r>
  <r>
    <x v="1"/>
    <x v="0"/>
    <x v="25"/>
    <x v="2"/>
    <n v="0"/>
    <x v="15"/>
  </r>
  <r>
    <x v="1"/>
    <x v="0"/>
    <x v="25"/>
    <x v="3"/>
    <n v="0"/>
    <x v="15"/>
  </r>
  <r>
    <x v="1"/>
    <x v="0"/>
    <x v="25"/>
    <x v="4"/>
    <n v="0"/>
    <x v="15"/>
  </r>
  <r>
    <x v="1"/>
    <x v="0"/>
    <x v="26"/>
    <x v="0"/>
    <n v="0.1472"/>
    <x v="15"/>
  </r>
  <r>
    <x v="1"/>
    <x v="0"/>
    <x v="26"/>
    <x v="1"/>
    <n v="0.2576"/>
    <x v="15"/>
  </r>
  <r>
    <x v="1"/>
    <x v="0"/>
    <x v="26"/>
    <x v="2"/>
    <n v="0"/>
    <x v="15"/>
  </r>
  <r>
    <x v="1"/>
    <x v="0"/>
    <x v="26"/>
    <x v="3"/>
    <n v="0"/>
    <x v="15"/>
  </r>
  <r>
    <x v="1"/>
    <x v="0"/>
    <x v="26"/>
    <x v="4"/>
    <n v="0"/>
    <x v="15"/>
  </r>
  <r>
    <x v="1"/>
    <x v="0"/>
    <x v="27"/>
    <x v="0"/>
    <n v="0"/>
    <x v="15"/>
  </r>
  <r>
    <x v="1"/>
    <x v="0"/>
    <x v="27"/>
    <x v="1"/>
    <n v="0"/>
    <x v="15"/>
  </r>
  <r>
    <x v="1"/>
    <x v="0"/>
    <x v="27"/>
    <x v="2"/>
    <n v="0"/>
    <x v="15"/>
  </r>
  <r>
    <x v="1"/>
    <x v="0"/>
    <x v="27"/>
    <x v="3"/>
    <n v="0"/>
    <x v="15"/>
  </r>
  <r>
    <x v="1"/>
    <x v="0"/>
    <x v="27"/>
    <x v="4"/>
    <n v="0"/>
    <x v="15"/>
  </r>
  <r>
    <x v="1"/>
    <x v="0"/>
    <x v="28"/>
    <x v="0"/>
    <n v="0"/>
    <x v="15"/>
  </r>
  <r>
    <x v="1"/>
    <x v="0"/>
    <x v="28"/>
    <x v="1"/>
    <n v="0"/>
    <x v="15"/>
  </r>
  <r>
    <x v="1"/>
    <x v="0"/>
    <x v="28"/>
    <x v="2"/>
    <n v="0"/>
    <x v="15"/>
  </r>
  <r>
    <x v="1"/>
    <x v="0"/>
    <x v="28"/>
    <x v="3"/>
    <n v="0"/>
    <x v="15"/>
  </r>
  <r>
    <x v="1"/>
    <x v="0"/>
    <x v="28"/>
    <x v="4"/>
    <n v="0"/>
    <x v="15"/>
  </r>
  <r>
    <x v="1"/>
    <x v="0"/>
    <x v="29"/>
    <x v="0"/>
    <n v="0"/>
    <x v="15"/>
  </r>
  <r>
    <x v="1"/>
    <x v="0"/>
    <x v="29"/>
    <x v="1"/>
    <n v="0"/>
    <x v="15"/>
  </r>
  <r>
    <x v="1"/>
    <x v="0"/>
    <x v="29"/>
    <x v="2"/>
    <n v="0"/>
    <x v="15"/>
  </r>
  <r>
    <x v="1"/>
    <x v="0"/>
    <x v="29"/>
    <x v="3"/>
    <n v="0"/>
    <x v="15"/>
  </r>
  <r>
    <x v="1"/>
    <x v="0"/>
    <x v="29"/>
    <x v="4"/>
    <n v="0"/>
    <x v="15"/>
  </r>
  <r>
    <x v="1"/>
    <x v="0"/>
    <x v="30"/>
    <x v="0"/>
    <n v="0"/>
    <x v="15"/>
  </r>
  <r>
    <x v="1"/>
    <x v="0"/>
    <x v="30"/>
    <x v="1"/>
    <n v="0"/>
    <x v="15"/>
  </r>
  <r>
    <x v="1"/>
    <x v="0"/>
    <x v="30"/>
    <x v="2"/>
    <n v="0"/>
    <x v="15"/>
  </r>
  <r>
    <x v="1"/>
    <x v="0"/>
    <x v="30"/>
    <x v="3"/>
    <n v="0"/>
    <x v="15"/>
  </r>
  <r>
    <x v="1"/>
    <x v="0"/>
    <x v="30"/>
    <x v="4"/>
    <n v="0"/>
    <x v="15"/>
  </r>
  <r>
    <x v="1"/>
    <x v="0"/>
    <x v="31"/>
    <x v="0"/>
    <n v="1.8480000000000001"/>
    <x v="15"/>
  </r>
  <r>
    <x v="1"/>
    <x v="0"/>
    <x v="31"/>
    <x v="1"/>
    <n v="3.234"/>
    <x v="15"/>
  </r>
  <r>
    <x v="1"/>
    <x v="0"/>
    <x v="31"/>
    <x v="2"/>
    <n v="4.4542000000000002"/>
    <x v="15"/>
  </r>
  <r>
    <x v="1"/>
    <x v="0"/>
    <x v="31"/>
    <x v="3"/>
    <n v="3.6120000000000001"/>
    <x v="15"/>
  </r>
  <r>
    <x v="1"/>
    <x v="0"/>
    <x v="31"/>
    <x v="4"/>
    <n v="7.2824"/>
    <x v="15"/>
  </r>
  <r>
    <x v="1"/>
    <x v="0"/>
    <x v="32"/>
    <x v="0"/>
    <n v="0"/>
    <x v="15"/>
  </r>
  <r>
    <x v="1"/>
    <x v="0"/>
    <x v="32"/>
    <x v="1"/>
    <n v="0"/>
    <x v="15"/>
  </r>
  <r>
    <x v="1"/>
    <x v="0"/>
    <x v="32"/>
    <x v="2"/>
    <n v="0"/>
    <x v="15"/>
  </r>
  <r>
    <x v="1"/>
    <x v="0"/>
    <x v="32"/>
    <x v="3"/>
    <n v="0"/>
    <x v="15"/>
  </r>
  <r>
    <x v="1"/>
    <x v="0"/>
    <x v="32"/>
    <x v="4"/>
    <n v="0"/>
    <x v="15"/>
  </r>
  <r>
    <x v="1"/>
    <x v="0"/>
    <x v="33"/>
    <x v="0"/>
    <n v="0"/>
    <x v="15"/>
  </r>
  <r>
    <x v="1"/>
    <x v="0"/>
    <x v="33"/>
    <x v="1"/>
    <n v="0"/>
    <x v="15"/>
  </r>
  <r>
    <x v="1"/>
    <x v="0"/>
    <x v="33"/>
    <x v="2"/>
    <n v="0"/>
    <x v="15"/>
  </r>
  <r>
    <x v="1"/>
    <x v="0"/>
    <x v="33"/>
    <x v="3"/>
    <n v="0"/>
    <x v="15"/>
  </r>
  <r>
    <x v="1"/>
    <x v="0"/>
    <x v="33"/>
    <x v="4"/>
    <n v="0"/>
    <x v="15"/>
  </r>
  <r>
    <x v="1"/>
    <x v="0"/>
    <x v="34"/>
    <x v="0"/>
    <n v="0"/>
    <x v="15"/>
  </r>
  <r>
    <x v="1"/>
    <x v="0"/>
    <x v="34"/>
    <x v="1"/>
    <n v="0"/>
    <x v="15"/>
  </r>
  <r>
    <x v="1"/>
    <x v="0"/>
    <x v="34"/>
    <x v="2"/>
    <n v="0"/>
    <x v="15"/>
  </r>
  <r>
    <x v="1"/>
    <x v="0"/>
    <x v="34"/>
    <x v="3"/>
    <n v="0"/>
    <x v="15"/>
  </r>
  <r>
    <x v="1"/>
    <x v="0"/>
    <x v="34"/>
    <x v="4"/>
    <n v="0"/>
    <x v="15"/>
  </r>
  <r>
    <x v="1"/>
    <x v="0"/>
    <x v="35"/>
    <x v="0"/>
    <n v="0"/>
    <x v="15"/>
  </r>
  <r>
    <x v="1"/>
    <x v="0"/>
    <x v="35"/>
    <x v="1"/>
    <n v="0"/>
    <x v="15"/>
  </r>
  <r>
    <x v="1"/>
    <x v="0"/>
    <x v="35"/>
    <x v="2"/>
    <n v="0"/>
    <x v="15"/>
  </r>
  <r>
    <x v="1"/>
    <x v="0"/>
    <x v="35"/>
    <x v="3"/>
    <n v="0"/>
    <x v="15"/>
  </r>
  <r>
    <x v="1"/>
    <x v="0"/>
    <x v="35"/>
    <x v="4"/>
    <n v="0"/>
    <x v="15"/>
  </r>
  <r>
    <x v="1"/>
    <x v="0"/>
    <x v="36"/>
    <x v="0"/>
    <n v="0"/>
    <x v="15"/>
  </r>
  <r>
    <x v="1"/>
    <x v="0"/>
    <x v="36"/>
    <x v="1"/>
    <n v="0"/>
    <x v="15"/>
  </r>
  <r>
    <x v="1"/>
    <x v="0"/>
    <x v="36"/>
    <x v="2"/>
    <n v="0"/>
    <x v="15"/>
  </r>
  <r>
    <x v="1"/>
    <x v="0"/>
    <x v="36"/>
    <x v="3"/>
    <n v="0"/>
    <x v="15"/>
  </r>
  <r>
    <x v="1"/>
    <x v="0"/>
    <x v="36"/>
    <x v="4"/>
    <n v="0"/>
    <x v="15"/>
  </r>
  <r>
    <x v="1"/>
    <x v="0"/>
    <x v="37"/>
    <x v="0"/>
    <n v="0"/>
    <x v="15"/>
  </r>
  <r>
    <x v="1"/>
    <x v="0"/>
    <x v="37"/>
    <x v="1"/>
    <n v="0"/>
    <x v="15"/>
  </r>
  <r>
    <x v="1"/>
    <x v="0"/>
    <x v="37"/>
    <x v="2"/>
    <n v="0"/>
    <x v="15"/>
  </r>
  <r>
    <x v="1"/>
    <x v="0"/>
    <x v="37"/>
    <x v="3"/>
    <n v="0"/>
    <x v="15"/>
  </r>
  <r>
    <x v="1"/>
    <x v="0"/>
    <x v="37"/>
    <x v="4"/>
    <n v="0"/>
    <x v="15"/>
  </r>
  <r>
    <x v="1"/>
    <x v="0"/>
    <x v="0"/>
    <x v="0"/>
    <n v="0"/>
    <x v="16"/>
  </r>
  <r>
    <x v="1"/>
    <x v="0"/>
    <x v="0"/>
    <x v="1"/>
    <n v="0"/>
    <x v="16"/>
  </r>
  <r>
    <x v="1"/>
    <x v="0"/>
    <x v="0"/>
    <x v="2"/>
    <n v="0"/>
    <x v="16"/>
  </r>
  <r>
    <x v="1"/>
    <x v="0"/>
    <x v="0"/>
    <x v="3"/>
    <n v="0"/>
    <x v="16"/>
  </r>
  <r>
    <x v="1"/>
    <x v="0"/>
    <x v="0"/>
    <x v="4"/>
    <n v="0"/>
    <x v="16"/>
  </r>
  <r>
    <x v="1"/>
    <x v="0"/>
    <x v="1"/>
    <x v="0"/>
    <n v="0"/>
    <x v="16"/>
  </r>
  <r>
    <x v="1"/>
    <x v="0"/>
    <x v="1"/>
    <x v="1"/>
    <n v="0"/>
    <x v="16"/>
  </r>
  <r>
    <x v="1"/>
    <x v="0"/>
    <x v="1"/>
    <x v="2"/>
    <n v="0"/>
    <x v="16"/>
  </r>
  <r>
    <x v="1"/>
    <x v="0"/>
    <x v="1"/>
    <x v="3"/>
    <n v="0"/>
    <x v="16"/>
  </r>
  <r>
    <x v="1"/>
    <x v="0"/>
    <x v="1"/>
    <x v="4"/>
    <n v="0"/>
    <x v="16"/>
  </r>
  <r>
    <x v="1"/>
    <x v="0"/>
    <x v="2"/>
    <x v="0"/>
    <n v="0"/>
    <x v="16"/>
  </r>
  <r>
    <x v="1"/>
    <x v="0"/>
    <x v="2"/>
    <x v="1"/>
    <n v="0"/>
    <x v="16"/>
  </r>
  <r>
    <x v="1"/>
    <x v="0"/>
    <x v="2"/>
    <x v="2"/>
    <n v="0"/>
    <x v="16"/>
  </r>
  <r>
    <x v="1"/>
    <x v="0"/>
    <x v="2"/>
    <x v="3"/>
    <n v="0"/>
    <x v="16"/>
  </r>
  <r>
    <x v="1"/>
    <x v="0"/>
    <x v="2"/>
    <x v="4"/>
    <n v="0"/>
    <x v="16"/>
  </r>
  <r>
    <x v="1"/>
    <x v="0"/>
    <x v="3"/>
    <x v="0"/>
    <n v="0"/>
    <x v="16"/>
  </r>
  <r>
    <x v="1"/>
    <x v="0"/>
    <x v="3"/>
    <x v="1"/>
    <n v="0"/>
    <x v="16"/>
  </r>
  <r>
    <x v="1"/>
    <x v="0"/>
    <x v="3"/>
    <x v="2"/>
    <n v="0"/>
    <x v="16"/>
  </r>
  <r>
    <x v="1"/>
    <x v="0"/>
    <x v="3"/>
    <x v="3"/>
    <n v="0"/>
    <x v="16"/>
  </r>
  <r>
    <x v="1"/>
    <x v="0"/>
    <x v="3"/>
    <x v="4"/>
    <n v="0"/>
    <x v="16"/>
  </r>
  <r>
    <x v="1"/>
    <x v="0"/>
    <x v="4"/>
    <x v="0"/>
    <n v="0"/>
    <x v="16"/>
  </r>
  <r>
    <x v="1"/>
    <x v="0"/>
    <x v="4"/>
    <x v="1"/>
    <n v="0"/>
    <x v="16"/>
  </r>
  <r>
    <x v="1"/>
    <x v="0"/>
    <x v="4"/>
    <x v="2"/>
    <n v="0"/>
    <x v="16"/>
  </r>
  <r>
    <x v="1"/>
    <x v="0"/>
    <x v="4"/>
    <x v="3"/>
    <n v="0"/>
    <x v="16"/>
  </r>
  <r>
    <x v="1"/>
    <x v="0"/>
    <x v="4"/>
    <x v="4"/>
    <n v="0"/>
    <x v="16"/>
  </r>
  <r>
    <x v="1"/>
    <x v="0"/>
    <x v="5"/>
    <x v="0"/>
    <n v="0"/>
    <x v="16"/>
  </r>
  <r>
    <x v="1"/>
    <x v="0"/>
    <x v="5"/>
    <x v="1"/>
    <n v="0"/>
    <x v="16"/>
  </r>
  <r>
    <x v="1"/>
    <x v="0"/>
    <x v="5"/>
    <x v="2"/>
    <n v="0"/>
    <x v="16"/>
  </r>
  <r>
    <x v="1"/>
    <x v="0"/>
    <x v="5"/>
    <x v="3"/>
    <n v="0"/>
    <x v="16"/>
  </r>
  <r>
    <x v="1"/>
    <x v="0"/>
    <x v="5"/>
    <x v="4"/>
    <n v="0"/>
    <x v="16"/>
  </r>
  <r>
    <x v="1"/>
    <x v="0"/>
    <x v="6"/>
    <x v="0"/>
    <n v="0"/>
    <x v="16"/>
  </r>
  <r>
    <x v="1"/>
    <x v="0"/>
    <x v="6"/>
    <x v="1"/>
    <n v="0"/>
    <x v="16"/>
  </r>
  <r>
    <x v="1"/>
    <x v="0"/>
    <x v="6"/>
    <x v="2"/>
    <n v="0"/>
    <x v="16"/>
  </r>
  <r>
    <x v="1"/>
    <x v="0"/>
    <x v="6"/>
    <x v="3"/>
    <n v="0"/>
    <x v="16"/>
  </r>
  <r>
    <x v="1"/>
    <x v="0"/>
    <x v="6"/>
    <x v="4"/>
    <n v="0"/>
    <x v="16"/>
  </r>
  <r>
    <x v="1"/>
    <x v="0"/>
    <x v="7"/>
    <x v="0"/>
    <n v="0"/>
    <x v="16"/>
  </r>
  <r>
    <x v="1"/>
    <x v="0"/>
    <x v="7"/>
    <x v="1"/>
    <n v="0"/>
    <x v="16"/>
  </r>
  <r>
    <x v="1"/>
    <x v="0"/>
    <x v="7"/>
    <x v="2"/>
    <n v="0"/>
    <x v="16"/>
  </r>
  <r>
    <x v="1"/>
    <x v="0"/>
    <x v="7"/>
    <x v="3"/>
    <n v="0"/>
    <x v="16"/>
  </r>
  <r>
    <x v="1"/>
    <x v="0"/>
    <x v="7"/>
    <x v="4"/>
    <n v="0"/>
    <x v="16"/>
  </r>
  <r>
    <x v="1"/>
    <x v="0"/>
    <x v="8"/>
    <x v="0"/>
    <n v="0"/>
    <x v="16"/>
  </r>
  <r>
    <x v="1"/>
    <x v="0"/>
    <x v="8"/>
    <x v="1"/>
    <n v="0"/>
    <x v="16"/>
  </r>
  <r>
    <x v="1"/>
    <x v="0"/>
    <x v="8"/>
    <x v="2"/>
    <n v="0"/>
    <x v="16"/>
  </r>
  <r>
    <x v="1"/>
    <x v="0"/>
    <x v="8"/>
    <x v="3"/>
    <n v="0"/>
    <x v="16"/>
  </r>
  <r>
    <x v="1"/>
    <x v="0"/>
    <x v="8"/>
    <x v="4"/>
    <n v="0"/>
    <x v="16"/>
  </r>
  <r>
    <x v="1"/>
    <x v="0"/>
    <x v="9"/>
    <x v="0"/>
    <n v="0"/>
    <x v="16"/>
  </r>
  <r>
    <x v="1"/>
    <x v="0"/>
    <x v="9"/>
    <x v="1"/>
    <n v="0"/>
    <x v="16"/>
  </r>
  <r>
    <x v="1"/>
    <x v="0"/>
    <x v="9"/>
    <x v="2"/>
    <n v="0"/>
    <x v="16"/>
  </r>
  <r>
    <x v="1"/>
    <x v="0"/>
    <x v="9"/>
    <x v="3"/>
    <n v="0"/>
    <x v="16"/>
  </r>
  <r>
    <x v="1"/>
    <x v="0"/>
    <x v="9"/>
    <x v="4"/>
    <n v="0"/>
    <x v="16"/>
  </r>
  <r>
    <x v="1"/>
    <x v="0"/>
    <x v="10"/>
    <x v="0"/>
    <n v="0"/>
    <x v="16"/>
  </r>
  <r>
    <x v="1"/>
    <x v="0"/>
    <x v="10"/>
    <x v="1"/>
    <n v="0"/>
    <x v="16"/>
  </r>
  <r>
    <x v="1"/>
    <x v="0"/>
    <x v="10"/>
    <x v="2"/>
    <n v="0"/>
    <x v="16"/>
  </r>
  <r>
    <x v="1"/>
    <x v="0"/>
    <x v="10"/>
    <x v="3"/>
    <n v="0"/>
    <x v="16"/>
  </r>
  <r>
    <x v="1"/>
    <x v="0"/>
    <x v="10"/>
    <x v="4"/>
    <n v="0"/>
    <x v="16"/>
  </r>
  <r>
    <x v="1"/>
    <x v="0"/>
    <x v="11"/>
    <x v="0"/>
    <n v="0"/>
    <x v="16"/>
  </r>
  <r>
    <x v="1"/>
    <x v="0"/>
    <x v="11"/>
    <x v="1"/>
    <n v="0"/>
    <x v="16"/>
  </r>
  <r>
    <x v="1"/>
    <x v="0"/>
    <x v="11"/>
    <x v="2"/>
    <n v="0"/>
    <x v="16"/>
  </r>
  <r>
    <x v="1"/>
    <x v="0"/>
    <x v="11"/>
    <x v="3"/>
    <n v="0"/>
    <x v="16"/>
  </r>
  <r>
    <x v="1"/>
    <x v="0"/>
    <x v="11"/>
    <x v="4"/>
    <n v="0"/>
    <x v="16"/>
  </r>
  <r>
    <x v="1"/>
    <x v="0"/>
    <x v="12"/>
    <x v="0"/>
    <n v="0"/>
    <x v="16"/>
  </r>
  <r>
    <x v="1"/>
    <x v="0"/>
    <x v="12"/>
    <x v="1"/>
    <n v="0"/>
    <x v="16"/>
  </r>
  <r>
    <x v="1"/>
    <x v="0"/>
    <x v="12"/>
    <x v="2"/>
    <n v="0"/>
    <x v="16"/>
  </r>
  <r>
    <x v="1"/>
    <x v="0"/>
    <x v="12"/>
    <x v="3"/>
    <n v="0"/>
    <x v="16"/>
  </r>
  <r>
    <x v="1"/>
    <x v="0"/>
    <x v="12"/>
    <x v="4"/>
    <n v="0"/>
    <x v="16"/>
  </r>
  <r>
    <x v="1"/>
    <x v="0"/>
    <x v="13"/>
    <x v="0"/>
    <n v="0"/>
    <x v="16"/>
  </r>
  <r>
    <x v="1"/>
    <x v="0"/>
    <x v="13"/>
    <x v="1"/>
    <n v="0"/>
    <x v="16"/>
  </r>
  <r>
    <x v="1"/>
    <x v="0"/>
    <x v="13"/>
    <x v="2"/>
    <n v="0"/>
    <x v="16"/>
  </r>
  <r>
    <x v="1"/>
    <x v="0"/>
    <x v="13"/>
    <x v="3"/>
    <n v="0"/>
    <x v="16"/>
  </r>
  <r>
    <x v="1"/>
    <x v="0"/>
    <x v="13"/>
    <x v="4"/>
    <n v="0"/>
    <x v="16"/>
  </r>
  <r>
    <x v="1"/>
    <x v="0"/>
    <x v="14"/>
    <x v="0"/>
    <n v="0"/>
    <x v="16"/>
  </r>
  <r>
    <x v="1"/>
    <x v="0"/>
    <x v="14"/>
    <x v="1"/>
    <n v="0"/>
    <x v="16"/>
  </r>
  <r>
    <x v="1"/>
    <x v="0"/>
    <x v="14"/>
    <x v="2"/>
    <n v="0"/>
    <x v="16"/>
  </r>
  <r>
    <x v="1"/>
    <x v="0"/>
    <x v="14"/>
    <x v="3"/>
    <n v="0"/>
    <x v="16"/>
  </r>
  <r>
    <x v="1"/>
    <x v="0"/>
    <x v="14"/>
    <x v="4"/>
    <n v="0"/>
    <x v="16"/>
  </r>
  <r>
    <x v="1"/>
    <x v="0"/>
    <x v="15"/>
    <x v="0"/>
    <n v="0"/>
    <x v="16"/>
  </r>
  <r>
    <x v="1"/>
    <x v="0"/>
    <x v="15"/>
    <x v="1"/>
    <n v="0"/>
    <x v="16"/>
  </r>
  <r>
    <x v="1"/>
    <x v="0"/>
    <x v="15"/>
    <x v="2"/>
    <n v="0"/>
    <x v="16"/>
  </r>
  <r>
    <x v="1"/>
    <x v="0"/>
    <x v="15"/>
    <x v="3"/>
    <n v="0"/>
    <x v="16"/>
  </r>
  <r>
    <x v="1"/>
    <x v="0"/>
    <x v="15"/>
    <x v="4"/>
    <n v="0"/>
    <x v="16"/>
  </r>
  <r>
    <x v="1"/>
    <x v="0"/>
    <x v="16"/>
    <x v="0"/>
    <n v="0"/>
    <x v="16"/>
  </r>
  <r>
    <x v="1"/>
    <x v="0"/>
    <x v="16"/>
    <x v="1"/>
    <n v="0"/>
    <x v="16"/>
  </r>
  <r>
    <x v="1"/>
    <x v="0"/>
    <x v="16"/>
    <x v="2"/>
    <n v="0"/>
    <x v="16"/>
  </r>
  <r>
    <x v="1"/>
    <x v="0"/>
    <x v="16"/>
    <x v="3"/>
    <n v="0"/>
    <x v="16"/>
  </r>
  <r>
    <x v="1"/>
    <x v="0"/>
    <x v="16"/>
    <x v="4"/>
    <n v="0"/>
    <x v="16"/>
  </r>
  <r>
    <x v="1"/>
    <x v="0"/>
    <x v="17"/>
    <x v="0"/>
    <n v="0"/>
    <x v="16"/>
  </r>
  <r>
    <x v="1"/>
    <x v="0"/>
    <x v="17"/>
    <x v="1"/>
    <n v="0"/>
    <x v="16"/>
  </r>
  <r>
    <x v="1"/>
    <x v="0"/>
    <x v="17"/>
    <x v="2"/>
    <n v="0"/>
    <x v="16"/>
  </r>
  <r>
    <x v="1"/>
    <x v="0"/>
    <x v="17"/>
    <x v="3"/>
    <n v="0"/>
    <x v="16"/>
  </r>
  <r>
    <x v="1"/>
    <x v="0"/>
    <x v="17"/>
    <x v="4"/>
    <n v="0"/>
    <x v="16"/>
  </r>
  <r>
    <x v="1"/>
    <x v="0"/>
    <x v="18"/>
    <x v="0"/>
    <n v="0"/>
    <x v="16"/>
  </r>
  <r>
    <x v="1"/>
    <x v="0"/>
    <x v="18"/>
    <x v="1"/>
    <n v="0"/>
    <x v="16"/>
  </r>
  <r>
    <x v="1"/>
    <x v="0"/>
    <x v="18"/>
    <x v="2"/>
    <n v="0"/>
    <x v="16"/>
  </r>
  <r>
    <x v="1"/>
    <x v="0"/>
    <x v="18"/>
    <x v="3"/>
    <n v="0"/>
    <x v="16"/>
  </r>
  <r>
    <x v="1"/>
    <x v="0"/>
    <x v="18"/>
    <x v="4"/>
    <n v="0"/>
    <x v="16"/>
  </r>
  <r>
    <x v="1"/>
    <x v="0"/>
    <x v="19"/>
    <x v="0"/>
    <n v="0"/>
    <x v="16"/>
  </r>
  <r>
    <x v="1"/>
    <x v="0"/>
    <x v="19"/>
    <x v="1"/>
    <n v="0"/>
    <x v="16"/>
  </r>
  <r>
    <x v="1"/>
    <x v="0"/>
    <x v="19"/>
    <x v="2"/>
    <n v="0"/>
    <x v="16"/>
  </r>
  <r>
    <x v="1"/>
    <x v="0"/>
    <x v="19"/>
    <x v="3"/>
    <n v="0"/>
    <x v="16"/>
  </r>
  <r>
    <x v="1"/>
    <x v="0"/>
    <x v="19"/>
    <x v="4"/>
    <n v="0"/>
    <x v="16"/>
  </r>
  <r>
    <x v="1"/>
    <x v="0"/>
    <x v="20"/>
    <x v="0"/>
    <n v="0"/>
    <x v="16"/>
  </r>
  <r>
    <x v="1"/>
    <x v="0"/>
    <x v="20"/>
    <x v="1"/>
    <n v="0"/>
    <x v="16"/>
  </r>
  <r>
    <x v="1"/>
    <x v="0"/>
    <x v="20"/>
    <x v="2"/>
    <n v="0"/>
    <x v="16"/>
  </r>
  <r>
    <x v="1"/>
    <x v="0"/>
    <x v="20"/>
    <x v="3"/>
    <n v="0"/>
    <x v="16"/>
  </r>
  <r>
    <x v="1"/>
    <x v="0"/>
    <x v="20"/>
    <x v="4"/>
    <n v="0"/>
    <x v="16"/>
  </r>
  <r>
    <x v="1"/>
    <x v="0"/>
    <x v="21"/>
    <x v="0"/>
    <n v="0"/>
    <x v="16"/>
  </r>
  <r>
    <x v="1"/>
    <x v="0"/>
    <x v="21"/>
    <x v="1"/>
    <n v="0"/>
    <x v="16"/>
  </r>
  <r>
    <x v="1"/>
    <x v="0"/>
    <x v="21"/>
    <x v="2"/>
    <n v="0"/>
    <x v="16"/>
  </r>
  <r>
    <x v="1"/>
    <x v="0"/>
    <x v="21"/>
    <x v="3"/>
    <n v="0"/>
    <x v="16"/>
  </r>
  <r>
    <x v="1"/>
    <x v="0"/>
    <x v="21"/>
    <x v="4"/>
    <n v="0"/>
    <x v="16"/>
  </r>
  <r>
    <x v="1"/>
    <x v="0"/>
    <x v="22"/>
    <x v="0"/>
    <n v="0"/>
    <x v="16"/>
  </r>
  <r>
    <x v="1"/>
    <x v="0"/>
    <x v="22"/>
    <x v="1"/>
    <n v="0"/>
    <x v="16"/>
  </r>
  <r>
    <x v="1"/>
    <x v="0"/>
    <x v="22"/>
    <x v="2"/>
    <n v="0"/>
    <x v="16"/>
  </r>
  <r>
    <x v="1"/>
    <x v="0"/>
    <x v="22"/>
    <x v="3"/>
    <n v="0"/>
    <x v="16"/>
  </r>
  <r>
    <x v="1"/>
    <x v="0"/>
    <x v="22"/>
    <x v="4"/>
    <n v="0"/>
    <x v="16"/>
  </r>
  <r>
    <x v="1"/>
    <x v="0"/>
    <x v="23"/>
    <x v="0"/>
    <n v="0"/>
    <x v="16"/>
  </r>
  <r>
    <x v="1"/>
    <x v="0"/>
    <x v="23"/>
    <x v="1"/>
    <n v="0"/>
    <x v="16"/>
  </r>
  <r>
    <x v="1"/>
    <x v="0"/>
    <x v="23"/>
    <x v="2"/>
    <n v="0"/>
    <x v="16"/>
  </r>
  <r>
    <x v="1"/>
    <x v="0"/>
    <x v="23"/>
    <x v="3"/>
    <n v="0"/>
    <x v="16"/>
  </r>
  <r>
    <x v="1"/>
    <x v="0"/>
    <x v="23"/>
    <x v="4"/>
    <n v="0"/>
    <x v="16"/>
  </r>
  <r>
    <x v="1"/>
    <x v="0"/>
    <x v="24"/>
    <x v="0"/>
    <n v="0"/>
    <x v="16"/>
  </r>
  <r>
    <x v="1"/>
    <x v="0"/>
    <x v="24"/>
    <x v="1"/>
    <n v="0"/>
    <x v="16"/>
  </r>
  <r>
    <x v="1"/>
    <x v="0"/>
    <x v="24"/>
    <x v="2"/>
    <n v="0"/>
    <x v="16"/>
  </r>
  <r>
    <x v="1"/>
    <x v="0"/>
    <x v="24"/>
    <x v="3"/>
    <n v="0"/>
    <x v="16"/>
  </r>
  <r>
    <x v="1"/>
    <x v="0"/>
    <x v="24"/>
    <x v="4"/>
    <n v="0"/>
    <x v="16"/>
  </r>
  <r>
    <x v="1"/>
    <x v="0"/>
    <x v="25"/>
    <x v="0"/>
    <n v="0"/>
    <x v="16"/>
  </r>
  <r>
    <x v="1"/>
    <x v="0"/>
    <x v="25"/>
    <x v="1"/>
    <n v="0"/>
    <x v="16"/>
  </r>
  <r>
    <x v="1"/>
    <x v="0"/>
    <x v="25"/>
    <x v="2"/>
    <n v="0"/>
    <x v="16"/>
  </r>
  <r>
    <x v="1"/>
    <x v="0"/>
    <x v="25"/>
    <x v="3"/>
    <n v="0"/>
    <x v="16"/>
  </r>
  <r>
    <x v="1"/>
    <x v="0"/>
    <x v="25"/>
    <x v="4"/>
    <n v="0"/>
    <x v="16"/>
  </r>
  <r>
    <x v="1"/>
    <x v="0"/>
    <x v="26"/>
    <x v="0"/>
    <n v="0"/>
    <x v="16"/>
  </r>
  <r>
    <x v="1"/>
    <x v="0"/>
    <x v="26"/>
    <x v="1"/>
    <n v="0"/>
    <x v="16"/>
  </r>
  <r>
    <x v="1"/>
    <x v="0"/>
    <x v="26"/>
    <x v="2"/>
    <n v="0"/>
    <x v="16"/>
  </r>
  <r>
    <x v="1"/>
    <x v="0"/>
    <x v="26"/>
    <x v="3"/>
    <n v="0"/>
    <x v="16"/>
  </r>
  <r>
    <x v="1"/>
    <x v="0"/>
    <x v="26"/>
    <x v="4"/>
    <n v="0"/>
    <x v="16"/>
  </r>
  <r>
    <x v="1"/>
    <x v="0"/>
    <x v="27"/>
    <x v="0"/>
    <n v="0"/>
    <x v="16"/>
  </r>
  <r>
    <x v="1"/>
    <x v="0"/>
    <x v="27"/>
    <x v="1"/>
    <n v="0"/>
    <x v="16"/>
  </r>
  <r>
    <x v="1"/>
    <x v="0"/>
    <x v="27"/>
    <x v="2"/>
    <n v="0"/>
    <x v="16"/>
  </r>
  <r>
    <x v="1"/>
    <x v="0"/>
    <x v="27"/>
    <x v="3"/>
    <n v="0"/>
    <x v="16"/>
  </r>
  <r>
    <x v="1"/>
    <x v="0"/>
    <x v="27"/>
    <x v="4"/>
    <n v="0"/>
    <x v="16"/>
  </r>
  <r>
    <x v="1"/>
    <x v="0"/>
    <x v="28"/>
    <x v="0"/>
    <n v="0"/>
    <x v="16"/>
  </r>
  <r>
    <x v="1"/>
    <x v="0"/>
    <x v="28"/>
    <x v="1"/>
    <n v="0"/>
    <x v="16"/>
  </r>
  <r>
    <x v="1"/>
    <x v="0"/>
    <x v="28"/>
    <x v="2"/>
    <n v="0"/>
    <x v="16"/>
  </r>
  <r>
    <x v="1"/>
    <x v="0"/>
    <x v="28"/>
    <x v="3"/>
    <n v="0"/>
    <x v="16"/>
  </r>
  <r>
    <x v="1"/>
    <x v="0"/>
    <x v="28"/>
    <x v="4"/>
    <n v="0"/>
    <x v="16"/>
  </r>
  <r>
    <x v="1"/>
    <x v="0"/>
    <x v="29"/>
    <x v="0"/>
    <n v="0"/>
    <x v="16"/>
  </r>
  <r>
    <x v="1"/>
    <x v="0"/>
    <x v="29"/>
    <x v="1"/>
    <n v="0"/>
    <x v="16"/>
  </r>
  <r>
    <x v="1"/>
    <x v="0"/>
    <x v="29"/>
    <x v="2"/>
    <n v="0"/>
    <x v="16"/>
  </r>
  <r>
    <x v="1"/>
    <x v="0"/>
    <x v="29"/>
    <x v="3"/>
    <n v="0"/>
    <x v="16"/>
  </r>
  <r>
    <x v="1"/>
    <x v="0"/>
    <x v="29"/>
    <x v="4"/>
    <n v="0"/>
    <x v="16"/>
  </r>
  <r>
    <x v="1"/>
    <x v="0"/>
    <x v="30"/>
    <x v="0"/>
    <n v="0"/>
    <x v="16"/>
  </r>
  <r>
    <x v="1"/>
    <x v="0"/>
    <x v="30"/>
    <x v="1"/>
    <n v="0"/>
    <x v="16"/>
  </r>
  <r>
    <x v="1"/>
    <x v="0"/>
    <x v="30"/>
    <x v="2"/>
    <n v="0"/>
    <x v="16"/>
  </r>
  <r>
    <x v="1"/>
    <x v="0"/>
    <x v="30"/>
    <x v="3"/>
    <n v="0"/>
    <x v="16"/>
  </r>
  <r>
    <x v="1"/>
    <x v="0"/>
    <x v="30"/>
    <x v="4"/>
    <n v="0"/>
    <x v="16"/>
  </r>
  <r>
    <x v="1"/>
    <x v="0"/>
    <x v="31"/>
    <x v="0"/>
    <n v="0"/>
    <x v="16"/>
  </r>
  <r>
    <x v="1"/>
    <x v="0"/>
    <x v="31"/>
    <x v="1"/>
    <n v="0"/>
    <x v="16"/>
  </r>
  <r>
    <x v="1"/>
    <x v="0"/>
    <x v="31"/>
    <x v="2"/>
    <n v="0"/>
    <x v="16"/>
  </r>
  <r>
    <x v="1"/>
    <x v="0"/>
    <x v="31"/>
    <x v="3"/>
    <n v="0"/>
    <x v="16"/>
  </r>
  <r>
    <x v="1"/>
    <x v="0"/>
    <x v="31"/>
    <x v="4"/>
    <n v="0"/>
    <x v="16"/>
  </r>
  <r>
    <x v="1"/>
    <x v="0"/>
    <x v="32"/>
    <x v="0"/>
    <n v="0"/>
    <x v="16"/>
  </r>
  <r>
    <x v="1"/>
    <x v="0"/>
    <x v="32"/>
    <x v="1"/>
    <n v="0"/>
    <x v="16"/>
  </r>
  <r>
    <x v="1"/>
    <x v="0"/>
    <x v="32"/>
    <x v="2"/>
    <n v="0"/>
    <x v="16"/>
  </r>
  <r>
    <x v="1"/>
    <x v="0"/>
    <x v="32"/>
    <x v="3"/>
    <n v="0"/>
    <x v="16"/>
  </r>
  <r>
    <x v="1"/>
    <x v="0"/>
    <x v="32"/>
    <x v="4"/>
    <n v="0"/>
    <x v="16"/>
  </r>
  <r>
    <x v="1"/>
    <x v="0"/>
    <x v="33"/>
    <x v="0"/>
    <n v="0"/>
    <x v="16"/>
  </r>
  <r>
    <x v="1"/>
    <x v="0"/>
    <x v="33"/>
    <x v="1"/>
    <n v="0"/>
    <x v="16"/>
  </r>
  <r>
    <x v="1"/>
    <x v="0"/>
    <x v="33"/>
    <x v="2"/>
    <n v="0"/>
    <x v="16"/>
  </r>
  <r>
    <x v="1"/>
    <x v="0"/>
    <x v="33"/>
    <x v="3"/>
    <n v="0"/>
    <x v="16"/>
  </r>
  <r>
    <x v="1"/>
    <x v="0"/>
    <x v="33"/>
    <x v="4"/>
    <n v="0"/>
    <x v="16"/>
  </r>
  <r>
    <x v="1"/>
    <x v="0"/>
    <x v="34"/>
    <x v="0"/>
    <n v="0"/>
    <x v="16"/>
  </r>
  <r>
    <x v="1"/>
    <x v="0"/>
    <x v="34"/>
    <x v="1"/>
    <n v="0"/>
    <x v="16"/>
  </r>
  <r>
    <x v="1"/>
    <x v="0"/>
    <x v="34"/>
    <x v="2"/>
    <n v="0"/>
    <x v="16"/>
  </r>
  <r>
    <x v="1"/>
    <x v="0"/>
    <x v="34"/>
    <x v="3"/>
    <n v="0"/>
    <x v="16"/>
  </r>
  <r>
    <x v="1"/>
    <x v="0"/>
    <x v="34"/>
    <x v="4"/>
    <n v="0"/>
    <x v="16"/>
  </r>
  <r>
    <x v="1"/>
    <x v="0"/>
    <x v="35"/>
    <x v="0"/>
    <n v="0"/>
    <x v="16"/>
  </r>
  <r>
    <x v="1"/>
    <x v="0"/>
    <x v="35"/>
    <x v="1"/>
    <n v="0"/>
    <x v="16"/>
  </r>
  <r>
    <x v="1"/>
    <x v="0"/>
    <x v="35"/>
    <x v="2"/>
    <n v="0"/>
    <x v="16"/>
  </r>
  <r>
    <x v="1"/>
    <x v="0"/>
    <x v="35"/>
    <x v="3"/>
    <n v="0"/>
    <x v="16"/>
  </r>
  <r>
    <x v="1"/>
    <x v="0"/>
    <x v="35"/>
    <x v="4"/>
    <n v="0"/>
    <x v="16"/>
  </r>
  <r>
    <x v="1"/>
    <x v="0"/>
    <x v="36"/>
    <x v="0"/>
    <n v="0"/>
    <x v="16"/>
  </r>
  <r>
    <x v="1"/>
    <x v="0"/>
    <x v="36"/>
    <x v="1"/>
    <n v="0"/>
    <x v="16"/>
  </r>
  <r>
    <x v="1"/>
    <x v="0"/>
    <x v="36"/>
    <x v="2"/>
    <n v="0"/>
    <x v="16"/>
  </r>
  <r>
    <x v="1"/>
    <x v="0"/>
    <x v="36"/>
    <x v="3"/>
    <n v="0"/>
    <x v="16"/>
  </r>
  <r>
    <x v="1"/>
    <x v="0"/>
    <x v="36"/>
    <x v="4"/>
    <n v="0"/>
    <x v="16"/>
  </r>
  <r>
    <x v="1"/>
    <x v="0"/>
    <x v="37"/>
    <x v="0"/>
    <n v="0"/>
    <x v="16"/>
  </r>
  <r>
    <x v="1"/>
    <x v="0"/>
    <x v="37"/>
    <x v="1"/>
    <n v="0"/>
    <x v="16"/>
  </r>
  <r>
    <x v="1"/>
    <x v="0"/>
    <x v="37"/>
    <x v="2"/>
    <n v="0"/>
    <x v="16"/>
  </r>
  <r>
    <x v="1"/>
    <x v="0"/>
    <x v="37"/>
    <x v="3"/>
    <n v="0"/>
    <x v="16"/>
  </r>
  <r>
    <x v="1"/>
    <x v="0"/>
    <x v="37"/>
    <x v="4"/>
    <n v="0"/>
    <x v="16"/>
  </r>
  <r>
    <x v="1"/>
    <x v="0"/>
    <x v="0"/>
    <x v="0"/>
    <n v="0"/>
    <x v="17"/>
  </r>
  <r>
    <x v="1"/>
    <x v="0"/>
    <x v="0"/>
    <x v="1"/>
    <n v="0"/>
    <x v="17"/>
  </r>
  <r>
    <x v="1"/>
    <x v="0"/>
    <x v="0"/>
    <x v="2"/>
    <n v="0"/>
    <x v="17"/>
  </r>
  <r>
    <x v="1"/>
    <x v="0"/>
    <x v="0"/>
    <x v="3"/>
    <n v="0"/>
    <x v="17"/>
  </r>
  <r>
    <x v="1"/>
    <x v="0"/>
    <x v="0"/>
    <x v="4"/>
    <n v="0"/>
    <x v="17"/>
  </r>
  <r>
    <x v="1"/>
    <x v="0"/>
    <x v="1"/>
    <x v="0"/>
    <n v="1.085"/>
    <x v="17"/>
  </r>
  <r>
    <x v="1"/>
    <x v="0"/>
    <x v="1"/>
    <x v="1"/>
    <n v="1.1870000000000001"/>
    <x v="17"/>
  </r>
  <r>
    <x v="1"/>
    <x v="0"/>
    <x v="1"/>
    <x v="2"/>
    <n v="1.1559999999999999"/>
    <x v="17"/>
  </r>
  <r>
    <x v="1"/>
    <x v="0"/>
    <x v="1"/>
    <x v="3"/>
    <n v="1.0469999999999999"/>
    <x v="17"/>
  </r>
  <r>
    <x v="1"/>
    <x v="0"/>
    <x v="1"/>
    <x v="4"/>
    <n v="1.075"/>
    <x v="17"/>
  </r>
  <r>
    <x v="1"/>
    <x v="0"/>
    <x v="2"/>
    <x v="0"/>
    <n v="0.12"/>
    <x v="17"/>
  </r>
  <r>
    <x v="1"/>
    <x v="0"/>
    <x v="2"/>
    <x v="1"/>
    <n v="0.13600000000000001"/>
    <x v="17"/>
  </r>
  <r>
    <x v="1"/>
    <x v="0"/>
    <x v="2"/>
    <x v="2"/>
    <n v="0.12"/>
    <x v="17"/>
  </r>
  <r>
    <x v="1"/>
    <x v="0"/>
    <x v="2"/>
    <x v="3"/>
    <n v="0.11"/>
    <x v="17"/>
  </r>
  <r>
    <x v="1"/>
    <x v="0"/>
    <x v="2"/>
    <x v="4"/>
    <n v="0.17599999999999999"/>
    <x v="17"/>
  </r>
  <r>
    <x v="1"/>
    <x v="0"/>
    <x v="3"/>
    <x v="0"/>
    <n v="0"/>
    <x v="17"/>
  </r>
  <r>
    <x v="1"/>
    <x v="0"/>
    <x v="3"/>
    <x v="1"/>
    <n v="0"/>
    <x v="17"/>
  </r>
  <r>
    <x v="1"/>
    <x v="0"/>
    <x v="3"/>
    <x v="2"/>
    <n v="0"/>
    <x v="17"/>
  </r>
  <r>
    <x v="1"/>
    <x v="0"/>
    <x v="3"/>
    <x v="3"/>
    <n v="0"/>
    <x v="17"/>
  </r>
  <r>
    <x v="1"/>
    <x v="0"/>
    <x v="3"/>
    <x v="4"/>
    <n v="0"/>
    <x v="17"/>
  </r>
  <r>
    <x v="1"/>
    <x v="0"/>
    <x v="4"/>
    <x v="0"/>
    <n v="0"/>
    <x v="17"/>
  </r>
  <r>
    <x v="1"/>
    <x v="0"/>
    <x v="4"/>
    <x v="1"/>
    <n v="0"/>
    <x v="17"/>
  </r>
  <r>
    <x v="1"/>
    <x v="0"/>
    <x v="4"/>
    <x v="2"/>
    <n v="0"/>
    <x v="17"/>
  </r>
  <r>
    <x v="1"/>
    <x v="0"/>
    <x v="4"/>
    <x v="3"/>
    <n v="0"/>
    <x v="17"/>
  </r>
  <r>
    <x v="1"/>
    <x v="0"/>
    <x v="4"/>
    <x v="4"/>
    <n v="0"/>
    <x v="17"/>
  </r>
  <r>
    <x v="1"/>
    <x v="0"/>
    <x v="5"/>
    <x v="0"/>
    <n v="0"/>
    <x v="17"/>
  </r>
  <r>
    <x v="1"/>
    <x v="0"/>
    <x v="5"/>
    <x v="1"/>
    <n v="0"/>
    <x v="17"/>
  </r>
  <r>
    <x v="1"/>
    <x v="0"/>
    <x v="5"/>
    <x v="2"/>
    <n v="0"/>
    <x v="17"/>
  </r>
  <r>
    <x v="1"/>
    <x v="0"/>
    <x v="5"/>
    <x v="3"/>
    <n v="0"/>
    <x v="17"/>
  </r>
  <r>
    <x v="1"/>
    <x v="0"/>
    <x v="5"/>
    <x v="4"/>
    <n v="0"/>
    <x v="17"/>
  </r>
  <r>
    <x v="1"/>
    <x v="0"/>
    <x v="6"/>
    <x v="0"/>
    <n v="0.60899999999999999"/>
    <x v="17"/>
  </r>
  <r>
    <x v="1"/>
    <x v="0"/>
    <x v="6"/>
    <x v="1"/>
    <n v="0.41299999999999998"/>
    <x v="17"/>
  </r>
  <r>
    <x v="1"/>
    <x v="0"/>
    <x v="6"/>
    <x v="2"/>
    <n v="0.17100000000000001"/>
    <x v="17"/>
  </r>
  <r>
    <x v="1"/>
    <x v="0"/>
    <x v="6"/>
    <x v="3"/>
    <n v="0.10100000000000001"/>
    <x v="17"/>
  </r>
  <r>
    <x v="1"/>
    <x v="0"/>
    <x v="6"/>
    <x v="4"/>
    <n v="0.45"/>
    <x v="17"/>
  </r>
  <r>
    <x v="1"/>
    <x v="0"/>
    <x v="7"/>
    <x v="0"/>
    <n v="0.16600000000000001"/>
    <x v="17"/>
  </r>
  <r>
    <x v="1"/>
    <x v="0"/>
    <x v="7"/>
    <x v="1"/>
    <n v="0.22900000000000001"/>
    <x v="17"/>
  </r>
  <r>
    <x v="1"/>
    <x v="0"/>
    <x v="7"/>
    <x v="2"/>
    <n v="0.28799999999999998"/>
    <x v="17"/>
  </r>
  <r>
    <x v="1"/>
    <x v="0"/>
    <x v="7"/>
    <x v="3"/>
    <n v="0.16600000000000001"/>
    <x v="17"/>
  </r>
  <r>
    <x v="1"/>
    <x v="0"/>
    <x v="7"/>
    <x v="4"/>
    <n v="0.21199999999999999"/>
    <x v="17"/>
  </r>
  <r>
    <x v="1"/>
    <x v="0"/>
    <x v="8"/>
    <x v="0"/>
    <n v="0"/>
    <x v="17"/>
  </r>
  <r>
    <x v="1"/>
    <x v="0"/>
    <x v="8"/>
    <x v="1"/>
    <n v="0"/>
    <x v="17"/>
  </r>
  <r>
    <x v="1"/>
    <x v="0"/>
    <x v="8"/>
    <x v="2"/>
    <n v="0"/>
    <x v="17"/>
  </r>
  <r>
    <x v="1"/>
    <x v="0"/>
    <x v="8"/>
    <x v="3"/>
    <n v="0"/>
    <x v="17"/>
  </r>
  <r>
    <x v="1"/>
    <x v="0"/>
    <x v="8"/>
    <x v="4"/>
    <n v="0"/>
    <x v="17"/>
  </r>
  <r>
    <x v="1"/>
    <x v="0"/>
    <x v="9"/>
    <x v="0"/>
    <n v="0"/>
    <x v="17"/>
  </r>
  <r>
    <x v="1"/>
    <x v="0"/>
    <x v="9"/>
    <x v="1"/>
    <n v="0"/>
    <x v="17"/>
  </r>
  <r>
    <x v="1"/>
    <x v="0"/>
    <x v="9"/>
    <x v="2"/>
    <n v="0"/>
    <x v="17"/>
  </r>
  <r>
    <x v="1"/>
    <x v="0"/>
    <x v="9"/>
    <x v="3"/>
    <n v="0"/>
    <x v="17"/>
  </r>
  <r>
    <x v="1"/>
    <x v="0"/>
    <x v="9"/>
    <x v="4"/>
    <n v="0"/>
    <x v="17"/>
  </r>
  <r>
    <x v="1"/>
    <x v="0"/>
    <x v="10"/>
    <x v="0"/>
    <n v="0"/>
    <x v="17"/>
  </r>
  <r>
    <x v="1"/>
    <x v="0"/>
    <x v="10"/>
    <x v="1"/>
    <n v="0"/>
    <x v="17"/>
  </r>
  <r>
    <x v="1"/>
    <x v="0"/>
    <x v="10"/>
    <x v="2"/>
    <n v="0"/>
    <x v="17"/>
  </r>
  <r>
    <x v="1"/>
    <x v="0"/>
    <x v="10"/>
    <x v="3"/>
    <n v="0"/>
    <x v="17"/>
  </r>
  <r>
    <x v="1"/>
    <x v="0"/>
    <x v="10"/>
    <x v="4"/>
    <n v="0"/>
    <x v="17"/>
  </r>
  <r>
    <x v="1"/>
    <x v="0"/>
    <x v="11"/>
    <x v="0"/>
    <n v="0"/>
    <x v="17"/>
  </r>
  <r>
    <x v="1"/>
    <x v="0"/>
    <x v="11"/>
    <x v="1"/>
    <n v="0"/>
    <x v="17"/>
  </r>
  <r>
    <x v="1"/>
    <x v="0"/>
    <x v="11"/>
    <x v="2"/>
    <n v="0"/>
    <x v="17"/>
  </r>
  <r>
    <x v="1"/>
    <x v="0"/>
    <x v="11"/>
    <x v="3"/>
    <n v="0"/>
    <x v="17"/>
  </r>
  <r>
    <x v="1"/>
    <x v="0"/>
    <x v="11"/>
    <x v="4"/>
    <n v="0"/>
    <x v="17"/>
  </r>
  <r>
    <x v="1"/>
    <x v="0"/>
    <x v="12"/>
    <x v="0"/>
    <n v="7.8810000000000002"/>
    <x v="17"/>
  </r>
  <r>
    <x v="1"/>
    <x v="0"/>
    <x v="12"/>
    <x v="1"/>
    <n v="7.758"/>
    <x v="17"/>
  </r>
  <r>
    <x v="1"/>
    <x v="0"/>
    <x v="12"/>
    <x v="2"/>
    <n v="6.367"/>
    <x v="17"/>
  </r>
  <r>
    <x v="1"/>
    <x v="0"/>
    <x v="12"/>
    <x v="3"/>
    <n v="5.9820000000000002"/>
    <x v="17"/>
  </r>
  <r>
    <x v="1"/>
    <x v="0"/>
    <x v="12"/>
    <x v="4"/>
    <n v="6.3979999999999997"/>
    <x v="17"/>
  </r>
  <r>
    <x v="1"/>
    <x v="0"/>
    <x v="13"/>
    <x v="0"/>
    <n v="0"/>
    <x v="17"/>
  </r>
  <r>
    <x v="1"/>
    <x v="0"/>
    <x v="13"/>
    <x v="1"/>
    <n v="0"/>
    <x v="17"/>
  </r>
  <r>
    <x v="1"/>
    <x v="0"/>
    <x v="13"/>
    <x v="2"/>
    <n v="0"/>
    <x v="17"/>
  </r>
  <r>
    <x v="1"/>
    <x v="0"/>
    <x v="13"/>
    <x v="3"/>
    <n v="0"/>
    <x v="17"/>
  </r>
  <r>
    <x v="1"/>
    <x v="0"/>
    <x v="13"/>
    <x v="4"/>
    <n v="0"/>
    <x v="17"/>
  </r>
  <r>
    <x v="1"/>
    <x v="0"/>
    <x v="14"/>
    <x v="0"/>
    <n v="1.35"/>
    <x v="17"/>
  </r>
  <r>
    <x v="1"/>
    <x v="0"/>
    <x v="14"/>
    <x v="1"/>
    <n v="0.61399999999999999"/>
    <x v="17"/>
  </r>
  <r>
    <x v="1"/>
    <x v="0"/>
    <x v="14"/>
    <x v="2"/>
    <n v="0.41899999999999998"/>
    <x v="17"/>
  </r>
  <r>
    <x v="1"/>
    <x v="0"/>
    <x v="14"/>
    <x v="3"/>
    <n v="0.29099999999999998"/>
    <x v="17"/>
  </r>
  <r>
    <x v="1"/>
    <x v="0"/>
    <x v="14"/>
    <x v="4"/>
    <n v="0.245"/>
    <x v="17"/>
  </r>
  <r>
    <x v="1"/>
    <x v="0"/>
    <x v="15"/>
    <x v="0"/>
    <n v="0"/>
    <x v="17"/>
  </r>
  <r>
    <x v="1"/>
    <x v="0"/>
    <x v="15"/>
    <x v="1"/>
    <n v="0"/>
    <x v="17"/>
  </r>
  <r>
    <x v="1"/>
    <x v="0"/>
    <x v="15"/>
    <x v="2"/>
    <n v="0"/>
    <x v="17"/>
  </r>
  <r>
    <x v="1"/>
    <x v="0"/>
    <x v="15"/>
    <x v="3"/>
    <n v="0"/>
    <x v="17"/>
  </r>
  <r>
    <x v="1"/>
    <x v="0"/>
    <x v="15"/>
    <x v="4"/>
    <n v="0"/>
    <x v="17"/>
  </r>
  <r>
    <x v="1"/>
    <x v="0"/>
    <x v="16"/>
    <x v="0"/>
    <n v="30.009"/>
    <x v="17"/>
  </r>
  <r>
    <x v="1"/>
    <x v="0"/>
    <x v="16"/>
    <x v="1"/>
    <n v="24.843"/>
    <x v="17"/>
  </r>
  <r>
    <x v="1"/>
    <x v="0"/>
    <x v="16"/>
    <x v="2"/>
    <n v="26.100999999999999"/>
    <x v="17"/>
  </r>
  <r>
    <x v="1"/>
    <x v="0"/>
    <x v="16"/>
    <x v="3"/>
    <n v="25.542000000000002"/>
    <x v="17"/>
  </r>
  <r>
    <x v="1"/>
    <x v="0"/>
    <x v="16"/>
    <x v="4"/>
    <n v="24.983000000000001"/>
    <x v="17"/>
  </r>
  <r>
    <x v="1"/>
    <x v="0"/>
    <x v="17"/>
    <x v="0"/>
    <n v="1.5289999999999999"/>
    <x v="17"/>
  </r>
  <r>
    <x v="1"/>
    <x v="0"/>
    <x v="17"/>
    <x v="1"/>
    <n v="1.3009999999999999"/>
    <x v="17"/>
  </r>
  <r>
    <x v="1"/>
    <x v="0"/>
    <x v="17"/>
    <x v="2"/>
    <n v="1.3"/>
    <x v="17"/>
  </r>
  <r>
    <x v="1"/>
    <x v="0"/>
    <x v="17"/>
    <x v="3"/>
    <n v="1.1779999999999999"/>
    <x v="17"/>
  </r>
  <r>
    <x v="1"/>
    <x v="0"/>
    <x v="17"/>
    <x v="4"/>
    <n v="1.1779999999999999"/>
    <x v="17"/>
  </r>
  <r>
    <x v="1"/>
    <x v="0"/>
    <x v="18"/>
    <x v="0"/>
    <n v="7.8E-2"/>
    <x v="17"/>
  </r>
  <r>
    <x v="1"/>
    <x v="0"/>
    <x v="18"/>
    <x v="1"/>
    <n v="7.0000000000000007E-2"/>
    <x v="17"/>
  </r>
  <r>
    <x v="1"/>
    <x v="0"/>
    <x v="18"/>
    <x v="2"/>
    <n v="0.158"/>
    <x v="17"/>
  </r>
  <r>
    <x v="1"/>
    <x v="0"/>
    <x v="18"/>
    <x v="3"/>
    <n v="0.13500000000000001"/>
    <x v="17"/>
  </r>
  <r>
    <x v="1"/>
    <x v="0"/>
    <x v="18"/>
    <x v="4"/>
    <n v="0.19"/>
    <x v="17"/>
  </r>
  <r>
    <x v="1"/>
    <x v="0"/>
    <x v="19"/>
    <x v="0"/>
    <n v="0"/>
    <x v="17"/>
  </r>
  <r>
    <x v="1"/>
    <x v="0"/>
    <x v="19"/>
    <x v="1"/>
    <n v="0"/>
    <x v="17"/>
  </r>
  <r>
    <x v="1"/>
    <x v="0"/>
    <x v="19"/>
    <x v="2"/>
    <n v="0"/>
    <x v="17"/>
  </r>
  <r>
    <x v="1"/>
    <x v="0"/>
    <x v="19"/>
    <x v="3"/>
    <n v="0"/>
    <x v="17"/>
  </r>
  <r>
    <x v="1"/>
    <x v="0"/>
    <x v="19"/>
    <x v="4"/>
    <n v="0"/>
    <x v="17"/>
  </r>
  <r>
    <x v="1"/>
    <x v="0"/>
    <x v="20"/>
    <x v="0"/>
    <n v="0"/>
    <x v="17"/>
  </r>
  <r>
    <x v="1"/>
    <x v="0"/>
    <x v="20"/>
    <x v="1"/>
    <n v="0"/>
    <x v="17"/>
  </r>
  <r>
    <x v="1"/>
    <x v="0"/>
    <x v="20"/>
    <x v="2"/>
    <n v="0"/>
    <x v="17"/>
  </r>
  <r>
    <x v="1"/>
    <x v="0"/>
    <x v="20"/>
    <x v="3"/>
    <n v="0"/>
    <x v="17"/>
  </r>
  <r>
    <x v="1"/>
    <x v="0"/>
    <x v="20"/>
    <x v="4"/>
    <n v="0"/>
    <x v="17"/>
  </r>
  <r>
    <x v="1"/>
    <x v="0"/>
    <x v="21"/>
    <x v="0"/>
    <n v="0"/>
    <x v="17"/>
  </r>
  <r>
    <x v="1"/>
    <x v="0"/>
    <x v="21"/>
    <x v="1"/>
    <n v="0"/>
    <x v="17"/>
  </r>
  <r>
    <x v="1"/>
    <x v="0"/>
    <x v="21"/>
    <x v="2"/>
    <n v="0"/>
    <x v="17"/>
  </r>
  <r>
    <x v="1"/>
    <x v="0"/>
    <x v="21"/>
    <x v="3"/>
    <n v="0"/>
    <x v="17"/>
  </r>
  <r>
    <x v="1"/>
    <x v="0"/>
    <x v="21"/>
    <x v="4"/>
    <n v="0"/>
    <x v="17"/>
  </r>
  <r>
    <x v="1"/>
    <x v="0"/>
    <x v="22"/>
    <x v="0"/>
    <n v="0"/>
    <x v="17"/>
  </r>
  <r>
    <x v="1"/>
    <x v="0"/>
    <x v="22"/>
    <x v="1"/>
    <n v="0"/>
    <x v="17"/>
  </r>
  <r>
    <x v="1"/>
    <x v="0"/>
    <x v="22"/>
    <x v="2"/>
    <n v="0"/>
    <x v="17"/>
  </r>
  <r>
    <x v="1"/>
    <x v="0"/>
    <x v="22"/>
    <x v="3"/>
    <n v="0"/>
    <x v="17"/>
  </r>
  <r>
    <x v="1"/>
    <x v="0"/>
    <x v="22"/>
    <x v="4"/>
    <n v="0"/>
    <x v="17"/>
  </r>
  <r>
    <x v="1"/>
    <x v="0"/>
    <x v="23"/>
    <x v="0"/>
    <n v="0"/>
    <x v="17"/>
  </r>
  <r>
    <x v="1"/>
    <x v="0"/>
    <x v="23"/>
    <x v="1"/>
    <n v="0"/>
    <x v="17"/>
  </r>
  <r>
    <x v="1"/>
    <x v="0"/>
    <x v="23"/>
    <x v="2"/>
    <n v="0"/>
    <x v="17"/>
  </r>
  <r>
    <x v="1"/>
    <x v="0"/>
    <x v="23"/>
    <x v="3"/>
    <n v="0"/>
    <x v="17"/>
  </r>
  <r>
    <x v="1"/>
    <x v="0"/>
    <x v="23"/>
    <x v="4"/>
    <n v="0"/>
    <x v="17"/>
  </r>
  <r>
    <x v="1"/>
    <x v="0"/>
    <x v="24"/>
    <x v="0"/>
    <n v="0"/>
    <x v="17"/>
  </r>
  <r>
    <x v="1"/>
    <x v="0"/>
    <x v="24"/>
    <x v="1"/>
    <n v="0"/>
    <x v="17"/>
  </r>
  <r>
    <x v="1"/>
    <x v="0"/>
    <x v="24"/>
    <x v="2"/>
    <n v="0"/>
    <x v="17"/>
  </r>
  <r>
    <x v="1"/>
    <x v="0"/>
    <x v="24"/>
    <x v="3"/>
    <n v="0"/>
    <x v="17"/>
  </r>
  <r>
    <x v="1"/>
    <x v="0"/>
    <x v="24"/>
    <x v="4"/>
    <n v="0"/>
    <x v="17"/>
  </r>
  <r>
    <x v="1"/>
    <x v="0"/>
    <x v="25"/>
    <x v="0"/>
    <n v="0"/>
    <x v="17"/>
  </r>
  <r>
    <x v="1"/>
    <x v="0"/>
    <x v="25"/>
    <x v="1"/>
    <n v="0"/>
    <x v="17"/>
  </r>
  <r>
    <x v="1"/>
    <x v="0"/>
    <x v="25"/>
    <x v="2"/>
    <n v="0"/>
    <x v="17"/>
  </r>
  <r>
    <x v="1"/>
    <x v="0"/>
    <x v="25"/>
    <x v="3"/>
    <n v="0"/>
    <x v="17"/>
  </r>
  <r>
    <x v="1"/>
    <x v="0"/>
    <x v="25"/>
    <x v="4"/>
    <n v="0"/>
    <x v="17"/>
  </r>
  <r>
    <x v="1"/>
    <x v="0"/>
    <x v="26"/>
    <x v="0"/>
    <n v="0"/>
    <x v="17"/>
  </r>
  <r>
    <x v="1"/>
    <x v="0"/>
    <x v="26"/>
    <x v="1"/>
    <n v="0"/>
    <x v="17"/>
  </r>
  <r>
    <x v="1"/>
    <x v="0"/>
    <x v="26"/>
    <x v="2"/>
    <n v="0"/>
    <x v="17"/>
  </r>
  <r>
    <x v="1"/>
    <x v="0"/>
    <x v="26"/>
    <x v="3"/>
    <n v="0"/>
    <x v="17"/>
  </r>
  <r>
    <x v="1"/>
    <x v="0"/>
    <x v="26"/>
    <x v="4"/>
    <n v="0"/>
    <x v="17"/>
  </r>
  <r>
    <x v="1"/>
    <x v="0"/>
    <x v="27"/>
    <x v="0"/>
    <n v="0"/>
    <x v="17"/>
  </r>
  <r>
    <x v="1"/>
    <x v="0"/>
    <x v="27"/>
    <x v="1"/>
    <n v="0"/>
    <x v="17"/>
  </r>
  <r>
    <x v="1"/>
    <x v="0"/>
    <x v="27"/>
    <x v="2"/>
    <n v="0"/>
    <x v="17"/>
  </r>
  <r>
    <x v="1"/>
    <x v="0"/>
    <x v="27"/>
    <x v="3"/>
    <n v="0"/>
    <x v="17"/>
  </r>
  <r>
    <x v="1"/>
    <x v="0"/>
    <x v="27"/>
    <x v="4"/>
    <n v="0"/>
    <x v="17"/>
  </r>
  <r>
    <x v="1"/>
    <x v="0"/>
    <x v="28"/>
    <x v="0"/>
    <n v="0"/>
    <x v="17"/>
  </r>
  <r>
    <x v="1"/>
    <x v="0"/>
    <x v="28"/>
    <x v="1"/>
    <n v="0"/>
    <x v="17"/>
  </r>
  <r>
    <x v="1"/>
    <x v="0"/>
    <x v="28"/>
    <x v="2"/>
    <n v="0"/>
    <x v="17"/>
  </r>
  <r>
    <x v="1"/>
    <x v="0"/>
    <x v="28"/>
    <x v="3"/>
    <n v="0"/>
    <x v="17"/>
  </r>
  <r>
    <x v="1"/>
    <x v="0"/>
    <x v="28"/>
    <x v="4"/>
    <n v="0"/>
    <x v="17"/>
  </r>
  <r>
    <x v="1"/>
    <x v="0"/>
    <x v="29"/>
    <x v="0"/>
    <n v="0.33700000000000002"/>
    <x v="17"/>
  </r>
  <r>
    <x v="1"/>
    <x v="0"/>
    <x v="29"/>
    <x v="1"/>
    <n v="1.7000000000000001E-2"/>
    <x v="17"/>
  </r>
  <r>
    <x v="1"/>
    <x v="0"/>
    <x v="29"/>
    <x v="2"/>
    <n v="7.0000000000000001E-3"/>
    <x v="17"/>
  </r>
  <r>
    <x v="1"/>
    <x v="0"/>
    <x v="29"/>
    <x v="3"/>
    <n v="8.9999999999999993E-3"/>
    <x v="17"/>
  </r>
  <r>
    <x v="1"/>
    <x v="0"/>
    <x v="29"/>
    <x v="4"/>
    <n v="1.0999999999999999E-2"/>
    <x v="17"/>
  </r>
  <r>
    <x v="1"/>
    <x v="0"/>
    <x v="30"/>
    <x v="0"/>
    <n v="0"/>
    <x v="17"/>
  </r>
  <r>
    <x v="1"/>
    <x v="0"/>
    <x v="30"/>
    <x v="1"/>
    <n v="0"/>
    <x v="17"/>
  </r>
  <r>
    <x v="1"/>
    <x v="0"/>
    <x v="30"/>
    <x v="2"/>
    <n v="0"/>
    <x v="17"/>
  </r>
  <r>
    <x v="1"/>
    <x v="0"/>
    <x v="30"/>
    <x v="3"/>
    <n v="0"/>
    <x v="17"/>
  </r>
  <r>
    <x v="1"/>
    <x v="0"/>
    <x v="30"/>
    <x v="4"/>
    <n v="0"/>
    <x v="17"/>
  </r>
  <r>
    <x v="1"/>
    <x v="0"/>
    <x v="31"/>
    <x v="0"/>
    <n v="0"/>
    <x v="17"/>
  </r>
  <r>
    <x v="1"/>
    <x v="0"/>
    <x v="31"/>
    <x v="1"/>
    <n v="0"/>
    <x v="17"/>
  </r>
  <r>
    <x v="1"/>
    <x v="0"/>
    <x v="31"/>
    <x v="2"/>
    <n v="0"/>
    <x v="17"/>
  </r>
  <r>
    <x v="1"/>
    <x v="0"/>
    <x v="31"/>
    <x v="3"/>
    <n v="0"/>
    <x v="17"/>
  </r>
  <r>
    <x v="1"/>
    <x v="0"/>
    <x v="31"/>
    <x v="4"/>
    <n v="0"/>
    <x v="17"/>
  </r>
  <r>
    <x v="1"/>
    <x v="0"/>
    <x v="32"/>
    <x v="0"/>
    <n v="6.2E-2"/>
    <x v="17"/>
  </r>
  <r>
    <x v="1"/>
    <x v="0"/>
    <x v="32"/>
    <x v="1"/>
    <n v="7.8E-2"/>
    <x v="17"/>
  </r>
  <r>
    <x v="1"/>
    <x v="0"/>
    <x v="32"/>
    <x v="2"/>
    <n v="8.4000000000000005E-2"/>
    <x v="17"/>
  </r>
  <r>
    <x v="1"/>
    <x v="0"/>
    <x v="32"/>
    <x v="3"/>
    <n v="7.1999999999999995E-2"/>
    <x v="17"/>
  </r>
  <r>
    <x v="1"/>
    <x v="0"/>
    <x v="32"/>
    <x v="4"/>
    <n v="8.3000000000000004E-2"/>
    <x v="17"/>
  </r>
  <r>
    <x v="1"/>
    <x v="0"/>
    <x v="33"/>
    <x v="0"/>
    <n v="0.24"/>
    <x v="17"/>
  </r>
  <r>
    <x v="1"/>
    <x v="0"/>
    <x v="33"/>
    <x v="1"/>
    <n v="0.20399999999999999"/>
    <x v="17"/>
  </r>
  <r>
    <x v="1"/>
    <x v="0"/>
    <x v="33"/>
    <x v="2"/>
    <n v="0.19"/>
    <x v="17"/>
  </r>
  <r>
    <x v="1"/>
    <x v="0"/>
    <x v="33"/>
    <x v="3"/>
    <n v="0.20799999999999999"/>
    <x v="17"/>
  </r>
  <r>
    <x v="1"/>
    <x v="0"/>
    <x v="33"/>
    <x v="4"/>
    <n v="0.27800000000000002"/>
    <x v="17"/>
  </r>
  <r>
    <x v="1"/>
    <x v="0"/>
    <x v="34"/>
    <x v="0"/>
    <n v="0"/>
    <x v="17"/>
  </r>
  <r>
    <x v="1"/>
    <x v="0"/>
    <x v="34"/>
    <x v="1"/>
    <n v="0"/>
    <x v="17"/>
  </r>
  <r>
    <x v="1"/>
    <x v="0"/>
    <x v="34"/>
    <x v="2"/>
    <n v="0"/>
    <x v="17"/>
  </r>
  <r>
    <x v="1"/>
    <x v="0"/>
    <x v="34"/>
    <x v="3"/>
    <n v="0"/>
    <x v="17"/>
  </r>
  <r>
    <x v="1"/>
    <x v="0"/>
    <x v="34"/>
    <x v="4"/>
    <n v="0"/>
    <x v="17"/>
  </r>
  <r>
    <x v="1"/>
    <x v="0"/>
    <x v="35"/>
    <x v="0"/>
    <n v="0"/>
    <x v="17"/>
  </r>
  <r>
    <x v="1"/>
    <x v="0"/>
    <x v="35"/>
    <x v="1"/>
    <n v="0"/>
    <x v="17"/>
  </r>
  <r>
    <x v="1"/>
    <x v="0"/>
    <x v="35"/>
    <x v="2"/>
    <n v="0"/>
    <x v="17"/>
  </r>
  <r>
    <x v="1"/>
    <x v="0"/>
    <x v="35"/>
    <x v="3"/>
    <n v="0"/>
    <x v="17"/>
  </r>
  <r>
    <x v="1"/>
    <x v="0"/>
    <x v="35"/>
    <x v="4"/>
    <n v="0"/>
    <x v="17"/>
  </r>
  <r>
    <x v="1"/>
    <x v="0"/>
    <x v="36"/>
    <x v="0"/>
    <n v="0"/>
    <x v="17"/>
  </r>
  <r>
    <x v="1"/>
    <x v="0"/>
    <x v="36"/>
    <x v="1"/>
    <n v="0"/>
    <x v="17"/>
  </r>
  <r>
    <x v="1"/>
    <x v="0"/>
    <x v="36"/>
    <x v="2"/>
    <n v="0"/>
    <x v="17"/>
  </r>
  <r>
    <x v="1"/>
    <x v="0"/>
    <x v="36"/>
    <x v="3"/>
    <n v="0"/>
    <x v="17"/>
  </r>
  <r>
    <x v="1"/>
    <x v="0"/>
    <x v="36"/>
    <x v="4"/>
    <n v="0"/>
    <x v="17"/>
  </r>
  <r>
    <x v="1"/>
    <x v="0"/>
    <x v="37"/>
    <x v="0"/>
    <n v="0"/>
    <x v="17"/>
  </r>
  <r>
    <x v="1"/>
    <x v="0"/>
    <x v="37"/>
    <x v="1"/>
    <n v="0"/>
    <x v="17"/>
  </r>
  <r>
    <x v="1"/>
    <x v="0"/>
    <x v="37"/>
    <x v="2"/>
    <n v="0"/>
    <x v="17"/>
  </r>
  <r>
    <x v="1"/>
    <x v="0"/>
    <x v="37"/>
    <x v="3"/>
    <n v="0"/>
    <x v="17"/>
  </r>
  <r>
    <x v="1"/>
    <x v="0"/>
    <x v="37"/>
    <x v="4"/>
    <n v="0"/>
    <x v="17"/>
  </r>
  <r>
    <x v="0"/>
    <x v="1"/>
    <x v="0"/>
    <x v="0"/>
    <n v="0"/>
    <x v="0"/>
  </r>
  <r>
    <x v="0"/>
    <x v="1"/>
    <x v="0"/>
    <x v="1"/>
    <n v="0"/>
    <x v="0"/>
  </r>
  <r>
    <x v="0"/>
    <x v="1"/>
    <x v="0"/>
    <x v="2"/>
    <n v="0"/>
    <x v="0"/>
  </r>
  <r>
    <x v="0"/>
    <x v="1"/>
    <x v="0"/>
    <x v="3"/>
    <n v="0"/>
    <x v="0"/>
  </r>
  <r>
    <x v="0"/>
    <x v="1"/>
    <x v="0"/>
    <x v="4"/>
    <n v="0"/>
    <x v="0"/>
  </r>
  <r>
    <x v="0"/>
    <x v="1"/>
    <x v="1"/>
    <x v="0"/>
    <n v="36.078000000000003"/>
    <x v="0"/>
  </r>
  <r>
    <x v="0"/>
    <x v="1"/>
    <x v="1"/>
    <x v="1"/>
    <n v="36.420999999999999"/>
    <x v="0"/>
  </r>
  <r>
    <x v="0"/>
    <x v="1"/>
    <x v="1"/>
    <x v="2"/>
    <n v="32.832000000000001"/>
    <x v="0"/>
  </r>
  <r>
    <x v="0"/>
    <x v="1"/>
    <x v="1"/>
    <x v="3"/>
    <n v="28.664000000000001"/>
    <x v="0"/>
  </r>
  <r>
    <x v="0"/>
    <x v="1"/>
    <x v="1"/>
    <x v="4"/>
    <n v="31.042999999999999"/>
    <x v="0"/>
  </r>
  <r>
    <x v="0"/>
    <x v="1"/>
    <x v="2"/>
    <x v="0"/>
    <n v="0.495"/>
    <x v="0"/>
  </r>
  <r>
    <x v="0"/>
    <x v="1"/>
    <x v="2"/>
    <x v="1"/>
    <n v="0.40899999999999997"/>
    <x v="0"/>
  </r>
  <r>
    <x v="0"/>
    <x v="1"/>
    <x v="2"/>
    <x v="2"/>
    <n v="0.45500000000000002"/>
    <x v="0"/>
  </r>
  <r>
    <x v="0"/>
    <x v="1"/>
    <x v="2"/>
    <x v="3"/>
    <n v="0.80900000000000005"/>
    <x v="0"/>
  </r>
  <r>
    <x v="0"/>
    <x v="1"/>
    <x v="2"/>
    <x v="4"/>
    <n v="0.16300000000000001"/>
    <x v="0"/>
  </r>
  <r>
    <x v="0"/>
    <x v="1"/>
    <x v="3"/>
    <x v="0"/>
    <n v="8.8699999999999992"/>
    <x v="0"/>
  </r>
  <r>
    <x v="0"/>
    <x v="1"/>
    <x v="3"/>
    <x v="1"/>
    <n v="8.0690000000000008"/>
    <x v="0"/>
  </r>
  <r>
    <x v="0"/>
    <x v="1"/>
    <x v="3"/>
    <x v="2"/>
    <n v="10.356"/>
    <x v="0"/>
  </r>
  <r>
    <x v="0"/>
    <x v="1"/>
    <x v="3"/>
    <x v="3"/>
    <n v="13.672000000000001"/>
    <x v="0"/>
  </r>
  <r>
    <x v="0"/>
    <x v="1"/>
    <x v="3"/>
    <x v="4"/>
    <n v="14.118"/>
    <x v="0"/>
  </r>
  <r>
    <x v="0"/>
    <x v="1"/>
    <x v="4"/>
    <x v="0"/>
    <n v="0"/>
    <x v="0"/>
  </r>
  <r>
    <x v="0"/>
    <x v="1"/>
    <x v="4"/>
    <x v="1"/>
    <n v="0"/>
    <x v="0"/>
  </r>
  <r>
    <x v="0"/>
    <x v="1"/>
    <x v="4"/>
    <x v="2"/>
    <n v="0"/>
    <x v="0"/>
  </r>
  <r>
    <x v="0"/>
    <x v="1"/>
    <x v="4"/>
    <x v="3"/>
    <n v="0"/>
    <x v="0"/>
  </r>
  <r>
    <x v="0"/>
    <x v="1"/>
    <x v="4"/>
    <x v="4"/>
    <n v="0"/>
    <x v="0"/>
  </r>
  <r>
    <x v="0"/>
    <x v="1"/>
    <x v="5"/>
    <x v="0"/>
    <n v="23.986000000000001"/>
    <x v="0"/>
  </r>
  <r>
    <x v="0"/>
    <x v="1"/>
    <x v="5"/>
    <x v="1"/>
    <n v="26.670999999999999"/>
    <x v="0"/>
  </r>
  <r>
    <x v="0"/>
    <x v="1"/>
    <x v="5"/>
    <x v="2"/>
    <n v="27.509"/>
    <x v="0"/>
  </r>
  <r>
    <x v="0"/>
    <x v="1"/>
    <x v="5"/>
    <x v="3"/>
    <n v="24.594000000000001"/>
    <x v="0"/>
  </r>
  <r>
    <x v="0"/>
    <x v="1"/>
    <x v="5"/>
    <x v="4"/>
    <n v="28.997"/>
    <x v="0"/>
  </r>
  <r>
    <x v="0"/>
    <x v="1"/>
    <x v="6"/>
    <x v="0"/>
    <n v="119.919"/>
    <x v="0"/>
  </r>
  <r>
    <x v="0"/>
    <x v="1"/>
    <x v="6"/>
    <x v="1"/>
    <n v="139.43199999999999"/>
    <x v="0"/>
  </r>
  <r>
    <x v="0"/>
    <x v="1"/>
    <x v="6"/>
    <x v="2"/>
    <n v="135.40899999999999"/>
    <x v="0"/>
  </r>
  <r>
    <x v="0"/>
    <x v="1"/>
    <x v="6"/>
    <x v="3"/>
    <n v="132.244"/>
    <x v="0"/>
  </r>
  <r>
    <x v="0"/>
    <x v="1"/>
    <x v="6"/>
    <x v="4"/>
    <n v="152.06299999999999"/>
    <x v="0"/>
  </r>
  <r>
    <x v="0"/>
    <x v="1"/>
    <x v="7"/>
    <x v="0"/>
    <n v="39.084000000000003"/>
    <x v="0"/>
  </r>
  <r>
    <x v="0"/>
    <x v="1"/>
    <x v="7"/>
    <x v="1"/>
    <n v="38.183"/>
    <x v="0"/>
  </r>
  <r>
    <x v="0"/>
    <x v="1"/>
    <x v="7"/>
    <x v="2"/>
    <n v="38.19"/>
    <x v="0"/>
  </r>
  <r>
    <x v="0"/>
    <x v="1"/>
    <x v="7"/>
    <x v="3"/>
    <n v="32.112000000000002"/>
    <x v="0"/>
  </r>
  <r>
    <x v="0"/>
    <x v="1"/>
    <x v="7"/>
    <x v="4"/>
    <n v="36.183999999999997"/>
    <x v="0"/>
  </r>
  <r>
    <x v="0"/>
    <x v="1"/>
    <x v="8"/>
    <x v="0"/>
    <n v="10.404"/>
    <x v="0"/>
  </r>
  <r>
    <x v="0"/>
    <x v="1"/>
    <x v="8"/>
    <x v="1"/>
    <n v="12.454000000000001"/>
    <x v="0"/>
  </r>
  <r>
    <x v="0"/>
    <x v="1"/>
    <x v="8"/>
    <x v="2"/>
    <n v="14.859"/>
    <x v="0"/>
  </r>
  <r>
    <x v="0"/>
    <x v="1"/>
    <x v="8"/>
    <x v="3"/>
    <n v="13.884"/>
    <x v="0"/>
  </r>
  <r>
    <x v="0"/>
    <x v="1"/>
    <x v="8"/>
    <x v="4"/>
    <n v="15.074"/>
    <x v="0"/>
  </r>
  <r>
    <x v="0"/>
    <x v="1"/>
    <x v="9"/>
    <x v="0"/>
    <n v="0"/>
    <x v="0"/>
  </r>
  <r>
    <x v="0"/>
    <x v="1"/>
    <x v="9"/>
    <x v="1"/>
    <n v="0"/>
    <x v="0"/>
  </r>
  <r>
    <x v="0"/>
    <x v="1"/>
    <x v="9"/>
    <x v="2"/>
    <n v="0"/>
    <x v="0"/>
  </r>
  <r>
    <x v="0"/>
    <x v="1"/>
    <x v="9"/>
    <x v="3"/>
    <n v="0"/>
    <x v="0"/>
  </r>
  <r>
    <x v="0"/>
    <x v="1"/>
    <x v="9"/>
    <x v="4"/>
    <n v="0"/>
    <x v="0"/>
  </r>
  <r>
    <x v="0"/>
    <x v="1"/>
    <x v="10"/>
    <x v="0"/>
    <n v="0"/>
    <x v="0"/>
  </r>
  <r>
    <x v="0"/>
    <x v="1"/>
    <x v="10"/>
    <x v="1"/>
    <n v="0"/>
    <x v="0"/>
  </r>
  <r>
    <x v="0"/>
    <x v="1"/>
    <x v="10"/>
    <x v="2"/>
    <n v="0"/>
    <x v="0"/>
  </r>
  <r>
    <x v="0"/>
    <x v="1"/>
    <x v="10"/>
    <x v="3"/>
    <n v="0"/>
    <x v="0"/>
  </r>
  <r>
    <x v="0"/>
    <x v="1"/>
    <x v="10"/>
    <x v="4"/>
    <n v="0"/>
    <x v="0"/>
  </r>
  <r>
    <x v="0"/>
    <x v="1"/>
    <x v="11"/>
    <x v="0"/>
    <n v="59.744999999999997"/>
    <x v="0"/>
  </r>
  <r>
    <x v="0"/>
    <x v="1"/>
    <x v="11"/>
    <x v="1"/>
    <n v="55.948999999999998"/>
    <x v="0"/>
  </r>
  <r>
    <x v="0"/>
    <x v="1"/>
    <x v="11"/>
    <x v="2"/>
    <n v="63.218000000000004"/>
    <x v="0"/>
  </r>
  <r>
    <x v="0"/>
    <x v="1"/>
    <x v="11"/>
    <x v="3"/>
    <n v="52.877000000000002"/>
    <x v="0"/>
  </r>
  <r>
    <x v="0"/>
    <x v="1"/>
    <x v="11"/>
    <x v="4"/>
    <n v="61.186999999999998"/>
    <x v="0"/>
  </r>
  <r>
    <x v="0"/>
    <x v="1"/>
    <x v="12"/>
    <x v="0"/>
    <n v="50.796999999999997"/>
    <x v="0"/>
  </r>
  <r>
    <x v="0"/>
    <x v="1"/>
    <x v="12"/>
    <x v="1"/>
    <n v="59.683999999999997"/>
    <x v="0"/>
  </r>
  <r>
    <x v="0"/>
    <x v="1"/>
    <x v="12"/>
    <x v="2"/>
    <n v="51.929000000000002"/>
    <x v="0"/>
  </r>
  <r>
    <x v="0"/>
    <x v="1"/>
    <x v="12"/>
    <x v="3"/>
    <n v="11.473000000000001"/>
    <x v="0"/>
  </r>
  <r>
    <x v="0"/>
    <x v="1"/>
    <x v="12"/>
    <x v="4"/>
    <n v="13.869"/>
    <x v="0"/>
  </r>
  <r>
    <x v="0"/>
    <x v="1"/>
    <x v="13"/>
    <x v="0"/>
    <n v="2.113"/>
    <x v="0"/>
  </r>
  <r>
    <x v="0"/>
    <x v="1"/>
    <x v="13"/>
    <x v="1"/>
    <n v="2.621"/>
    <x v="0"/>
  </r>
  <r>
    <x v="0"/>
    <x v="1"/>
    <x v="13"/>
    <x v="2"/>
    <n v="2.661"/>
    <x v="0"/>
  </r>
  <r>
    <x v="0"/>
    <x v="1"/>
    <x v="13"/>
    <x v="3"/>
    <n v="3.0219999999999998"/>
    <x v="0"/>
  </r>
  <r>
    <x v="0"/>
    <x v="1"/>
    <x v="13"/>
    <x v="4"/>
    <n v="3.0920000000000001"/>
    <x v="0"/>
  </r>
  <r>
    <x v="0"/>
    <x v="1"/>
    <x v="14"/>
    <x v="0"/>
    <n v="22.245000000000001"/>
    <x v="0"/>
  </r>
  <r>
    <x v="0"/>
    <x v="1"/>
    <x v="14"/>
    <x v="1"/>
    <n v="24.881"/>
    <x v="0"/>
  </r>
  <r>
    <x v="0"/>
    <x v="1"/>
    <x v="14"/>
    <x v="2"/>
    <n v="24.018000000000001"/>
    <x v="0"/>
  </r>
  <r>
    <x v="0"/>
    <x v="1"/>
    <x v="14"/>
    <x v="3"/>
    <n v="18.321999999999999"/>
    <x v="0"/>
  </r>
  <r>
    <x v="0"/>
    <x v="1"/>
    <x v="14"/>
    <x v="4"/>
    <n v="15.236000000000001"/>
    <x v="0"/>
  </r>
  <r>
    <x v="0"/>
    <x v="1"/>
    <x v="15"/>
    <x v="0"/>
    <n v="0"/>
    <x v="0"/>
  </r>
  <r>
    <x v="0"/>
    <x v="1"/>
    <x v="15"/>
    <x v="1"/>
    <n v="0"/>
    <x v="0"/>
  </r>
  <r>
    <x v="0"/>
    <x v="1"/>
    <x v="15"/>
    <x v="2"/>
    <n v="0"/>
    <x v="0"/>
  </r>
  <r>
    <x v="0"/>
    <x v="1"/>
    <x v="15"/>
    <x v="3"/>
    <n v="0"/>
    <x v="0"/>
  </r>
  <r>
    <x v="0"/>
    <x v="1"/>
    <x v="15"/>
    <x v="4"/>
    <n v="0"/>
    <x v="0"/>
  </r>
  <r>
    <x v="0"/>
    <x v="1"/>
    <x v="16"/>
    <x v="0"/>
    <n v="23.71"/>
    <x v="0"/>
  </r>
  <r>
    <x v="0"/>
    <x v="1"/>
    <x v="16"/>
    <x v="1"/>
    <n v="17.762"/>
    <x v="0"/>
  </r>
  <r>
    <x v="0"/>
    <x v="1"/>
    <x v="16"/>
    <x v="2"/>
    <n v="17.858000000000001"/>
    <x v="0"/>
  </r>
  <r>
    <x v="0"/>
    <x v="1"/>
    <x v="16"/>
    <x v="3"/>
    <n v="15.718"/>
    <x v="0"/>
  </r>
  <r>
    <x v="0"/>
    <x v="1"/>
    <x v="16"/>
    <x v="4"/>
    <n v="15.798999999999999"/>
    <x v="0"/>
  </r>
  <r>
    <x v="0"/>
    <x v="1"/>
    <x v="17"/>
    <x v="0"/>
    <n v="3.508"/>
    <x v="0"/>
  </r>
  <r>
    <x v="0"/>
    <x v="1"/>
    <x v="17"/>
    <x v="1"/>
    <n v="3.7570000000000001"/>
    <x v="0"/>
  </r>
  <r>
    <x v="0"/>
    <x v="1"/>
    <x v="17"/>
    <x v="2"/>
    <n v="3.742"/>
    <x v="0"/>
  </r>
  <r>
    <x v="0"/>
    <x v="1"/>
    <x v="17"/>
    <x v="3"/>
    <n v="3.2690000000000001"/>
    <x v="0"/>
  </r>
  <r>
    <x v="0"/>
    <x v="1"/>
    <x v="17"/>
    <x v="4"/>
    <n v="2.8359999999999999"/>
    <x v="0"/>
  </r>
  <r>
    <x v="0"/>
    <x v="1"/>
    <x v="18"/>
    <x v="0"/>
    <n v="21.795999999999999"/>
    <x v="0"/>
  </r>
  <r>
    <x v="0"/>
    <x v="1"/>
    <x v="18"/>
    <x v="1"/>
    <n v="19.033999999999999"/>
    <x v="0"/>
  </r>
  <r>
    <x v="0"/>
    <x v="1"/>
    <x v="18"/>
    <x v="2"/>
    <n v="21.277999999999999"/>
    <x v="0"/>
  </r>
  <r>
    <x v="0"/>
    <x v="1"/>
    <x v="18"/>
    <x v="3"/>
    <n v="20.367000000000001"/>
    <x v="0"/>
  </r>
  <r>
    <x v="0"/>
    <x v="1"/>
    <x v="18"/>
    <x v="4"/>
    <n v="20.434000000000001"/>
    <x v="0"/>
  </r>
  <r>
    <x v="0"/>
    <x v="1"/>
    <x v="19"/>
    <x v="0"/>
    <n v="0.17599999999999999"/>
    <x v="0"/>
  </r>
  <r>
    <x v="0"/>
    <x v="1"/>
    <x v="19"/>
    <x v="1"/>
    <n v="0.20399999999999999"/>
    <x v="0"/>
  </r>
  <r>
    <x v="0"/>
    <x v="1"/>
    <x v="19"/>
    <x v="2"/>
    <n v="0.16"/>
    <x v="0"/>
  </r>
  <r>
    <x v="0"/>
    <x v="1"/>
    <x v="19"/>
    <x v="3"/>
    <n v="0.17100000000000001"/>
    <x v="0"/>
  </r>
  <r>
    <x v="0"/>
    <x v="1"/>
    <x v="19"/>
    <x v="4"/>
    <n v="0.14000000000000001"/>
    <x v="0"/>
  </r>
  <r>
    <x v="0"/>
    <x v="1"/>
    <x v="20"/>
    <x v="0"/>
    <n v="7.0640000000000001"/>
    <x v="0"/>
  </r>
  <r>
    <x v="0"/>
    <x v="1"/>
    <x v="20"/>
    <x v="1"/>
    <n v="8.109"/>
    <x v="0"/>
  </r>
  <r>
    <x v="0"/>
    <x v="1"/>
    <x v="20"/>
    <x v="2"/>
    <n v="9.9640000000000004"/>
    <x v="0"/>
  </r>
  <r>
    <x v="0"/>
    <x v="1"/>
    <x v="20"/>
    <x v="3"/>
    <n v="10.196"/>
    <x v="0"/>
  </r>
  <r>
    <x v="0"/>
    <x v="1"/>
    <x v="20"/>
    <x v="4"/>
    <n v="11.840999999999999"/>
    <x v="0"/>
  </r>
  <r>
    <x v="0"/>
    <x v="1"/>
    <x v="21"/>
    <x v="0"/>
    <n v="3.5049999999999999"/>
    <x v="0"/>
  </r>
  <r>
    <x v="0"/>
    <x v="1"/>
    <x v="21"/>
    <x v="1"/>
    <n v="3.7240000000000002"/>
    <x v="0"/>
  </r>
  <r>
    <x v="0"/>
    <x v="1"/>
    <x v="21"/>
    <x v="2"/>
    <n v="3.7480000000000002"/>
    <x v="0"/>
  </r>
  <r>
    <x v="0"/>
    <x v="1"/>
    <x v="21"/>
    <x v="3"/>
    <n v="3.9430000000000001"/>
    <x v="0"/>
  </r>
  <r>
    <x v="0"/>
    <x v="1"/>
    <x v="21"/>
    <x v="4"/>
    <n v="4.1870000000000003"/>
    <x v="0"/>
  </r>
  <r>
    <x v="0"/>
    <x v="1"/>
    <x v="22"/>
    <x v="0"/>
    <n v="0"/>
    <x v="0"/>
  </r>
  <r>
    <x v="0"/>
    <x v="1"/>
    <x v="22"/>
    <x v="1"/>
    <n v="0"/>
    <x v="0"/>
  </r>
  <r>
    <x v="0"/>
    <x v="1"/>
    <x v="22"/>
    <x v="2"/>
    <n v="0"/>
    <x v="0"/>
  </r>
  <r>
    <x v="0"/>
    <x v="1"/>
    <x v="22"/>
    <x v="3"/>
    <n v="0"/>
    <x v="0"/>
  </r>
  <r>
    <x v="0"/>
    <x v="1"/>
    <x v="22"/>
    <x v="4"/>
    <n v="0"/>
    <x v="0"/>
  </r>
  <r>
    <x v="0"/>
    <x v="1"/>
    <x v="23"/>
    <x v="0"/>
    <n v="1.5780000000000001"/>
    <x v="0"/>
  </r>
  <r>
    <x v="0"/>
    <x v="1"/>
    <x v="23"/>
    <x v="1"/>
    <n v="1.1879999999999999"/>
    <x v="0"/>
  </r>
  <r>
    <x v="0"/>
    <x v="1"/>
    <x v="23"/>
    <x v="2"/>
    <n v="1.589"/>
    <x v="0"/>
  </r>
  <r>
    <x v="0"/>
    <x v="1"/>
    <x v="23"/>
    <x v="3"/>
    <n v="2.2959999999999998"/>
    <x v="0"/>
  </r>
  <r>
    <x v="0"/>
    <x v="1"/>
    <x v="23"/>
    <x v="4"/>
    <n v="2.9729999999999999"/>
    <x v="0"/>
  </r>
  <r>
    <x v="0"/>
    <x v="1"/>
    <x v="24"/>
    <x v="0"/>
    <n v="0"/>
    <x v="0"/>
  </r>
  <r>
    <x v="0"/>
    <x v="1"/>
    <x v="24"/>
    <x v="1"/>
    <n v="0"/>
    <x v="0"/>
  </r>
  <r>
    <x v="0"/>
    <x v="1"/>
    <x v="24"/>
    <x v="2"/>
    <n v="0"/>
    <x v="0"/>
  </r>
  <r>
    <x v="0"/>
    <x v="1"/>
    <x v="24"/>
    <x v="3"/>
    <n v="0"/>
    <x v="0"/>
  </r>
  <r>
    <x v="0"/>
    <x v="1"/>
    <x v="24"/>
    <x v="4"/>
    <n v="0"/>
    <x v="0"/>
  </r>
  <r>
    <x v="0"/>
    <x v="1"/>
    <x v="25"/>
    <x v="0"/>
    <n v="20.802"/>
    <x v="0"/>
  </r>
  <r>
    <x v="0"/>
    <x v="1"/>
    <x v="25"/>
    <x v="1"/>
    <n v="18.646000000000001"/>
    <x v="0"/>
  </r>
  <r>
    <x v="0"/>
    <x v="1"/>
    <x v="25"/>
    <x v="2"/>
    <n v="17.321999999999999"/>
    <x v="0"/>
  </r>
  <r>
    <x v="0"/>
    <x v="1"/>
    <x v="25"/>
    <x v="3"/>
    <n v="23.895"/>
    <x v="0"/>
  </r>
  <r>
    <x v="0"/>
    <x v="1"/>
    <x v="25"/>
    <x v="4"/>
    <n v="25.300999999999998"/>
    <x v="0"/>
  </r>
  <r>
    <x v="0"/>
    <x v="1"/>
    <x v="26"/>
    <x v="0"/>
    <n v="16.937999999999999"/>
    <x v="0"/>
  </r>
  <r>
    <x v="0"/>
    <x v="1"/>
    <x v="26"/>
    <x v="1"/>
    <n v="16.111999999999998"/>
    <x v="0"/>
  </r>
  <r>
    <x v="0"/>
    <x v="1"/>
    <x v="26"/>
    <x v="2"/>
    <n v="13.286"/>
    <x v="0"/>
  </r>
  <r>
    <x v="0"/>
    <x v="1"/>
    <x v="26"/>
    <x v="3"/>
    <n v="14.436"/>
    <x v="0"/>
  </r>
  <r>
    <x v="0"/>
    <x v="1"/>
    <x v="26"/>
    <x v="4"/>
    <n v="16.413"/>
    <x v="0"/>
  </r>
  <r>
    <x v="0"/>
    <x v="1"/>
    <x v="27"/>
    <x v="0"/>
    <n v="100.6"/>
    <x v="0"/>
  </r>
  <r>
    <x v="0"/>
    <x v="1"/>
    <x v="27"/>
    <x v="1"/>
    <n v="110.892"/>
    <x v="0"/>
  </r>
  <r>
    <x v="0"/>
    <x v="1"/>
    <x v="27"/>
    <x v="2"/>
    <n v="113.87"/>
    <x v="0"/>
  </r>
  <r>
    <x v="0"/>
    <x v="1"/>
    <x v="27"/>
    <x v="3"/>
    <n v="106.249"/>
    <x v="0"/>
  </r>
  <r>
    <x v="0"/>
    <x v="1"/>
    <x v="27"/>
    <x v="4"/>
    <n v="129.983"/>
    <x v="0"/>
  </r>
  <r>
    <x v="0"/>
    <x v="1"/>
    <x v="28"/>
    <x v="0"/>
    <n v="0"/>
    <x v="0"/>
  </r>
  <r>
    <x v="0"/>
    <x v="1"/>
    <x v="28"/>
    <x v="1"/>
    <n v="0"/>
    <x v="0"/>
  </r>
  <r>
    <x v="0"/>
    <x v="1"/>
    <x v="28"/>
    <x v="2"/>
    <n v="0"/>
    <x v="0"/>
  </r>
  <r>
    <x v="0"/>
    <x v="1"/>
    <x v="28"/>
    <x v="3"/>
    <n v="0"/>
    <x v="0"/>
  </r>
  <r>
    <x v="0"/>
    <x v="1"/>
    <x v="28"/>
    <x v="4"/>
    <n v="0"/>
    <x v="0"/>
  </r>
  <r>
    <x v="0"/>
    <x v="1"/>
    <x v="29"/>
    <x v="0"/>
    <n v="13.619"/>
    <x v="0"/>
  </r>
  <r>
    <x v="0"/>
    <x v="1"/>
    <x v="29"/>
    <x v="1"/>
    <n v="15.807"/>
    <x v="0"/>
  </r>
  <r>
    <x v="0"/>
    <x v="1"/>
    <x v="29"/>
    <x v="2"/>
    <n v="16.931999999999999"/>
    <x v="0"/>
  </r>
  <r>
    <x v="0"/>
    <x v="1"/>
    <x v="29"/>
    <x v="3"/>
    <n v="18.114000000000001"/>
    <x v="0"/>
  </r>
  <r>
    <x v="0"/>
    <x v="1"/>
    <x v="29"/>
    <x v="4"/>
    <n v="20.39"/>
    <x v="0"/>
  </r>
  <r>
    <x v="0"/>
    <x v="1"/>
    <x v="30"/>
    <x v="0"/>
    <n v="22.545000000000002"/>
    <x v="0"/>
  </r>
  <r>
    <x v="0"/>
    <x v="1"/>
    <x v="30"/>
    <x v="1"/>
    <n v="25.594000000000001"/>
    <x v="0"/>
  </r>
  <r>
    <x v="0"/>
    <x v="1"/>
    <x v="30"/>
    <x v="2"/>
    <n v="26.222999999999999"/>
    <x v="0"/>
  </r>
  <r>
    <x v="0"/>
    <x v="1"/>
    <x v="30"/>
    <x v="3"/>
    <n v="28.928999999999998"/>
    <x v="0"/>
  </r>
  <r>
    <x v="0"/>
    <x v="1"/>
    <x v="30"/>
    <x v="4"/>
    <n v="27.062000000000001"/>
    <x v="0"/>
  </r>
  <r>
    <x v="0"/>
    <x v="1"/>
    <x v="31"/>
    <x v="0"/>
    <n v="51.462000000000003"/>
    <x v="0"/>
  </r>
  <r>
    <x v="0"/>
    <x v="1"/>
    <x v="31"/>
    <x v="1"/>
    <n v="52.557000000000002"/>
    <x v="0"/>
  </r>
  <r>
    <x v="0"/>
    <x v="1"/>
    <x v="31"/>
    <x v="2"/>
    <n v="60.683"/>
    <x v="0"/>
  </r>
  <r>
    <x v="0"/>
    <x v="1"/>
    <x v="31"/>
    <x v="3"/>
    <n v="56.392000000000003"/>
    <x v="0"/>
  </r>
  <r>
    <x v="0"/>
    <x v="1"/>
    <x v="31"/>
    <x v="4"/>
    <n v="72.168000000000006"/>
    <x v="0"/>
  </r>
  <r>
    <x v="0"/>
    <x v="1"/>
    <x v="32"/>
    <x v="0"/>
    <n v="1.8120000000000001"/>
    <x v="0"/>
  </r>
  <r>
    <x v="0"/>
    <x v="1"/>
    <x v="32"/>
    <x v="1"/>
    <n v="2.1789999999999998"/>
    <x v="0"/>
  </r>
  <r>
    <x v="0"/>
    <x v="1"/>
    <x v="32"/>
    <x v="2"/>
    <n v="2.3210000000000002"/>
    <x v="0"/>
  </r>
  <r>
    <x v="0"/>
    <x v="1"/>
    <x v="32"/>
    <x v="3"/>
    <n v="2.3090000000000002"/>
    <x v="0"/>
  </r>
  <r>
    <x v="0"/>
    <x v="1"/>
    <x v="32"/>
    <x v="4"/>
    <n v="2.1190000000000002"/>
    <x v="0"/>
  </r>
  <r>
    <x v="0"/>
    <x v="1"/>
    <x v="33"/>
    <x v="0"/>
    <n v="10.862"/>
    <x v="0"/>
  </r>
  <r>
    <x v="0"/>
    <x v="1"/>
    <x v="33"/>
    <x v="1"/>
    <n v="12.86"/>
    <x v="0"/>
  </r>
  <r>
    <x v="0"/>
    <x v="1"/>
    <x v="33"/>
    <x v="2"/>
    <n v="14.859"/>
    <x v="0"/>
  </r>
  <r>
    <x v="0"/>
    <x v="1"/>
    <x v="33"/>
    <x v="3"/>
    <n v="15.398"/>
    <x v="0"/>
  </r>
  <r>
    <x v="0"/>
    <x v="1"/>
    <x v="33"/>
    <x v="4"/>
    <n v="18.204000000000001"/>
    <x v="0"/>
  </r>
  <r>
    <x v="0"/>
    <x v="1"/>
    <x v="34"/>
    <x v="0"/>
    <n v="3.2519999999999998"/>
    <x v="0"/>
  </r>
  <r>
    <x v="0"/>
    <x v="1"/>
    <x v="34"/>
    <x v="1"/>
    <n v="3.9929999999999999"/>
    <x v="0"/>
  </r>
  <r>
    <x v="0"/>
    <x v="1"/>
    <x v="34"/>
    <x v="2"/>
    <n v="0"/>
    <x v="0"/>
  </r>
  <r>
    <x v="0"/>
    <x v="1"/>
    <x v="34"/>
    <x v="3"/>
    <n v="0"/>
    <x v="0"/>
  </r>
  <r>
    <x v="0"/>
    <x v="1"/>
    <x v="34"/>
    <x v="4"/>
    <n v="0"/>
    <x v="0"/>
  </r>
  <r>
    <x v="0"/>
    <x v="1"/>
    <x v="35"/>
    <x v="0"/>
    <n v="261.803"/>
    <x v="0"/>
  </r>
  <r>
    <x v="0"/>
    <x v="1"/>
    <x v="35"/>
    <x v="1"/>
    <n v="373.55200000000002"/>
    <x v="0"/>
  </r>
  <r>
    <x v="0"/>
    <x v="1"/>
    <x v="35"/>
    <x v="2"/>
    <n v="392.19099999999997"/>
    <x v="0"/>
  </r>
  <r>
    <x v="0"/>
    <x v="1"/>
    <x v="35"/>
    <x v="3"/>
    <n v="413.197"/>
    <x v="0"/>
  </r>
  <r>
    <x v="0"/>
    <x v="1"/>
    <x v="35"/>
    <x v="4"/>
    <n v="416.4"/>
    <x v="0"/>
  </r>
  <r>
    <x v="0"/>
    <x v="1"/>
    <x v="36"/>
    <x v="0"/>
    <n v="68.024000000000001"/>
    <x v="0"/>
  </r>
  <r>
    <x v="0"/>
    <x v="1"/>
    <x v="36"/>
    <x v="1"/>
    <n v="64.117999999999995"/>
    <x v="0"/>
  </r>
  <r>
    <x v="0"/>
    <x v="1"/>
    <x v="36"/>
    <x v="2"/>
    <n v="64.180999999999997"/>
    <x v="0"/>
  </r>
  <r>
    <x v="0"/>
    <x v="1"/>
    <x v="36"/>
    <x v="3"/>
    <n v="58.122"/>
    <x v="0"/>
  </r>
  <r>
    <x v="0"/>
    <x v="1"/>
    <x v="36"/>
    <x v="4"/>
    <n v="56.966999999999999"/>
    <x v="0"/>
  </r>
  <r>
    <x v="0"/>
    <x v="1"/>
    <x v="37"/>
    <x v="0"/>
    <n v="0.249"/>
    <x v="0"/>
  </r>
  <r>
    <x v="0"/>
    <x v="1"/>
    <x v="37"/>
    <x v="1"/>
    <n v="0.21099999999999999"/>
    <x v="0"/>
  </r>
  <r>
    <x v="0"/>
    <x v="1"/>
    <x v="37"/>
    <x v="2"/>
    <n v="0.19500000000000001"/>
    <x v="0"/>
  </r>
  <r>
    <x v="0"/>
    <x v="1"/>
    <x v="37"/>
    <x v="3"/>
    <n v="0.19"/>
    <x v="0"/>
  </r>
  <r>
    <x v="0"/>
    <x v="1"/>
    <x v="37"/>
    <x v="4"/>
    <n v="0.23100000000000001"/>
    <x v="0"/>
  </r>
  <r>
    <x v="0"/>
    <x v="1"/>
    <x v="0"/>
    <x v="0"/>
    <n v="0"/>
    <x v="18"/>
  </r>
  <r>
    <x v="0"/>
    <x v="1"/>
    <x v="0"/>
    <x v="1"/>
    <n v="0"/>
    <x v="18"/>
  </r>
  <r>
    <x v="0"/>
    <x v="1"/>
    <x v="0"/>
    <x v="2"/>
    <n v="0"/>
    <x v="18"/>
  </r>
  <r>
    <x v="0"/>
    <x v="1"/>
    <x v="0"/>
    <x v="3"/>
    <n v="0"/>
    <x v="18"/>
  </r>
  <r>
    <x v="0"/>
    <x v="1"/>
    <x v="0"/>
    <x v="4"/>
    <n v="0"/>
    <x v="18"/>
  </r>
  <r>
    <x v="0"/>
    <x v="1"/>
    <x v="1"/>
    <x v="0"/>
    <n v="36.078000000000003"/>
    <x v="18"/>
  </r>
  <r>
    <x v="0"/>
    <x v="1"/>
    <x v="1"/>
    <x v="1"/>
    <n v="36.420999999999999"/>
    <x v="18"/>
  </r>
  <r>
    <x v="0"/>
    <x v="1"/>
    <x v="1"/>
    <x v="2"/>
    <n v="32.832000000000001"/>
    <x v="18"/>
  </r>
  <r>
    <x v="0"/>
    <x v="1"/>
    <x v="1"/>
    <x v="3"/>
    <n v="28.664000000000001"/>
    <x v="18"/>
  </r>
  <r>
    <x v="0"/>
    <x v="1"/>
    <x v="1"/>
    <x v="4"/>
    <n v="31.042999999999999"/>
    <x v="18"/>
  </r>
  <r>
    <x v="0"/>
    <x v="1"/>
    <x v="2"/>
    <x v="0"/>
    <n v="0.495"/>
    <x v="18"/>
  </r>
  <r>
    <x v="0"/>
    <x v="1"/>
    <x v="2"/>
    <x v="1"/>
    <n v="0.40899999999999997"/>
    <x v="18"/>
  </r>
  <r>
    <x v="0"/>
    <x v="1"/>
    <x v="2"/>
    <x v="2"/>
    <n v="0.45500000000000002"/>
    <x v="18"/>
  </r>
  <r>
    <x v="0"/>
    <x v="1"/>
    <x v="2"/>
    <x v="3"/>
    <n v="0.80900000000000005"/>
    <x v="18"/>
  </r>
  <r>
    <x v="0"/>
    <x v="1"/>
    <x v="2"/>
    <x v="4"/>
    <n v="0.16300000000000001"/>
    <x v="18"/>
  </r>
  <r>
    <x v="0"/>
    <x v="1"/>
    <x v="3"/>
    <x v="0"/>
    <n v="8.8699999999999992"/>
    <x v="18"/>
  </r>
  <r>
    <x v="0"/>
    <x v="1"/>
    <x v="3"/>
    <x v="1"/>
    <n v="8.0690000000000008"/>
    <x v="18"/>
  </r>
  <r>
    <x v="0"/>
    <x v="1"/>
    <x v="3"/>
    <x v="2"/>
    <n v="10.356"/>
    <x v="18"/>
  </r>
  <r>
    <x v="0"/>
    <x v="1"/>
    <x v="3"/>
    <x v="3"/>
    <n v="13.672000000000001"/>
    <x v="18"/>
  </r>
  <r>
    <x v="0"/>
    <x v="1"/>
    <x v="3"/>
    <x v="4"/>
    <n v="14.118"/>
    <x v="18"/>
  </r>
  <r>
    <x v="0"/>
    <x v="1"/>
    <x v="4"/>
    <x v="0"/>
    <n v="0"/>
    <x v="18"/>
  </r>
  <r>
    <x v="0"/>
    <x v="1"/>
    <x v="4"/>
    <x v="1"/>
    <n v="0"/>
    <x v="18"/>
  </r>
  <r>
    <x v="0"/>
    <x v="1"/>
    <x v="4"/>
    <x v="2"/>
    <n v="0"/>
    <x v="18"/>
  </r>
  <r>
    <x v="0"/>
    <x v="1"/>
    <x v="4"/>
    <x v="3"/>
    <n v="0"/>
    <x v="18"/>
  </r>
  <r>
    <x v="0"/>
    <x v="1"/>
    <x v="4"/>
    <x v="4"/>
    <n v="0"/>
    <x v="18"/>
  </r>
  <r>
    <x v="0"/>
    <x v="1"/>
    <x v="5"/>
    <x v="0"/>
    <n v="23.986000000000001"/>
    <x v="18"/>
  </r>
  <r>
    <x v="0"/>
    <x v="1"/>
    <x v="5"/>
    <x v="1"/>
    <n v="26.670999999999999"/>
    <x v="18"/>
  </r>
  <r>
    <x v="0"/>
    <x v="1"/>
    <x v="5"/>
    <x v="2"/>
    <n v="27.509"/>
    <x v="18"/>
  </r>
  <r>
    <x v="0"/>
    <x v="1"/>
    <x v="5"/>
    <x v="3"/>
    <n v="24.594000000000001"/>
    <x v="18"/>
  </r>
  <r>
    <x v="0"/>
    <x v="1"/>
    <x v="5"/>
    <x v="4"/>
    <n v="28.997"/>
    <x v="18"/>
  </r>
  <r>
    <x v="0"/>
    <x v="1"/>
    <x v="6"/>
    <x v="0"/>
    <n v="119.919"/>
    <x v="18"/>
  </r>
  <r>
    <x v="0"/>
    <x v="1"/>
    <x v="6"/>
    <x v="1"/>
    <n v="139.43199999999999"/>
    <x v="18"/>
  </r>
  <r>
    <x v="0"/>
    <x v="1"/>
    <x v="6"/>
    <x v="2"/>
    <n v="135.40899999999999"/>
    <x v="18"/>
  </r>
  <r>
    <x v="0"/>
    <x v="1"/>
    <x v="6"/>
    <x v="3"/>
    <n v="132.244"/>
    <x v="18"/>
  </r>
  <r>
    <x v="0"/>
    <x v="1"/>
    <x v="6"/>
    <x v="4"/>
    <n v="152.06299999999999"/>
    <x v="18"/>
  </r>
  <r>
    <x v="0"/>
    <x v="1"/>
    <x v="7"/>
    <x v="0"/>
    <n v="39.084000000000003"/>
    <x v="18"/>
  </r>
  <r>
    <x v="0"/>
    <x v="1"/>
    <x v="7"/>
    <x v="1"/>
    <n v="38.183"/>
    <x v="18"/>
  </r>
  <r>
    <x v="0"/>
    <x v="1"/>
    <x v="7"/>
    <x v="2"/>
    <n v="38.19"/>
    <x v="18"/>
  </r>
  <r>
    <x v="0"/>
    <x v="1"/>
    <x v="7"/>
    <x v="3"/>
    <n v="32.112000000000002"/>
    <x v="18"/>
  </r>
  <r>
    <x v="0"/>
    <x v="1"/>
    <x v="7"/>
    <x v="4"/>
    <n v="36.183999999999997"/>
    <x v="18"/>
  </r>
  <r>
    <x v="0"/>
    <x v="1"/>
    <x v="8"/>
    <x v="0"/>
    <n v="10.404"/>
    <x v="18"/>
  </r>
  <r>
    <x v="0"/>
    <x v="1"/>
    <x v="8"/>
    <x v="1"/>
    <n v="12.454000000000001"/>
    <x v="18"/>
  </r>
  <r>
    <x v="0"/>
    <x v="1"/>
    <x v="8"/>
    <x v="2"/>
    <n v="14.859"/>
    <x v="18"/>
  </r>
  <r>
    <x v="0"/>
    <x v="1"/>
    <x v="8"/>
    <x v="3"/>
    <n v="13.884"/>
    <x v="18"/>
  </r>
  <r>
    <x v="0"/>
    <x v="1"/>
    <x v="8"/>
    <x v="4"/>
    <n v="15.074"/>
    <x v="18"/>
  </r>
  <r>
    <x v="0"/>
    <x v="1"/>
    <x v="9"/>
    <x v="0"/>
    <n v="0"/>
    <x v="18"/>
  </r>
  <r>
    <x v="0"/>
    <x v="1"/>
    <x v="9"/>
    <x v="1"/>
    <n v="0"/>
    <x v="18"/>
  </r>
  <r>
    <x v="0"/>
    <x v="1"/>
    <x v="9"/>
    <x v="2"/>
    <n v="0"/>
    <x v="18"/>
  </r>
  <r>
    <x v="0"/>
    <x v="1"/>
    <x v="9"/>
    <x v="3"/>
    <n v="0"/>
    <x v="18"/>
  </r>
  <r>
    <x v="0"/>
    <x v="1"/>
    <x v="9"/>
    <x v="4"/>
    <n v="0"/>
    <x v="18"/>
  </r>
  <r>
    <x v="0"/>
    <x v="1"/>
    <x v="10"/>
    <x v="0"/>
    <n v="0"/>
    <x v="18"/>
  </r>
  <r>
    <x v="0"/>
    <x v="1"/>
    <x v="10"/>
    <x v="1"/>
    <n v="0"/>
    <x v="18"/>
  </r>
  <r>
    <x v="0"/>
    <x v="1"/>
    <x v="10"/>
    <x v="2"/>
    <n v="0"/>
    <x v="18"/>
  </r>
  <r>
    <x v="0"/>
    <x v="1"/>
    <x v="10"/>
    <x v="3"/>
    <n v="0"/>
    <x v="18"/>
  </r>
  <r>
    <x v="0"/>
    <x v="1"/>
    <x v="10"/>
    <x v="4"/>
    <n v="0"/>
    <x v="18"/>
  </r>
  <r>
    <x v="0"/>
    <x v="1"/>
    <x v="11"/>
    <x v="0"/>
    <n v="59.744999999999997"/>
    <x v="18"/>
  </r>
  <r>
    <x v="0"/>
    <x v="1"/>
    <x v="11"/>
    <x v="1"/>
    <n v="55.948999999999998"/>
    <x v="18"/>
  </r>
  <r>
    <x v="0"/>
    <x v="1"/>
    <x v="11"/>
    <x v="2"/>
    <n v="63.218000000000004"/>
    <x v="18"/>
  </r>
  <r>
    <x v="0"/>
    <x v="1"/>
    <x v="11"/>
    <x v="3"/>
    <n v="52.877000000000002"/>
    <x v="18"/>
  </r>
  <r>
    <x v="0"/>
    <x v="1"/>
    <x v="11"/>
    <x v="4"/>
    <n v="61.186999999999998"/>
    <x v="18"/>
  </r>
  <r>
    <x v="0"/>
    <x v="1"/>
    <x v="12"/>
    <x v="0"/>
    <n v="50.796999999999997"/>
    <x v="18"/>
  </r>
  <r>
    <x v="0"/>
    <x v="1"/>
    <x v="12"/>
    <x v="1"/>
    <n v="59.683999999999997"/>
    <x v="18"/>
  </r>
  <r>
    <x v="0"/>
    <x v="1"/>
    <x v="12"/>
    <x v="2"/>
    <n v="51.929000000000002"/>
    <x v="18"/>
  </r>
  <r>
    <x v="0"/>
    <x v="1"/>
    <x v="12"/>
    <x v="3"/>
    <n v="11.473000000000001"/>
    <x v="18"/>
  </r>
  <r>
    <x v="0"/>
    <x v="1"/>
    <x v="12"/>
    <x v="4"/>
    <n v="13.869"/>
    <x v="18"/>
  </r>
  <r>
    <x v="0"/>
    <x v="1"/>
    <x v="13"/>
    <x v="0"/>
    <n v="2.113"/>
    <x v="18"/>
  </r>
  <r>
    <x v="0"/>
    <x v="1"/>
    <x v="13"/>
    <x v="1"/>
    <n v="2.621"/>
    <x v="18"/>
  </r>
  <r>
    <x v="0"/>
    <x v="1"/>
    <x v="13"/>
    <x v="2"/>
    <n v="2.661"/>
    <x v="18"/>
  </r>
  <r>
    <x v="0"/>
    <x v="1"/>
    <x v="13"/>
    <x v="3"/>
    <n v="3.0219999999999998"/>
    <x v="18"/>
  </r>
  <r>
    <x v="0"/>
    <x v="1"/>
    <x v="13"/>
    <x v="4"/>
    <n v="3.0920000000000001"/>
    <x v="18"/>
  </r>
  <r>
    <x v="0"/>
    <x v="1"/>
    <x v="14"/>
    <x v="0"/>
    <n v="22.245000000000001"/>
    <x v="18"/>
  </r>
  <r>
    <x v="0"/>
    <x v="1"/>
    <x v="14"/>
    <x v="1"/>
    <n v="24.881"/>
    <x v="18"/>
  </r>
  <r>
    <x v="0"/>
    <x v="1"/>
    <x v="14"/>
    <x v="2"/>
    <n v="24.018000000000001"/>
    <x v="18"/>
  </r>
  <r>
    <x v="0"/>
    <x v="1"/>
    <x v="14"/>
    <x v="3"/>
    <n v="18.321999999999999"/>
    <x v="18"/>
  </r>
  <r>
    <x v="0"/>
    <x v="1"/>
    <x v="14"/>
    <x v="4"/>
    <n v="15.236000000000001"/>
    <x v="18"/>
  </r>
  <r>
    <x v="0"/>
    <x v="1"/>
    <x v="15"/>
    <x v="0"/>
    <n v="0"/>
    <x v="18"/>
  </r>
  <r>
    <x v="0"/>
    <x v="1"/>
    <x v="15"/>
    <x v="1"/>
    <n v="0"/>
    <x v="18"/>
  </r>
  <r>
    <x v="0"/>
    <x v="1"/>
    <x v="15"/>
    <x v="2"/>
    <n v="0"/>
    <x v="18"/>
  </r>
  <r>
    <x v="0"/>
    <x v="1"/>
    <x v="15"/>
    <x v="3"/>
    <n v="0"/>
    <x v="18"/>
  </r>
  <r>
    <x v="0"/>
    <x v="1"/>
    <x v="15"/>
    <x v="4"/>
    <n v="0"/>
    <x v="18"/>
  </r>
  <r>
    <x v="0"/>
    <x v="1"/>
    <x v="16"/>
    <x v="0"/>
    <n v="23.71"/>
    <x v="18"/>
  </r>
  <r>
    <x v="0"/>
    <x v="1"/>
    <x v="16"/>
    <x v="1"/>
    <n v="17.762"/>
    <x v="18"/>
  </r>
  <r>
    <x v="0"/>
    <x v="1"/>
    <x v="16"/>
    <x v="2"/>
    <n v="17.858000000000001"/>
    <x v="18"/>
  </r>
  <r>
    <x v="0"/>
    <x v="1"/>
    <x v="16"/>
    <x v="3"/>
    <n v="15.718"/>
    <x v="18"/>
  </r>
  <r>
    <x v="0"/>
    <x v="1"/>
    <x v="16"/>
    <x v="4"/>
    <n v="15.798999999999999"/>
    <x v="18"/>
  </r>
  <r>
    <x v="0"/>
    <x v="1"/>
    <x v="17"/>
    <x v="0"/>
    <n v="3.508"/>
    <x v="18"/>
  </r>
  <r>
    <x v="0"/>
    <x v="1"/>
    <x v="17"/>
    <x v="1"/>
    <n v="3.7570000000000001"/>
    <x v="18"/>
  </r>
  <r>
    <x v="0"/>
    <x v="1"/>
    <x v="17"/>
    <x v="2"/>
    <n v="3.742"/>
    <x v="18"/>
  </r>
  <r>
    <x v="0"/>
    <x v="1"/>
    <x v="17"/>
    <x v="3"/>
    <n v="3.2690000000000001"/>
    <x v="18"/>
  </r>
  <r>
    <x v="0"/>
    <x v="1"/>
    <x v="17"/>
    <x v="4"/>
    <n v="2.8359999999999999"/>
    <x v="18"/>
  </r>
  <r>
    <x v="0"/>
    <x v="1"/>
    <x v="18"/>
    <x v="0"/>
    <n v="21.795999999999999"/>
    <x v="18"/>
  </r>
  <r>
    <x v="0"/>
    <x v="1"/>
    <x v="18"/>
    <x v="1"/>
    <n v="19.033999999999999"/>
    <x v="18"/>
  </r>
  <r>
    <x v="0"/>
    <x v="1"/>
    <x v="18"/>
    <x v="2"/>
    <n v="21.277999999999999"/>
    <x v="18"/>
  </r>
  <r>
    <x v="0"/>
    <x v="1"/>
    <x v="18"/>
    <x v="3"/>
    <n v="20.367000000000001"/>
    <x v="18"/>
  </r>
  <r>
    <x v="0"/>
    <x v="1"/>
    <x v="18"/>
    <x v="4"/>
    <n v="20.434000000000001"/>
    <x v="18"/>
  </r>
  <r>
    <x v="0"/>
    <x v="1"/>
    <x v="19"/>
    <x v="0"/>
    <n v="0.17599999999999999"/>
    <x v="18"/>
  </r>
  <r>
    <x v="0"/>
    <x v="1"/>
    <x v="19"/>
    <x v="1"/>
    <n v="0.20399999999999999"/>
    <x v="18"/>
  </r>
  <r>
    <x v="0"/>
    <x v="1"/>
    <x v="19"/>
    <x v="2"/>
    <n v="0.16"/>
    <x v="18"/>
  </r>
  <r>
    <x v="0"/>
    <x v="1"/>
    <x v="19"/>
    <x v="3"/>
    <n v="0.17100000000000001"/>
    <x v="18"/>
  </r>
  <r>
    <x v="0"/>
    <x v="1"/>
    <x v="19"/>
    <x v="4"/>
    <n v="0.14000000000000001"/>
    <x v="18"/>
  </r>
  <r>
    <x v="0"/>
    <x v="1"/>
    <x v="20"/>
    <x v="0"/>
    <n v="7.0640000000000001"/>
    <x v="18"/>
  </r>
  <r>
    <x v="0"/>
    <x v="1"/>
    <x v="20"/>
    <x v="1"/>
    <n v="8.109"/>
    <x v="18"/>
  </r>
  <r>
    <x v="0"/>
    <x v="1"/>
    <x v="20"/>
    <x v="2"/>
    <n v="9.9640000000000004"/>
    <x v="18"/>
  </r>
  <r>
    <x v="0"/>
    <x v="1"/>
    <x v="20"/>
    <x v="3"/>
    <n v="10.196"/>
    <x v="18"/>
  </r>
  <r>
    <x v="0"/>
    <x v="1"/>
    <x v="20"/>
    <x v="4"/>
    <n v="11.840999999999999"/>
    <x v="18"/>
  </r>
  <r>
    <x v="0"/>
    <x v="1"/>
    <x v="21"/>
    <x v="0"/>
    <n v="3.5049999999999999"/>
    <x v="18"/>
  </r>
  <r>
    <x v="0"/>
    <x v="1"/>
    <x v="21"/>
    <x v="1"/>
    <n v="3.7240000000000002"/>
    <x v="18"/>
  </r>
  <r>
    <x v="0"/>
    <x v="1"/>
    <x v="21"/>
    <x v="2"/>
    <n v="3.7480000000000002"/>
    <x v="18"/>
  </r>
  <r>
    <x v="0"/>
    <x v="1"/>
    <x v="21"/>
    <x v="3"/>
    <n v="3.9430000000000001"/>
    <x v="18"/>
  </r>
  <r>
    <x v="0"/>
    <x v="1"/>
    <x v="21"/>
    <x v="4"/>
    <n v="4.1870000000000003"/>
    <x v="18"/>
  </r>
  <r>
    <x v="0"/>
    <x v="1"/>
    <x v="22"/>
    <x v="0"/>
    <n v="0"/>
    <x v="18"/>
  </r>
  <r>
    <x v="0"/>
    <x v="1"/>
    <x v="22"/>
    <x v="1"/>
    <n v="0"/>
    <x v="18"/>
  </r>
  <r>
    <x v="0"/>
    <x v="1"/>
    <x v="22"/>
    <x v="2"/>
    <n v="0"/>
    <x v="18"/>
  </r>
  <r>
    <x v="0"/>
    <x v="1"/>
    <x v="22"/>
    <x v="3"/>
    <n v="0"/>
    <x v="18"/>
  </r>
  <r>
    <x v="0"/>
    <x v="1"/>
    <x v="22"/>
    <x v="4"/>
    <n v="0"/>
    <x v="18"/>
  </r>
  <r>
    <x v="0"/>
    <x v="1"/>
    <x v="23"/>
    <x v="0"/>
    <n v="1.5780000000000001"/>
    <x v="18"/>
  </r>
  <r>
    <x v="0"/>
    <x v="1"/>
    <x v="23"/>
    <x v="1"/>
    <n v="1.1879999999999999"/>
    <x v="18"/>
  </r>
  <r>
    <x v="0"/>
    <x v="1"/>
    <x v="23"/>
    <x v="2"/>
    <n v="1.589"/>
    <x v="18"/>
  </r>
  <r>
    <x v="0"/>
    <x v="1"/>
    <x v="23"/>
    <x v="3"/>
    <n v="2.2959999999999998"/>
    <x v="18"/>
  </r>
  <r>
    <x v="0"/>
    <x v="1"/>
    <x v="23"/>
    <x v="4"/>
    <n v="2.9729999999999999"/>
    <x v="18"/>
  </r>
  <r>
    <x v="0"/>
    <x v="1"/>
    <x v="24"/>
    <x v="0"/>
    <n v="0"/>
    <x v="18"/>
  </r>
  <r>
    <x v="0"/>
    <x v="1"/>
    <x v="24"/>
    <x v="1"/>
    <n v="0"/>
    <x v="18"/>
  </r>
  <r>
    <x v="0"/>
    <x v="1"/>
    <x v="24"/>
    <x v="2"/>
    <n v="0"/>
    <x v="18"/>
  </r>
  <r>
    <x v="0"/>
    <x v="1"/>
    <x v="24"/>
    <x v="3"/>
    <n v="0"/>
    <x v="18"/>
  </r>
  <r>
    <x v="0"/>
    <x v="1"/>
    <x v="24"/>
    <x v="4"/>
    <n v="0"/>
    <x v="18"/>
  </r>
  <r>
    <x v="0"/>
    <x v="1"/>
    <x v="25"/>
    <x v="0"/>
    <n v="20.802"/>
    <x v="18"/>
  </r>
  <r>
    <x v="0"/>
    <x v="1"/>
    <x v="25"/>
    <x v="1"/>
    <n v="18.646000000000001"/>
    <x v="18"/>
  </r>
  <r>
    <x v="0"/>
    <x v="1"/>
    <x v="25"/>
    <x v="2"/>
    <n v="17.321999999999999"/>
    <x v="18"/>
  </r>
  <r>
    <x v="0"/>
    <x v="1"/>
    <x v="25"/>
    <x v="3"/>
    <n v="23.895"/>
    <x v="18"/>
  </r>
  <r>
    <x v="0"/>
    <x v="1"/>
    <x v="25"/>
    <x v="4"/>
    <n v="25.300999999999998"/>
    <x v="18"/>
  </r>
  <r>
    <x v="0"/>
    <x v="1"/>
    <x v="26"/>
    <x v="0"/>
    <n v="16.937999999999999"/>
    <x v="18"/>
  </r>
  <r>
    <x v="0"/>
    <x v="1"/>
    <x v="26"/>
    <x v="1"/>
    <n v="16.111999999999998"/>
    <x v="18"/>
  </r>
  <r>
    <x v="0"/>
    <x v="1"/>
    <x v="26"/>
    <x v="2"/>
    <n v="13.286"/>
    <x v="18"/>
  </r>
  <r>
    <x v="0"/>
    <x v="1"/>
    <x v="26"/>
    <x v="3"/>
    <n v="14.436"/>
    <x v="18"/>
  </r>
  <r>
    <x v="0"/>
    <x v="1"/>
    <x v="26"/>
    <x v="4"/>
    <n v="16.413"/>
    <x v="18"/>
  </r>
  <r>
    <x v="0"/>
    <x v="1"/>
    <x v="27"/>
    <x v="0"/>
    <n v="100.6"/>
    <x v="18"/>
  </r>
  <r>
    <x v="0"/>
    <x v="1"/>
    <x v="27"/>
    <x v="1"/>
    <n v="110.892"/>
    <x v="18"/>
  </r>
  <r>
    <x v="0"/>
    <x v="1"/>
    <x v="27"/>
    <x v="2"/>
    <n v="113.87"/>
    <x v="18"/>
  </r>
  <r>
    <x v="0"/>
    <x v="1"/>
    <x v="27"/>
    <x v="3"/>
    <n v="106.249"/>
    <x v="18"/>
  </r>
  <r>
    <x v="0"/>
    <x v="1"/>
    <x v="27"/>
    <x v="4"/>
    <n v="129.983"/>
    <x v="18"/>
  </r>
  <r>
    <x v="0"/>
    <x v="1"/>
    <x v="28"/>
    <x v="0"/>
    <n v="0"/>
    <x v="18"/>
  </r>
  <r>
    <x v="0"/>
    <x v="1"/>
    <x v="28"/>
    <x v="1"/>
    <n v="0"/>
    <x v="18"/>
  </r>
  <r>
    <x v="0"/>
    <x v="1"/>
    <x v="28"/>
    <x v="2"/>
    <n v="0"/>
    <x v="18"/>
  </r>
  <r>
    <x v="0"/>
    <x v="1"/>
    <x v="28"/>
    <x v="3"/>
    <n v="0"/>
    <x v="18"/>
  </r>
  <r>
    <x v="0"/>
    <x v="1"/>
    <x v="28"/>
    <x v="4"/>
    <n v="0"/>
    <x v="18"/>
  </r>
  <r>
    <x v="0"/>
    <x v="1"/>
    <x v="29"/>
    <x v="0"/>
    <n v="13.619"/>
    <x v="18"/>
  </r>
  <r>
    <x v="0"/>
    <x v="1"/>
    <x v="29"/>
    <x v="1"/>
    <n v="15.807"/>
    <x v="18"/>
  </r>
  <r>
    <x v="0"/>
    <x v="1"/>
    <x v="29"/>
    <x v="2"/>
    <n v="16.931999999999999"/>
    <x v="18"/>
  </r>
  <r>
    <x v="0"/>
    <x v="1"/>
    <x v="29"/>
    <x v="3"/>
    <n v="18.114000000000001"/>
    <x v="18"/>
  </r>
  <r>
    <x v="0"/>
    <x v="1"/>
    <x v="29"/>
    <x v="4"/>
    <n v="20.39"/>
    <x v="18"/>
  </r>
  <r>
    <x v="0"/>
    <x v="1"/>
    <x v="30"/>
    <x v="0"/>
    <n v="22.545000000000002"/>
    <x v="18"/>
  </r>
  <r>
    <x v="0"/>
    <x v="1"/>
    <x v="30"/>
    <x v="1"/>
    <n v="25.594000000000001"/>
    <x v="18"/>
  </r>
  <r>
    <x v="0"/>
    <x v="1"/>
    <x v="30"/>
    <x v="2"/>
    <n v="26.222999999999999"/>
    <x v="18"/>
  </r>
  <r>
    <x v="0"/>
    <x v="1"/>
    <x v="30"/>
    <x v="3"/>
    <n v="28.928999999999998"/>
    <x v="18"/>
  </r>
  <r>
    <x v="0"/>
    <x v="1"/>
    <x v="30"/>
    <x v="4"/>
    <n v="27.062000000000001"/>
    <x v="18"/>
  </r>
  <r>
    <x v="0"/>
    <x v="1"/>
    <x v="31"/>
    <x v="0"/>
    <n v="51.462000000000003"/>
    <x v="18"/>
  </r>
  <r>
    <x v="0"/>
    <x v="1"/>
    <x v="31"/>
    <x v="1"/>
    <n v="52.557000000000002"/>
    <x v="18"/>
  </r>
  <r>
    <x v="0"/>
    <x v="1"/>
    <x v="31"/>
    <x v="2"/>
    <n v="60.683"/>
    <x v="18"/>
  </r>
  <r>
    <x v="0"/>
    <x v="1"/>
    <x v="31"/>
    <x v="3"/>
    <n v="56.392000000000003"/>
    <x v="18"/>
  </r>
  <r>
    <x v="0"/>
    <x v="1"/>
    <x v="31"/>
    <x v="4"/>
    <n v="72.168000000000006"/>
    <x v="18"/>
  </r>
  <r>
    <x v="0"/>
    <x v="1"/>
    <x v="32"/>
    <x v="0"/>
    <n v="1.8120000000000001"/>
    <x v="18"/>
  </r>
  <r>
    <x v="0"/>
    <x v="1"/>
    <x v="32"/>
    <x v="1"/>
    <n v="2.1789999999999998"/>
    <x v="18"/>
  </r>
  <r>
    <x v="0"/>
    <x v="1"/>
    <x v="32"/>
    <x v="2"/>
    <n v="2.3210000000000002"/>
    <x v="18"/>
  </r>
  <r>
    <x v="0"/>
    <x v="1"/>
    <x v="32"/>
    <x v="3"/>
    <n v="2.3090000000000002"/>
    <x v="18"/>
  </r>
  <r>
    <x v="0"/>
    <x v="1"/>
    <x v="32"/>
    <x v="4"/>
    <n v="2.1190000000000002"/>
    <x v="18"/>
  </r>
  <r>
    <x v="0"/>
    <x v="1"/>
    <x v="33"/>
    <x v="0"/>
    <n v="10.862"/>
    <x v="18"/>
  </r>
  <r>
    <x v="0"/>
    <x v="1"/>
    <x v="33"/>
    <x v="1"/>
    <n v="12.86"/>
    <x v="18"/>
  </r>
  <r>
    <x v="0"/>
    <x v="1"/>
    <x v="33"/>
    <x v="2"/>
    <n v="14.859"/>
    <x v="18"/>
  </r>
  <r>
    <x v="0"/>
    <x v="1"/>
    <x v="33"/>
    <x v="3"/>
    <n v="15.398"/>
    <x v="18"/>
  </r>
  <r>
    <x v="0"/>
    <x v="1"/>
    <x v="33"/>
    <x v="4"/>
    <n v="18.204000000000001"/>
    <x v="18"/>
  </r>
  <r>
    <x v="0"/>
    <x v="1"/>
    <x v="34"/>
    <x v="0"/>
    <n v="3.2519999999999998"/>
    <x v="18"/>
  </r>
  <r>
    <x v="0"/>
    <x v="1"/>
    <x v="34"/>
    <x v="1"/>
    <n v="3.9929999999999999"/>
    <x v="18"/>
  </r>
  <r>
    <x v="0"/>
    <x v="1"/>
    <x v="34"/>
    <x v="2"/>
    <n v="0"/>
    <x v="18"/>
  </r>
  <r>
    <x v="0"/>
    <x v="1"/>
    <x v="34"/>
    <x v="3"/>
    <n v="0"/>
    <x v="18"/>
  </r>
  <r>
    <x v="0"/>
    <x v="1"/>
    <x v="34"/>
    <x v="4"/>
    <n v="0"/>
    <x v="18"/>
  </r>
  <r>
    <x v="0"/>
    <x v="1"/>
    <x v="35"/>
    <x v="0"/>
    <n v="261.803"/>
    <x v="18"/>
  </r>
  <r>
    <x v="0"/>
    <x v="1"/>
    <x v="35"/>
    <x v="1"/>
    <n v="373.55200000000002"/>
    <x v="18"/>
  </r>
  <r>
    <x v="0"/>
    <x v="1"/>
    <x v="35"/>
    <x v="2"/>
    <n v="392.19099999999997"/>
    <x v="18"/>
  </r>
  <r>
    <x v="0"/>
    <x v="1"/>
    <x v="35"/>
    <x v="3"/>
    <n v="413.197"/>
    <x v="18"/>
  </r>
  <r>
    <x v="0"/>
    <x v="1"/>
    <x v="35"/>
    <x v="4"/>
    <n v="416.4"/>
    <x v="18"/>
  </r>
  <r>
    <x v="0"/>
    <x v="1"/>
    <x v="36"/>
    <x v="0"/>
    <n v="68.024000000000001"/>
    <x v="18"/>
  </r>
  <r>
    <x v="0"/>
    <x v="1"/>
    <x v="36"/>
    <x v="1"/>
    <n v="64.117999999999995"/>
    <x v="18"/>
  </r>
  <r>
    <x v="0"/>
    <x v="1"/>
    <x v="36"/>
    <x v="2"/>
    <n v="64.180999999999997"/>
    <x v="18"/>
  </r>
  <r>
    <x v="0"/>
    <x v="1"/>
    <x v="36"/>
    <x v="3"/>
    <n v="58.122"/>
    <x v="18"/>
  </r>
  <r>
    <x v="0"/>
    <x v="1"/>
    <x v="36"/>
    <x v="4"/>
    <n v="56.966999999999999"/>
    <x v="18"/>
  </r>
  <r>
    <x v="0"/>
    <x v="1"/>
    <x v="37"/>
    <x v="0"/>
    <n v="0.249"/>
    <x v="18"/>
  </r>
  <r>
    <x v="0"/>
    <x v="1"/>
    <x v="37"/>
    <x v="1"/>
    <n v="0.21099999999999999"/>
    <x v="18"/>
  </r>
  <r>
    <x v="0"/>
    <x v="1"/>
    <x v="37"/>
    <x v="2"/>
    <n v="0.19500000000000001"/>
    <x v="18"/>
  </r>
  <r>
    <x v="0"/>
    <x v="1"/>
    <x v="37"/>
    <x v="3"/>
    <n v="0.19"/>
    <x v="18"/>
  </r>
  <r>
    <x v="0"/>
    <x v="1"/>
    <x v="37"/>
    <x v="4"/>
    <n v="0.23100000000000001"/>
    <x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3" cacheId="0" applyNumberFormats="0" applyBorderFormats="0" applyFontFormats="0" applyPatternFormats="0" applyAlignmentFormats="0" applyWidthHeightFormats="1" dataCaption="Values" updatedVersion="5" minRefreshableVersion="3" useAutoFormatting="1" rowGrandTotals="0" colGrandTotals="0" itemPrintTitles="1" createdVersion="5" indent="0" outline="1" outlineData="1" multipleFieldFilters="0">
  <location ref="A3:AM135" firstHeaderRow="1" firstDataRow="2" firstDataCol="1"/>
  <pivotFields count="6">
    <pivotField axis="axisRow" showAll="0" defaultSubtotal="0">
      <items count="2">
        <item x="0"/>
        <item x="1"/>
      </items>
    </pivotField>
    <pivotField axis="axisRow" showAll="0" defaultSubtotal="0">
      <items count="2">
        <item x="0"/>
        <item x="1"/>
      </items>
    </pivotField>
    <pivotField axis="axisCol" showAll="0" defaultSubtota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</pivotField>
    <pivotField axis="axisRow" showAll="0" defaultSubtotal="0">
      <items count="5">
        <item x="4"/>
        <item x="3"/>
        <item x="2"/>
        <item x="1"/>
        <item x="0"/>
      </items>
    </pivotField>
    <pivotField dataField="1" showAll="0" defaultSubtotal="0"/>
    <pivotField axis="axisRow" showAll="0" sortType="ascending" defaultSubtotal="0">
      <items count="19">
        <item x="0"/>
        <item x="16"/>
        <item x="14"/>
        <item x="10"/>
        <item x="13"/>
        <item x="8"/>
        <item x="18"/>
        <item x="5"/>
        <item x="3"/>
        <item x="17"/>
        <item x="12"/>
        <item x="11"/>
        <item x="15"/>
        <item x="4"/>
        <item x="7"/>
        <item x="9"/>
        <item x="1"/>
        <item x="2"/>
        <item x="6"/>
      </items>
    </pivotField>
  </pivotFields>
  <rowFields count="4">
    <field x="0"/>
    <field x="1"/>
    <field x="5"/>
    <field x="3"/>
  </rowFields>
  <rowItems count="131">
    <i>
      <x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2">
      <x v="7"/>
    </i>
    <i r="3">
      <x/>
    </i>
    <i r="3">
      <x v="1"/>
    </i>
    <i r="3">
      <x v="2"/>
    </i>
    <i r="3">
      <x v="3"/>
    </i>
    <i r="3">
      <x v="4"/>
    </i>
    <i r="2">
      <x v="8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6"/>
    </i>
    <i r="3">
      <x/>
    </i>
    <i r="3">
      <x v="1"/>
    </i>
    <i r="3">
      <x v="2"/>
    </i>
    <i r="3">
      <x v="3"/>
    </i>
    <i r="3">
      <x v="4"/>
    </i>
    <i r="2">
      <x v="17"/>
    </i>
    <i r="3">
      <x/>
    </i>
    <i r="3">
      <x v="1"/>
    </i>
    <i r="3">
      <x v="2"/>
    </i>
    <i r="3">
      <x v="3"/>
    </i>
    <i r="3">
      <x v="4"/>
    </i>
    <i r="2">
      <x v="18"/>
    </i>
    <i r="3">
      <x/>
    </i>
    <i r="3">
      <x v="1"/>
    </i>
    <i r="3">
      <x v="2"/>
    </i>
    <i r="3">
      <x v="3"/>
    </i>
    <i r="3">
      <x v="4"/>
    </i>
    <i r="1">
      <x v="1"/>
    </i>
    <i r="2">
      <x/>
    </i>
    <i r="3">
      <x/>
    </i>
    <i r="3">
      <x v="1"/>
    </i>
    <i r="3">
      <x v="2"/>
    </i>
    <i r="3">
      <x v="3"/>
    </i>
    <i r="3">
      <x v="4"/>
    </i>
    <i r="2">
      <x v="6"/>
    </i>
    <i r="3">
      <x/>
    </i>
    <i r="3">
      <x v="1"/>
    </i>
    <i r="3">
      <x v="2"/>
    </i>
    <i r="3">
      <x v="3"/>
    </i>
    <i r="3">
      <x v="4"/>
    </i>
    <i>
      <x v="1"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/>
    </i>
    <i r="3">
      <x v="1"/>
    </i>
    <i r="3">
      <x v="2"/>
    </i>
    <i r="3">
      <x v="3"/>
    </i>
    <i r="3">
      <x v="4"/>
    </i>
    <i r="2">
      <x v="3"/>
    </i>
    <i r="3">
      <x/>
    </i>
    <i r="3">
      <x v="1"/>
    </i>
    <i r="3">
      <x v="2"/>
    </i>
    <i r="3">
      <x v="3"/>
    </i>
    <i r="3">
      <x v="4"/>
    </i>
    <i r="2">
      <x v="4"/>
    </i>
    <i r="3">
      <x/>
    </i>
    <i r="3">
      <x v="1"/>
    </i>
    <i r="3">
      <x v="2"/>
    </i>
    <i r="3">
      <x v="3"/>
    </i>
    <i r="3">
      <x v="4"/>
    </i>
    <i r="2">
      <x v="5"/>
    </i>
    <i r="3">
      <x/>
    </i>
    <i r="3">
      <x v="1"/>
    </i>
    <i r="3">
      <x v="2"/>
    </i>
    <i r="3">
      <x v="3"/>
    </i>
    <i r="3">
      <x v="4"/>
    </i>
    <i r="2">
      <x v="9"/>
    </i>
    <i r="3">
      <x/>
    </i>
    <i r="3">
      <x v="1"/>
    </i>
    <i r="3">
      <x v="2"/>
    </i>
    <i r="3">
      <x v="3"/>
    </i>
    <i r="3">
      <x v="4"/>
    </i>
    <i r="2">
      <x v="10"/>
    </i>
    <i r="3">
      <x/>
    </i>
    <i r="3">
      <x v="1"/>
    </i>
    <i r="3">
      <x v="2"/>
    </i>
    <i r="3">
      <x v="3"/>
    </i>
    <i r="3">
      <x v="4"/>
    </i>
    <i r="2">
      <x v="11"/>
    </i>
    <i r="3">
      <x/>
    </i>
    <i r="3">
      <x v="1"/>
    </i>
    <i r="3">
      <x v="2"/>
    </i>
    <i r="3">
      <x v="3"/>
    </i>
    <i r="3">
      <x v="4"/>
    </i>
    <i r="2">
      <x v="12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4"/>
    </i>
    <i r="3">
      <x/>
    </i>
    <i r="3">
      <x v="1"/>
    </i>
    <i r="3">
      <x v="2"/>
    </i>
    <i r="3">
      <x v="3"/>
    </i>
    <i r="3">
      <x v="4"/>
    </i>
    <i r="2">
      <x v="15"/>
    </i>
    <i r="3">
      <x/>
    </i>
    <i r="3">
      <x v="1"/>
    </i>
    <i r="3">
      <x v="2"/>
    </i>
    <i r="3">
      <x v="3"/>
    </i>
    <i r="3">
      <x v="4"/>
    </i>
  </rowItems>
  <colFields count="1">
    <field x="2"/>
  </colFields>
  <col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</colItems>
  <dataFields count="1">
    <dataField name="Sum of PJ" fld="4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1:AD54"/>
  <sheetViews>
    <sheetView tabSelected="1" zoomScale="80" zoomScaleNormal="80" workbookViewId="0">
      <pane xSplit="4" ySplit="2" topLeftCell="E12" activePane="bottomRight" state="frozen"/>
      <selection pane="topRight" activeCell="E1" sqref="E1"/>
      <selection pane="bottomLeft" activeCell="A3" sqref="A3"/>
      <selection pane="bottomRight" activeCell="B1" sqref="B1:U34"/>
    </sheetView>
  </sheetViews>
  <sheetFormatPr defaultColWidth="9.140625" defaultRowHeight="12.75" x14ac:dyDescent="0.2"/>
  <cols>
    <col min="1" max="1" width="2" style="1" bestFit="1" customWidth="1"/>
    <col min="2" max="2" width="23.28515625" style="1" bestFit="1" customWidth="1"/>
    <col min="3" max="3" width="9.28515625" style="1" bestFit="1" customWidth="1"/>
    <col min="4" max="4" width="15.5703125" style="1" bestFit="1" customWidth="1"/>
    <col min="5" max="5" width="6.140625" style="1" bestFit="1" customWidth="1"/>
    <col min="6" max="6" width="4.85546875" style="1" bestFit="1" customWidth="1"/>
    <col min="7" max="7" width="6.5703125" style="1" bestFit="1" customWidth="1"/>
    <col min="8" max="8" width="17" style="1" bestFit="1" customWidth="1"/>
    <col min="9" max="9" width="6.140625" style="1" bestFit="1" customWidth="1"/>
    <col min="10" max="10" width="5" style="1" bestFit="1" customWidth="1"/>
    <col min="11" max="11" width="4.5703125" style="1" bestFit="1" customWidth="1"/>
    <col min="12" max="12" width="5.5703125" style="1" bestFit="1" customWidth="1"/>
    <col min="13" max="13" width="9.42578125" style="1" bestFit="1" customWidth="1"/>
    <col min="14" max="14" width="2" style="1" bestFit="1" customWidth="1"/>
    <col min="15" max="15" width="11.5703125" style="1" bestFit="1" customWidth="1"/>
    <col min="16" max="16" width="23.28515625" style="1" bestFit="1" customWidth="1"/>
    <col min="17" max="17" width="39.5703125" style="1" bestFit="1" customWidth="1"/>
    <col min="18" max="18" width="4.5703125" style="1" bestFit="1" customWidth="1"/>
    <col min="19" max="19" width="5" style="1" bestFit="1" customWidth="1"/>
    <col min="20" max="20" width="8.85546875" style="1" bestFit="1" customWidth="1"/>
    <col min="21" max="21" width="7.28515625" style="1" bestFit="1" customWidth="1"/>
    <col min="22" max="24" width="9.140625" style="1"/>
    <col min="25" max="25" width="10.7109375" style="1" bestFit="1" customWidth="1"/>
    <col min="26" max="16384" width="9.140625" style="1"/>
  </cols>
  <sheetData>
    <row r="1" spans="2:30" x14ac:dyDescent="0.2">
      <c r="D1" s="1" t="s">
        <v>0</v>
      </c>
      <c r="O1" s="3" t="s">
        <v>1</v>
      </c>
      <c r="P1" s="3"/>
      <c r="Q1" s="3"/>
      <c r="R1" s="3"/>
      <c r="S1" s="3"/>
      <c r="T1" s="3"/>
      <c r="U1" s="3"/>
      <c r="W1" s="3" t="s">
        <v>113</v>
      </c>
      <c r="X1" s="3"/>
      <c r="Y1" s="3"/>
      <c r="Z1" s="3"/>
      <c r="AA1" s="3"/>
      <c r="AB1" s="3"/>
      <c r="AC1" s="3"/>
      <c r="AD1" s="3"/>
    </row>
    <row r="2" spans="2:30" x14ac:dyDescent="0.2">
      <c r="B2" s="1" t="s">
        <v>2</v>
      </c>
      <c r="C2" s="2" t="s">
        <v>3</v>
      </c>
      <c r="D2" s="2" t="s">
        <v>4</v>
      </c>
      <c r="E2" s="2" t="s">
        <v>5</v>
      </c>
      <c r="F2" s="2" t="s">
        <v>55</v>
      </c>
      <c r="G2" s="2" t="s">
        <v>53</v>
      </c>
      <c r="H2" s="1" t="s">
        <v>228</v>
      </c>
      <c r="I2" s="2" t="s">
        <v>57</v>
      </c>
      <c r="J2" s="2" t="s">
        <v>54</v>
      </c>
      <c r="K2" s="2" t="s">
        <v>6</v>
      </c>
      <c r="L2" s="2" t="s">
        <v>58</v>
      </c>
      <c r="M2" s="2" t="s">
        <v>7</v>
      </c>
      <c r="O2" s="3" t="s">
        <v>8</v>
      </c>
      <c r="P2" s="3" t="s">
        <v>2</v>
      </c>
      <c r="Q2" s="3" t="s">
        <v>9</v>
      </c>
      <c r="R2" s="3" t="s">
        <v>10</v>
      </c>
      <c r="S2" s="3" t="s">
        <v>11</v>
      </c>
      <c r="T2" s="3" t="s">
        <v>12</v>
      </c>
      <c r="U2" s="3" t="s">
        <v>13</v>
      </c>
      <c r="W2" s="3" t="s">
        <v>63</v>
      </c>
      <c r="X2" s="3" t="s">
        <v>64</v>
      </c>
      <c r="Y2" s="3" t="s">
        <v>65</v>
      </c>
      <c r="Z2" s="3" t="s">
        <v>66</v>
      </c>
      <c r="AA2" s="3" t="s">
        <v>67</v>
      </c>
      <c r="AB2" s="3" t="s">
        <v>68</v>
      </c>
      <c r="AC2" s="3" t="s">
        <v>69</v>
      </c>
      <c r="AD2" s="3" t="s">
        <v>70</v>
      </c>
    </row>
    <row r="3" spans="2:30" ht="15" x14ac:dyDescent="0.25">
      <c r="B3" s="1" t="str">
        <f>P3</f>
        <v>ECHP_biomass_thermal</v>
      </c>
      <c r="C3" s="2" t="s">
        <v>52</v>
      </c>
      <c r="D3" s="2" t="s">
        <v>14</v>
      </c>
      <c r="E3" s="1">
        <v>25</v>
      </c>
      <c r="F3" s="1">
        <v>200</v>
      </c>
      <c r="G3" s="1">
        <v>30</v>
      </c>
      <c r="H3" s="1">
        <v>2</v>
      </c>
      <c r="I3" s="1">
        <f t="shared" ref="I3:I27" si="0">IFERROR(VLOOKUP(G3,$B$43:$C$45,2,FALSE),"")</f>
        <v>2</v>
      </c>
      <c r="J3" s="1">
        <v>0.85</v>
      </c>
      <c r="L3">
        <v>11</v>
      </c>
      <c r="M3" s="1">
        <v>1.2</v>
      </c>
      <c r="O3" s="3" t="s">
        <v>15</v>
      </c>
      <c r="P3" s="3" t="s">
        <v>16</v>
      </c>
      <c r="Q3" s="3" t="str">
        <f>"Existing CHP plant - " &amp; MID(P3,6,50)</f>
        <v>Existing CHP plant - biomass_thermal</v>
      </c>
      <c r="R3" s="3" t="s">
        <v>17</v>
      </c>
      <c r="S3" s="3" t="s">
        <v>18</v>
      </c>
      <c r="T3" s="3" t="s">
        <v>19</v>
      </c>
      <c r="U3" s="3" t="s">
        <v>20</v>
      </c>
      <c r="W3" s="3" t="s">
        <v>71</v>
      </c>
      <c r="X3" s="3" t="s">
        <v>52</v>
      </c>
      <c r="Y3" s="3" t="str">
        <f>X3</f>
        <v>ELCWOO</v>
      </c>
      <c r="Z3" s="3" t="s">
        <v>17</v>
      </c>
      <c r="AA3" s="3"/>
      <c r="AB3" s="3"/>
      <c r="AC3" s="3"/>
      <c r="AD3" s="3"/>
    </row>
    <row r="4" spans="2:30" ht="15" x14ac:dyDescent="0.25">
      <c r="B4" s="1" t="str">
        <f t="shared" ref="B4:B25" si="1">P4</f>
        <v>ECHP_coal_thermal</v>
      </c>
      <c r="C4" s="2" t="s">
        <v>21</v>
      </c>
      <c r="D4" s="2" t="s">
        <v>14</v>
      </c>
      <c r="E4" s="1">
        <v>25</v>
      </c>
      <c r="F4" s="1">
        <v>200</v>
      </c>
      <c r="G4" s="1">
        <v>30</v>
      </c>
      <c r="H4" s="1">
        <v>2</v>
      </c>
      <c r="I4" s="1">
        <f>IFERROR(VLOOKUP(G4,$B$43:$C$45,2,FALSE),"")</f>
        <v>2</v>
      </c>
      <c r="J4" s="1">
        <v>0.85</v>
      </c>
      <c r="L4">
        <v>11</v>
      </c>
      <c r="M4" s="1">
        <v>1.2</v>
      </c>
      <c r="O4" s="3" t="s">
        <v>15</v>
      </c>
      <c r="P4" s="3" t="s">
        <v>23</v>
      </c>
      <c r="Q4" s="3" t="str">
        <f t="shared" ref="Q4:Q11" si="2">"Existing CHP plant - " &amp; MID(P4,6,50)</f>
        <v>Existing CHP plant - coal_thermal</v>
      </c>
      <c r="R4" s="3" t="s">
        <v>17</v>
      </c>
      <c r="S4" s="3" t="s">
        <v>18</v>
      </c>
      <c r="T4" s="3" t="s">
        <v>19</v>
      </c>
      <c r="U4" s="3" t="s">
        <v>20</v>
      </c>
      <c r="W4" s="3"/>
      <c r="X4" s="3" t="s">
        <v>26</v>
      </c>
      <c r="Y4" s="3" t="str">
        <f t="shared" ref="Y4:Y9" si="3">X4</f>
        <v>ELCDST</v>
      </c>
      <c r="Z4" s="3" t="s">
        <v>17</v>
      </c>
      <c r="AA4" s="3"/>
      <c r="AB4" s="3"/>
      <c r="AC4" s="3"/>
      <c r="AD4" s="3"/>
    </row>
    <row r="5" spans="2:30" ht="15" x14ac:dyDescent="0.25">
      <c r="B5" s="1" t="str">
        <f t="shared" si="1"/>
        <v>ECHP_HFO_thermal</v>
      </c>
      <c r="C5" s="2" t="s">
        <v>24</v>
      </c>
      <c r="D5" s="2" t="s">
        <v>14</v>
      </c>
      <c r="E5" s="1">
        <v>25</v>
      </c>
      <c r="F5" s="1">
        <v>200</v>
      </c>
      <c r="G5" s="1">
        <v>18</v>
      </c>
      <c r="H5" s="1">
        <v>2</v>
      </c>
      <c r="I5" s="1">
        <f t="shared" si="0"/>
        <v>4</v>
      </c>
      <c r="J5" s="1">
        <v>0.9</v>
      </c>
      <c r="L5">
        <v>11</v>
      </c>
      <c r="M5" s="1">
        <v>1.2</v>
      </c>
      <c r="O5" s="3" t="s">
        <v>15</v>
      </c>
      <c r="P5" s="3" t="s">
        <v>25</v>
      </c>
      <c r="Q5" s="3" t="str">
        <f t="shared" si="2"/>
        <v>Existing CHP plant - HFO_thermal</v>
      </c>
      <c r="R5" s="3" t="s">
        <v>17</v>
      </c>
      <c r="S5" s="3" t="s">
        <v>18</v>
      </c>
      <c r="T5" s="3" t="s">
        <v>19</v>
      </c>
      <c r="U5" s="3" t="s">
        <v>20</v>
      </c>
      <c r="W5" s="3"/>
      <c r="X5" s="3" t="s">
        <v>34</v>
      </c>
      <c r="Y5" s="3" t="str">
        <f t="shared" si="3"/>
        <v>ELCSOL</v>
      </c>
      <c r="Z5" s="3" t="s">
        <v>17</v>
      </c>
      <c r="AA5" s="3"/>
      <c r="AB5" s="3"/>
      <c r="AC5" s="3"/>
      <c r="AD5" s="3"/>
    </row>
    <row r="6" spans="2:30" ht="15" x14ac:dyDescent="0.25">
      <c r="B6" s="1" t="str">
        <f t="shared" si="1"/>
        <v>ECHP_LFO_thermal</v>
      </c>
      <c r="C6" s="2" t="s">
        <v>26</v>
      </c>
      <c r="D6" s="2" t="s">
        <v>14</v>
      </c>
      <c r="E6" s="1">
        <v>25</v>
      </c>
      <c r="F6" s="1">
        <v>200</v>
      </c>
      <c r="G6" s="1">
        <v>18</v>
      </c>
      <c r="H6" s="1">
        <v>2</v>
      </c>
      <c r="I6" s="1">
        <f t="shared" si="0"/>
        <v>4</v>
      </c>
      <c r="J6" s="1">
        <v>0.9</v>
      </c>
      <c r="L6">
        <v>11</v>
      </c>
      <c r="M6" s="1">
        <v>1.2</v>
      </c>
      <c r="O6" s="3" t="s">
        <v>15</v>
      </c>
      <c r="P6" s="3" t="s">
        <v>27</v>
      </c>
      <c r="Q6" s="3" t="str">
        <f t="shared" si="2"/>
        <v>Existing CHP plant - LFO_thermal</v>
      </c>
      <c r="R6" s="3" t="s">
        <v>17</v>
      </c>
      <c r="S6" s="3" t="s">
        <v>18</v>
      </c>
      <c r="T6" s="3" t="s">
        <v>19</v>
      </c>
      <c r="U6" s="3" t="s">
        <v>20</v>
      </c>
      <c r="W6" s="3"/>
      <c r="X6" s="3" t="s">
        <v>51</v>
      </c>
      <c r="Y6" s="3" t="str">
        <f t="shared" si="3"/>
        <v>ELCWIN</v>
      </c>
      <c r="Z6" s="3" t="s">
        <v>17</v>
      </c>
      <c r="AA6" s="3"/>
      <c r="AB6" s="3"/>
      <c r="AC6" s="3"/>
      <c r="AD6" s="3"/>
    </row>
    <row r="7" spans="2:30" ht="15" x14ac:dyDescent="0.25">
      <c r="B7" s="19" t="str">
        <f t="shared" si="1"/>
        <v>ECHP_lignite_thermal</v>
      </c>
      <c r="C7" s="2" t="s">
        <v>28</v>
      </c>
      <c r="D7" s="2" t="s">
        <v>14</v>
      </c>
      <c r="E7" s="1">
        <v>25</v>
      </c>
      <c r="F7" s="1">
        <v>200</v>
      </c>
      <c r="G7" s="1">
        <v>30</v>
      </c>
      <c r="H7" s="1">
        <v>2</v>
      </c>
      <c r="I7" s="1">
        <f t="shared" si="0"/>
        <v>2</v>
      </c>
      <c r="J7" s="19">
        <f>0.91</f>
        <v>0.91</v>
      </c>
      <c r="L7">
        <v>11</v>
      </c>
      <c r="M7" s="1">
        <v>1.2</v>
      </c>
      <c r="O7" s="3" t="s">
        <v>15</v>
      </c>
      <c r="P7" s="3" t="s">
        <v>29</v>
      </c>
      <c r="Q7" s="3" t="str">
        <f t="shared" si="2"/>
        <v>Existing CHP plant - lignite_thermal</v>
      </c>
      <c r="R7" s="3" t="s">
        <v>17</v>
      </c>
      <c r="S7" s="3" t="s">
        <v>18</v>
      </c>
      <c r="T7" s="3" t="s">
        <v>19</v>
      </c>
      <c r="U7" s="3" t="s">
        <v>20</v>
      </c>
      <c r="W7" s="3"/>
      <c r="X7" s="3" t="s">
        <v>36</v>
      </c>
      <c r="Y7" s="3" t="s">
        <v>93</v>
      </c>
      <c r="Z7" s="3" t="s">
        <v>17</v>
      </c>
      <c r="AA7" s="3"/>
      <c r="AB7" s="3" t="s">
        <v>19</v>
      </c>
      <c r="AC7" s="3" t="s">
        <v>91</v>
      </c>
      <c r="AD7" s="3" t="s">
        <v>72</v>
      </c>
    </row>
    <row r="8" spans="2:30" ht="15" x14ac:dyDescent="0.25">
      <c r="B8" s="1" t="str">
        <f t="shared" si="1"/>
        <v>ECHP_naturalgas_CCGT</v>
      </c>
      <c r="C8" s="2" t="s">
        <v>30</v>
      </c>
      <c r="D8" s="2" t="s">
        <v>14</v>
      </c>
      <c r="E8" s="1">
        <v>25</v>
      </c>
      <c r="F8" s="1">
        <v>200</v>
      </c>
      <c r="G8" s="1">
        <v>23</v>
      </c>
      <c r="H8" s="1">
        <v>2</v>
      </c>
      <c r="I8" s="1">
        <f t="shared" si="0"/>
        <v>3</v>
      </c>
      <c r="J8" s="1">
        <v>0.9</v>
      </c>
      <c r="L8">
        <v>11</v>
      </c>
      <c r="M8" s="1">
        <v>1.2</v>
      </c>
      <c r="O8" s="3" t="s">
        <v>15</v>
      </c>
      <c r="P8" s="3" t="s">
        <v>31</v>
      </c>
      <c r="Q8" s="3" t="str">
        <f t="shared" si="2"/>
        <v>Existing CHP plant - naturalgas_CCGT</v>
      </c>
      <c r="R8" s="3" t="s">
        <v>17</v>
      </c>
      <c r="S8" s="3" t="s">
        <v>18</v>
      </c>
      <c r="T8" s="3" t="s">
        <v>19</v>
      </c>
      <c r="U8" s="3" t="s">
        <v>20</v>
      </c>
      <c r="W8" s="3"/>
      <c r="X8" s="3" t="s">
        <v>62</v>
      </c>
      <c r="Y8" s="3" t="str">
        <f t="shared" si="3"/>
        <v>HETHTH</v>
      </c>
      <c r="Z8" s="3" t="s">
        <v>17</v>
      </c>
      <c r="AA8" s="3"/>
      <c r="AB8" s="3" t="s">
        <v>22</v>
      </c>
      <c r="AC8" s="3" t="s">
        <v>91</v>
      </c>
      <c r="AD8" s="3" t="s">
        <v>73</v>
      </c>
    </row>
    <row r="9" spans="2:30" ht="15" x14ac:dyDescent="0.25">
      <c r="B9" s="1" t="str">
        <f t="shared" si="1"/>
        <v>ECHP_naturalgas_OCGT</v>
      </c>
      <c r="C9" s="2" t="s">
        <v>30</v>
      </c>
      <c r="D9" s="2" t="s">
        <v>14</v>
      </c>
      <c r="E9" s="1">
        <v>25</v>
      </c>
      <c r="F9" s="1">
        <v>200</v>
      </c>
      <c r="G9" s="1">
        <v>18</v>
      </c>
      <c r="H9" s="1">
        <v>2</v>
      </c>
      <c r="I9" s="1">
        <f>IFERROR(VLOOKUP(G9,$B$43:$C$45,2,FALSE),"")</f>
        <v>4</v>
      </c>
      <c r="J9" s="1">
        <v>0.9</v>
      </c>
      <c r="L9">
        <v>11</v>
      </c>
      <c r="M9" s="1">
        <v>1.2</v>
      </c>
      <c r="O9" s="3" t="s">
        <v>15</v>
      </c>
      <c r="P9" s="3" t="s">
        <v>32</v>
      </c>
      <c r="Q9" s="3" t="str">
        <f t="shared" si="2"/>
        <v>Existing CHP plant - naturalgas_OCGT</v>
      </c>
      <c r="R9" s="3" t="s">
        <v>17</v>
      </c>
      <c r="S9" s="3" t="s">
        <v>18</v>
      </c>
      <c r="T9" s="3" t="s">
        <v>19</v>
      </c>
      <c r="U9" s="3" t="s">
        <v>20</v>
      </c>
      <c r="X9" s="3" t="s">
        <v>78</v>
      </c>
      <c r="Y9" s="1" t="str">
        <f t="shared" si="3"/>
        <v>ELCHYD</v>
      </c>
      <c r="Z9" s="3" t="s">
        <v>17</v>
      </c>
    </row>
    <row r="10" spans="2:30" ht="15" x14ac:dyDescent="0.25">
      <c r="B10" s="1" t="str">
        <f t="shared" si="1"/>
        <v>ECHP_naturalgas_thermal</v>
      </c>
      <c r="C10" s="2" t="s">
        <v>30</v>
      </c>
      <c r="D10" s="2" t="s">
        <v>14</v>
      </c>
      <c r="E10" s="1">
        <v>25</v>
      </c>
      <c r="F10" s="1">
        <v>200</v>
      </c>
      <c r="G10" s="1">
        <v>18</v>
      </c>
      <c r="H10" s="1">
        <v>2</v>
      </c>
      <c r="I10" s="1">
        <f t="shared" si="0"/>
        <v>4</v>
      </c>
      <c r="J10" s="1">
        <v>0.9</v>
      </c>
      <c r="L10">
        <v>11</v>
      </c>
      <c r="M10" s="1">
        <v>1.2</v>
      </c>
      <c r="O10" s="3" t="s">
        <v>15</v>
      </c>
      <c r="P10" s="3" t="s">
        <v>33</v>
      </c>
      <c r="Q10" s="3" t="str">
        <f t="shared" si="2"/>
        <v>Existing CHP plant - naturalgas_thermal</v>
      </c>
      <c r="R10" s="3" t="s">
        <v>17</v>
      </c>
      <c r="S10" s="3" t="s">
        <v>18</v>
      </c>
      <c r="T10" s="3" t="s">
        <v>19</v>
      </c>
      <c r="U10" s="3" t="s">
        <v>20</v>
      </c>
      <c r="X10"/>
    </row>
    <row r="11" spans="2:30" ht="15" x14ac:dyDescent="0.25">
      <c r="B11" s="1" t="str">
        <f t="shared" si="1"/>
        <v>ECHP_PV</v>
      </c>
      <c r="C11" s="2" t="s">
        <v>34</v>
      </c>
      <c r="D11" s="2" t="s">
        <v>14</v>
      </c>
      <c r="E11" s="1">
        <v>25</v>
      </c>
      <c r="F11" s="1">
        <v>30</v>
      </c>
      <c r="G11" s="1">
        <v>15</v>
      </c>
      <c r="H11" s="1">
        <v>2</v>
      </c>
      <c r="I11" s="1" t="str">
        <f t="shared" si="0"/>
        <v/>
      </c>
      <c r="K11" s="1">
        <v>1</v>
      </c>
      <c r="L11"/>
      <c r="M11" s="1">
        <v>1.2</v>
      </c>
      <c r="O11" s="3" t="s">
        <v>15</v>
      </c>
      <c r="P11" s="3" t="s">
        <v>35</v>
      </c>
      <c r="Q11" s="3" t="str">
        <f t="shared" si="2"/>
        <v>Existing CHP plant - PV</v>
      </c>
      <c r="R11" s="3" t="s">
        <v>17</v>
      </c>
      <c r="S11" s="3" t="s">
        <v>18</v>
      </c>
      <c r="T11" s="3" t="s">
        <v>19</v>
      </c>
      <c r="U11" s="3" t="s">
        <v>20</v>
      </c>
      <c r="X11"/>
    </row>
    <row r="12" spans="2:30" ht="15" x14ac:dyDescent="0.25">
      <c r="B12" s="1" t="str">
        <f t="shared" si="1"/>
        <v>EEPP_biomass_CCGT</v>
      </c>
      <c r="C12" s="2" t="s">
        <v>52</v>
      </c>
      <c r="D12" s="2" t="s">
        <v>36</v>
      </c>
      <c r="E12" s="1">
        <v>25</v>
      </c>
      <c r="F12" s="1">
        <v>200</v>
      </c>
      <c r="G12" s="1">
        <v>23</v>
      </c>
      <c r="H12" s="1">
        <v>2</v>
      </c>
      <c r="I12" s="1">
        <f t="shared" si="0"/>
        <v>3</v>
      </c>
      <c r="J12" s="1">
        <v>0.9</v>
      </c>
      <c r="L12">
        <v>11</v>
      </c>
      <c r="O12" s="3" t="s">
        <v>37</v>
      </c>
      <c r="P12" s="3" t="s">
        <v>38</v>
      </c>
      <c r="Q12" s="3" t="str">
        <f>"Existing Electricity plant - " &amp; MID(P12,6,50)</f>
        <v>Existing Electricity plant - biomass_CCGT</v>
      </c>
      <c r="R12" s="3" t="s">
        <v>17</v>
      </c>
      <c r="S12" s="3" t="s">
        <v>18</v>
      </c>
      <c r="T12" s="3" t="s">
        <v>19</v>
      </c>
      <c r="U12" s="3" t="s">
        <v>20</v>
      </c>
      <c r="X12"/>
    </row>
    <row r="13" spans="2:30" ht="15" x14ac:dyDescent="0.25">
      <c r="B13" s="1" t="str">
        <f t="shared" si="1"/>
        <v>EEPP_biomass_thermal</v>
      </c>
      <c r="C13" s="2" t="s">
        <v>52</v>
      </c>
      <c r="D13" s="2" t="s">
        <v>36</v>
      </c>
      <c r="E13" s="1">
        <v>25</v>
      </c>
      <c r="F13" s="1">
        <v>200</v>
      </c>
      <c r="G13" s="1">
        <v>30</v>
      </c>
      <c r="H13" s="1">
        <v>2</v>
      </c>
      <c r="I13" s="1">
        <f t="shared" si="0"/>
        <v>2</v>
      </c>
      <c r="J13" s="1">
        <v>0.9</v>
      </c>
      <c r="L13">
        <v>11</v>
      </c>
      <c r="O13" s="3" t="s">
        <v>37</v>
      </c>
      <c r="P13" s="3" t="s">
        <v>39</v>
      </c>
      <c r="Q13" s="3" t="str">
        <f t="shared" ref="Q13:Q23" si="4">"Existing Electricity plant - " &amp; MID(P13,6,50)</f>
        <v>Existing Electricity plant - biomass_thermal</v>
      </c>
      <c r="R13" s="3" t="s">
        <v>17</v>
      </c>
      <c r="S13" s="3" t="s">
        <v>18</v>
      </c>
      <c r="T13" s="3" t="s">
        <v>19</v>
      </c>
      <c r="U13" s="3" t="s">
        <v>20</v>
      </c>
      <c r="X13"/>
    </row>
    <row r="14" spans="2:30" ht="15" x14ac:dyDescent="0.25">
      <c r="B14" s="1" t="str">
        <f t="shared" si="1"/>
        <v>EEPP_coal_CCGT</v>
      </c>
      <c r="C14" s="2" t="s">
        <v>21</v>
      </c>
      <c r="D14" s="2" t="s">
        <v>36</v>
      </c>
      <c r="E14" s="1">
        <v>25</v>
      </c>
      <c r="F14" s="1">
        <v>200</v>
      </c>
      <c r="G14" s="1">
        <v>30</v>
      </c>
      <c r="H14" s="1">
        <v>2</v>
      </c>
      <c r="I14" s="1">
        <f t="shared" si="0"/>
        <v>2</v>
      </c>
      <c r="J14" s="1">
        <v>0.85</v>
      </c>
      <c r="L14">
        <v>11</v>
      </c>
      <c r="O14" s="3" t="s">
        <v>37</v>
      </c>
      <c r="P14" s="3" t="s">
        <v>40</v>
      </c>
      <c r="Q14" s="3" t="str">
        <f t="shared" si="4"/>
        <v>Existing Electricity plant - coal_CCGT</v>
      </c>
      <c r="R14" s="3" t="s">
        <v>17</v>
      </c>
      <c r="S14" s="3" t="s">
        <v>18</v>
      </c>
      <c r="T14" s="3" t="s">
        <v>19</v>
      </c>
      <c r="U14" s="3" t="s">
        <v>20</v>
      </c>
      <c r="X14"/>
    </row>
    <row r="15" spans="2:30" ht="15" x14ac:dyDescent="0.25">
      <c r="B15" s="1" t="str">
        <f t="shared" si="1"/>
        <v>EEPP_coal_thermal</v>
      </c>
      <c r="C15" s="2" t="s">
        <v>21</v>
      </c>
      <c r="D15" s="2" t="s">
        <v>36</v>
      </c>
      <c r="E15" s="1">
        <v>25</v>
      </c>
      <c r="F15" s="1">
        <v>200</v>
      </c>
      <c r="G15" s="1">
        <v>30</v>
      </c>
      <c r="H15" s="1">
        <v>2</v>
      </c>
      <c r="I15" s="1">
        <f t="shared" si="0"/>
        <v>2</v>
      </c>
      <c r="J15" s="1">
        <v>0.85</v>
      </c>
      <c r="L15">
        <v>11</v>
      </c>
      <c r="O15" s="3" t="s">
        <v>37</v>
      </c>
      <c r="P15" s="3" t="s">
        <v>41</v>
      </c>
      <c r="Q15" s="3" t="str">
        <f t="shared" si="4"/>
        <v>Existing Electricity plant - coal_thermal</v>
      </c>
      <c r="R15" s="3" t="s">
        <v>17</v>
      </c>
      <c r="S15" s="3" t="s">
        <v>18</v>
      </c>
      <c r="T15" s="3" t="s">
        <v>19</v>
      </c>
      <c r="U15" s="3" t="s">
        <v>20</v>
      </c>
      <c r="X15"/>
    </row>
    <row r="16" spans="2:30" ht="15" x14ac:dyDescent="0.25">
      <c r="B16" s="1" t="str">
        <f t="shared" si="1"/>
        <v>EEPP_geothermal</v>
      </c>
      <c r="C16" s="2" t="s">
        <v>42</v>
      </c>
      <c r="D16" s="2" t="s">
        <v>36</v>
      </c>
      <c r="E16" s="1">
        <v>25</v>
      </c>
      <c r="F16" s="1">
        <v>200</v>
      </c>
      <c r="G16" s="1">
        <v>30</v>
      </c>
      <c r="H16" s="1">
        <v>2</v>
      </c>
      <c r="I16" s="1">
        <f t="shared" si="0"/>
        <v>2</v>
      </c>
      <c r="J16" s="1">
        <v>0.9</v>
      </c>
      <c r="K16" s="1">
        <v>1</v>
      </c>
      <c r="L16"/>
      <c r="O16" s="3" t="s">
        <v>37</v>
      </c>
      <c r="P16" s="3" t="s">
        <v>43</v>
      </c>
      <c r="Q16" s="3" t="str">
        <f t="shared" si="4"/>
        <v>Existing Electricity plant - geothermal</v>
      </c>
      <c r="R16" s="3" t="s">
        <v>17</v>
      </c>
      <c r="S16" s="3" t="s">
        <v>18</v>
      </c>
      <c r="T16" s="3" t="s">
        <v>19</v>
      </c>
      <c r="U16" s="3" t="s">
        <v>20</v>
      </c>
      <c r="X16"/>
    </row>
    <row r="17" spans="2:24" ht="15" x14ac:dyDescent="0.25">
      <c r="B17" s="1" t="str">
        <f t="shared" si="1"/>
        <v>EEPP_HFO_thermal</v>
      </c>
      <c r="C17" s="2" t="s">
        <v>24</v>
      </c>
      <c r="D17" s="2" t="s">
        <v>36</v>
      </c>
      <c r="E17" s="1">
        <v>25</v>
      </c>
      <c r="F17" s="1">
        <v>200</v>
      </c>
      <c r="G17" s="1">
        <v>18</v>
      </c>
      <c r="H17" s="1">
        <v>2</v>
      </c>
      <c r="I17" s="1">
        <f t="shared" si="0"/>
        <v>4</v>
      </c>
      <c r="J17" s="1">
        <v>0.9</v>
      </c>
      <c r="L17">
        <v>11</v>
      </c>
      <c r="O17" s="3" t="s">
        <v>37</v>
      </c>
      <c r="P17" s="3" t="s">
        <v>44</v>
      </c>
      <c r="Q17" s="3" t="str">
        <f t="shared" si="4"/>
        <v>Existing Electricity plant - HFO_thermal</v>
      </c>
      <c r="R17" s="3" t="s">
        <v>17</v>
      </c>
      <c r="S17" s="3" t="s">
        <v>18</v>
      </c>
      <c r="T17" s="3" t="s">
        <v>19</v>
      </c>
      <c r="U17" s="3" t="s">
        <v>20</v>
      </c>
      <c r="X17"/>
    </row>
    <row r="18" spans="2:24" ht="15" x14ac:dyDescent="0.25">
      <c r="B18" s="1" t="str">
        <f t="shared" si="1"/>
        <v>EEPP_LFO_thermal</v>
      </c>
      <c r="C18" s="2" t="s">
        <v>26</v>
      </c>
      <c r="D18" s="2" t="s">
        <v>36</v>
      </c>
      <c r="E18" s="1">
        <v>25</v>
      </c>
      <c r="F18" s="1">
        <v>200</v>
      </c>
      <c r="G18" s="1">
        <v>18</v>
      </c>
      <c r="H18" s="1">
        <v>2</v>
      </c>
      <c r="I18" s="1">
        <f t="shared" si="0"/>
        <v>4</v>
      </c>
      <c r="J18" s="1">
        <v>0.9</v>
      </c>
      <c r="L18">
        <v>11</v>
      </c>
      <c r="O18" s="3" t="s">
        <v>37</v>
      </c>
      <c r="P18" s="3" t="s">
        <v>45</v>
      </c>
      <c r="Q18" s="3" t="str">
        <f t="shared" si="4"/>
        <v>Existing Electricity plant - LFO_thermal</v>
      </c>
      <c r="R18" s="3" t="s">
        <v>17</v>
      </c>
      <c r="S18" s="3" t="s">
        <v>18</v>
      </c>
      <c r="T18" s="3" t="s">
        <v>19</v>
      </c>
      <c r="U18" s="3" t="s">
        <v>20</v>
      </c>
      <c r="X18"/>
    </row>
    <row r="19" spans="2:24" ht="15" x14ac:dyDescent="0.25">
      <c r="B19" s="19" t="str">
        <f t="shared" si="1"/>
        <v>EEPP_lignite_thermal</v>
      </c>
      <c r="C19" s="2" t="s">
        <v>28</v>
      </c>
      <c r="D19" s="2" t="s">
        <v>36</v>
      </c>
      <c r="E19" s="1">
        <v>25</v>
      </c>
      <c r="F19" s="1">
        <v>200</v>
      </c>
      <c r="G19" s="1">
        <v>30</v>
      </c>
      <c r="H19" s="1">
        <v>2</v>
      </c>
      <c r="I19" s="1">
        <f t="shared" si="0"/>
        <v>2</v>
      </c>
      <c r="J19" s="19">
        <f>0.9</f>
        <v>0.9</v>
      </c>
      <c r="L19">
        <v>11</v>
      </c>
      <c r="O19" s="3" t="s">
        <v>37</v>
      </c>
      <c r="P19" s="3" t="s">
        <v>46</v>
      </c>
      <c r="Q19" s="3" t="str">
        <f t="shared" si="4"/>
        <v>Existing Electricity plant - lignite_thermal</v>
      </c>
      <c r="R19" s="3" t="s">
        <v>17</v>
      </c>
      <c r="S19" s="3" t="s">
        <v>18</v>
      </c>
      <c r="T19" s="3" t="s">
        <v>19</v>
      </c>
      <c r="U19" s="3" t="s">
        <v>20</v>
      </c>
      <c r="X19"/>
    </row>
    <row r="20" spans="2:24" ht="15" x14ac:dyDescent="0.25">
      <c r="B20" s="1" t="str">
        <f t="shared" si="1"/>
        <v>EEPP_naturalgas_CCGT</v>
      </c>
      <c r="C20" s="2" t="s">
        <v>30</v>
      </c>
      <c r="D20" s="2" t="s">
        <v>36</v>
      </c>
      <c r="E20" s="1">
        <v>25</v>
      </c>
      <c r="F20" s="1">
        <v>200</v>
      </c>
      <c r="G20" s="1">
        <v>23</v>
      </c>
      <c r="H20" s="1">
        <v>2</v>
      </c>
      <c r="I20" s="1">
        <f t="shared" si="0"/>
        <v>3</v>
      </c>
      <c r="J20" s="1">
        <v>0.9</v>
      </c>
      <c r="L20">
        <v>11</v>
      </c>
      <c r="O20" s="3" t="s">
        <v>37</v>
      </c>
      <c r="P20" s="3" t="s">
        <v>47</v>
      </c>
      <c r="Q20" s="3" t="str">
        <f t="shared" si="4"/>
        <v>Existing Electricity plant - naturalgas_CCGT</v>
      </c>
      <c r="R20" s="3" t="s">
        <v>17</v>
      </c>
      <c r="S20" s="3" t="s">
        <v>18</v>
      </c>
      <c r="T20" s="3" t="s">
        <v>19</v>
      </c>
      <c r="U20" s="3" t="s">
        <v>20</v>
      </c>
      <c r="X20"/>
    </row>
    <row r="21" spans="2:24" ht="15" x14ac:dyDescent="0.25">
      <c r="B21" s="1" t="str">
        <f t="shared" si="1"/>
        <v>EEPP_naturalgas_OCGT</v>
      </c>
      <c r="C21" s="2" t="s">
        <v>30</v>
      </c>
      <c r="D21" s="2" t="s">
        <v>36</v>
      </c>
      <c r="E21" s="1">
        <v>25</v>
      </c>
      <c r="F21" s="1">
        <v>200</v>
      </c>
      <c r="G21" s="1">
        <v>18</v>
      </c>
      <c r="H21" s="1">
        <v>2</v>
      </c>
      <c r="I21" s="1">
        <f t="shared" si="0"/>
        <v>4</v>
      </c>
      <c r="J21" s="1">
        <v>0.9</v>
      </c>
      <c r="L21">
        <v>11</v>
      </c>
      <c r="O21" s="3" t="s">
        <v>37</v>
      </c>
      <c r="P21" s="3" t="s">
        <v>48</v>
      </c>
      <c r="Q21" s="3" t="str">
        <f t="shared" si="4"/>
        <v>Existing Electricity plant - naturalgas_OCGT</v>
      </c>
      <c r="R21" s="3" t="s">
        <v>17</v>
      </c>
      <c r="S21" s="3" t="s">
        <v>18</v>
      </c>
      <c r="T21" s="3" t="s">
        <v>19</v>
      </c>
      <c r="U21" s="3" t="s">
        <v>20</v>
      </c>
      <c r="X21"/>
    </row>
    <row r="22" spans="2:24" ht="15" x14ac:dyDescent="0.25">
      <c r="B22" s="1" t="str">
        <f t="shared" si="1"/>
        <v>EEPP_naturalgas_thermal</v>
      </c>
      <c r="C22" s="2" t="s">
        <v>30</v>
      </c>
      <c r="D22" s="2" t="s">
        <v>36</v>
      </c>
      <c r="E22" s="1">
        <v>25</v>
      </c>
      <c r="F22" s="1">
        <v>200</v>
      </c>
      <c r="G22" s="1">
        <v>18</v>
      </c>
      <c r="H22" s="1">
        <v>2</v>
      </c>
      <c r="I22" s="1">
        <f t="shared" si="0"/>
        <v>4</v>
      </c>
      <c r="J22" s="1">
        <v>0.9</v>
      </c>
      <c r="L22">
        <v>11</v>
      </c>
      <c r="O22" s="3" t="s">
        <v>37</v>
      </c>
      <c r="P22" s="3" t="s">
        <v>49</v>
      </c>
      <c r="Q22" s="3" t="str">
        <f t="shared" si="4"/>
        <v>Existing Electricity plant - naturalgas_thermal</v>
      </c>
      <c r="R22" s="3" t="s">
        <v>17</v>
      </c>
      <c r="S22" s="3" t="s">
        <v>18</v>
      </c>
      <c r="T22" s="3" t="s">
        <v>19</v>
      </c>
      <c r="U22" s="3" t="s">
        <v>20</v>
      </c>
      <c r="X22"/>
    </row>
    <row r="23" spans="2:24" ht="15" x14ac:dyDescent="0.25">
      <c r="B23" s="1" t="str">
        <f t="shared" si="1"/>
        <v>EEPP_PV</v>
      </c>
      <c r="C23" s="2" t="s">
        <v>34</v>
      </c>
      <c r="D23" s="2" t="s">
        <v>36</v>
      </c>
      <c r="E23" s="1">
        <v>25</v>
      </c>
      <c r="F23" s="1">
        <v>30</v>
      </c>
      <c r="G23" s="1">
        <v>15</v>
      </c>
      <c r="H23" s="1">
        <v>2</v>
      </c>
      <c r="I23" s="1" t="str">
        <f t="shared" si="0"/>
        <v/>
      </c>
      <c r="K23" s="1">
        <v>1</v>
      </c>
      <c r="L23"/>
      <c r="O23" s="3" t="s">
        <v>37</v>
      </c>
      <c r="P23" s="3" t="s">
        <v>50</v>
      </c>
      <c r="Q23" s="3" t="str">
        <f t="shared" si="4"/>
        <v>Existing Electricity plant - PV</v>
      </c>
      <c r="R23" s="3" t="s">
        <v>17</v>
      </c>
      <c r="S23" s="3" t="s">
        <v>18</v>
      </c>
      <c r="T23" s="3" t="s">
        <v>19</v>
      </c>
      <c r="U23" s="3" t="s">
        <v>20</v>
      </c>
      <c r="X23"/>
    </row>
    <row r="24" spans="2:24" ht="15" x14ac:dyDescent="0.25">
      <c r="B24" s="1" t="str">
        <f t="shared" si="1"/>
        <v>EEPP_CSP</v>
      </c>
      <c r="C24" s="2" t="s">
        <v>34</v>
      </c>
      <c r="D24" s="2" t="s">
        <v>36</v>
      </c>
      <c r="E24" s="1">
        <v>25</v>
      </c>
      <c r="F24" s="1">
        <v>30</v>
      </c>
      <c r="G24" s="1">
        <v>15</v>
      </c>
      <c r="H24" s="1">
        <v>2</v>
      </c>
      <c r="I24" s="1" t="str">
        <f t="shared" si="0"/>
        <v/>
      </c>
      <c r="J24" s="1">
        <v>0.8</v>
      </c>
      <c r="K24" s="1">
        <v>1</v>
      </c>
      <c r="L24"/>
      <c r="O24" s="3" t="s">
        <v>37</v>
      </c>
      <c r="P24" s="3" t="s">
        <v>59</v>
      </c>
      <c r="Q24" s="3" t="str">
        <f>"Existing Electricity plant - " &amp; MID(P24,6,50)</f>
        <v>Existing Electricity plant - CSP</v>
      </c>
      <c r="R24" s="3" t="s">
        <v>17</v>
      </c>
      <c r="S24" s="3" t="s">
        <v>18</v>
      </c>
      <c r="T24" s="3" t="s">
        <v>19</v>
      </c>
      <c r="U24" s="3" t="s">
        <v>20</v>
      </c>
      <c r="X24"/>
    </row>
    <row r="25" spans="2:24" ht="15" x14ac:dyDescent="0.25">
      <c r="B25" s="1" t="str">
        <f t="shared" si="1"/>
        <v>EEPP_windOFF</v>
      </c>
      <c r="C25" s="22" t="s">
        <v>51</v>
      </c>
      <c r="D25" s="2" t="s">
        <v>36</v>
      </c>
      <c r="E25" s="1">
        <v>25</v>
      </c>
      <c r="F25" s="1">
        <v>30</v>
      </c>
      <c r="G25" s="1">
        <v>15</v>
      </c>
      <c r="H25" s="1">
        <v>2</v>
      </c>
      <c r="I25" s="1" t="str">
        <f t="shared" si="0"/>
        <v/>
      </c>
      <c r="K25" s="1">
        <v>1</v>
      </c>
      <c r="L25"/>
      <c r="O25" s="3" t="s">
        <v>37</v>
      </c>
      <c r="P25" s="3" t="s">
        <v>60</v>
      </c>
      <c r="Q25" s="3" t="str">
        <f>"Existing Electricity plant - " &amp; MID(P25,6,50)&amp;" - offshore"</f>
        <v>Existing Electricity plant - windOFF - offshore</v>
      </c>
      <c r="R25" s="3" t="s">
        <v>17</v>
      </c>
      <c r="S25" s="3" t="s">
        <v>18</v>
      </c>
      <c r="T25" s="3" t="s">
        <v>19</v>
      </c>
      <c r="U25" s="3" t="s">
        <v>20</v>
      </c>
      <c r="X25"/>
    </row>
    <row r="26" spans="2:24" ht="15" x14ac:dyDescent="0.25">
      <c r="B26" s="1" t="str">
        <f>P26</f>
        <v>EEPP_windON</v>
      </c>
      <c r="C26" s="2" t="s">
        <v>51</v>
      </c>
      <c r="D26" s="2" t="s">
        <v>36</v>
      </c>
      <c r="E26" s="1">
        <v>25</v>
      </c>
      <c r="F26" s="1">
        <v>30</v>
      </c>
      <c r="G26" s="1">
        <v>15</v>
      </c>
      <c r="H26" s="1">
        <v>2</v>
      </c>
      <c r="I26" s="1" t="str">
        <f t="shared" si="0"/>
        <v/>
      </c>
      <c r="K26" s="1">
        <v>1</v>
      </c>
      <c r="L26"/>
      <c r="O26" s="3" t="s">
        <v>37</v>
      </c>
      <c r="P26" s="3" t="s">
        <v>61</v>
      </c>
      <c r="Q26" s="3" t="str">
        <f>"Existing Electricity plant - " &amp; MID(P26,6,50)&amp;" - onshore"</f>
        <v>Existing Electricity plant - windON - onshore</v>
      </c>
      <c r="R26" s="3" t="s">
        <v>17</v>
      </c>
      <c r="S26" s="3" t="s">
        <v>18</v>
      </c>
      <c r="T26" s="3" t="s">
        <v>19</v>
      </c>
      <c r="U26" s="3" t="s">
        <v>20</v>
      </c>
      <c r="X26"/>
    </row>
    <row r="27" spans="2:24" ht="15" x14ac:dyDescent="0.25">
      <c r="B27" s="1" t="str">
        <f t="shared" ref="B27" si="5">P27</f>
        <v>EEPP_OCE</v>
      </c>
      <c r="C27" s="1" t="s">
        <v>226</v>
      </c>
      <c r="D27" s="2" t="s">
        <v>36</v>
      </c>
      <c r="E27" s="1">
        <v>25</v>
      </c>
      <c r="F27" s="1">
        <v>30</v>
      </c>
      <c r="G27" s="1">
        <v>15</v>
      </c>
      <c r="H27" s="1">
        <v>2</v>
      </c>
      <c r="I27" s="1" t="str">
        <f t="shared" si="0"/>
        <v/>
      </c>
      <c r="K27" s="1">
        <v>1</v>
      </c>
      <c r="L27"/>
      <c r="O27" s="3" t="s">
        <v>37</v>
      </c>
      <c r="P27" s="3" t="s">
        <v>225</v>
      </c>
      <c r="Q27" s="3" t="str">
        <f>"Existing Electricity plant - " &amp; MID(P27,6,50)&amp;" - offshore"</f>
        <v>Existing Electricity plant - OCE - offshore</v>
      </c>
      <c r="R27" s="3" t="s">
        <v>17</v>
      </c>
      <c r="S27" s="3" t="s">
        <v>18</v>
      </c>
      <c r="T27" s="3" t="s">
        <v>19</v>
      </c>
      <c r="U27" s="3" t="s">
        <v>20</v>
      </c>
      <c r="X27"/>
    </row>
    <row r="28" spans="2:24" x14ac:dyDescent="0.2">
      <c r="B28" s="1" t="str">
        <f t="shared" ref="B28:B36" si="6">P28</f>
        <v>EUHYDDAM00</v>
      </c>
      <c r="C28" s="1" t="s">
        <v>78</v>
      </c>
      <c r="D28" s="2" t="s">
        <v>36</v>
      </c>
      <c r="E28" s="1">
        <v>50</v>
      </c>
      <c r="F28" s="1">
        <v>100</v>
      </c>
      <c r="H28" s="1">
        <v>2</v>
      </c>
      <c r="K28" s="1">
        <v>1</v>
      </c>
      <c r="O28" s="3" t="s">
        <v>37</v>
      </c>
      <c r="P28" s="1" t="s">
        <v>74</v>
      </c>
      <c r="Q28" s="1" t="s">
        <v>76</v>
      </c>
      <c r="R28" s="3" t="s">
        <v>17</v>
      </c>
      <c r="S28" s="3" t="s">
        <v>18</v>
      </c>
      <c r="T28" s="3" t="s">
        <v>19</v>
      </c>
      <c r="U28" s="3" t="s">
        <v>20</v>
      </c>
    </row>
    <row r="29" spans="2:24" x14ac:dyDescent="0.2">
      <c r="B29" s="1" t="str">
        <f t="shared" si="6"/>
        <v>EUHYDRUN00</v>
      </c>
      <c r="C29" s="1" t="s">
        <v>78</v>
      </c>
      <c r="D29" s="2" t="s">
        <v>36</v>
      </c>
      <c r="E29" s="1">
        <v>50</v>
      </c>
      <c r="F29" s="1">
        <v>100</v>
      </c>
      <c r="H29" s="1">
        <v>2</v>
      </c>
      <c r="K29" s="1">
        <v>1</v>
      </c>
      <c r="O29" s="3" t="s">
        <v>37</v>
      </c>
      <c r="P29" s="1" t="s">
        <v>75</v>
      </c>
      <c r="Q29" s="1" t="s">
        <v>77</v>
      </c>
      <c r="R29" s="3" t="s">
        <v>17</v>
      </c>
      <c r="S29" s="3" t="s">
        <v>18</v>
      </c>
      <c r="T29" s="3" t="s">
        <v>19</v>
      </c>
      <c r="U29" s="3" t="s">
        <v>20</v>
      </c>
    </row>
    <row r="30" spans="2:24" ht="15" x14ac:dyDescent="0.25">
      <c r="B30" s="21" t="str">
        <f>P30</f>
        <v>NEPP_windON</v>
      </c>
      <c r="C30" s="21" t="str">
        <f>FuelTech!E23</f>
        <v>CR_REE</v>
      </c>
      <c r="D30" s="21"/>
      <c r="E30" s="21"/>
      <c r="F30" s="21">
        <v>30</v>
      </c>
      <c r="G30" s="21"/>
      <c r="H30" s="21"/>
      <c r="I30" s="21"/>
      <c r="J30" s="21"/>
      <c r="K30" s="21">
        <v>1</v>
      </c>
      <c r="L30" s="21"/>
      <c r="M30" s="21"/>
      <c r="N30" s="21"/>
      <c r="O30" s="20" t="s">
        <v>37</v>
      </c>
      <c r="P30" s="17" t="s">
        <v>237</v>
      </c>
      <c r="Q30" s="20" t="str">
        <f>"New Electricity plant - " &amp; MID(P30,6,50)&amp;" - offshore"</f>
        <v>New Electricity plant - windON - offshore</v>
      </c>
      <c r="R30" s="20" t="s">
        <v>17</v>
      </c>
      <c r="S30" s="20" t="s">
        <v>18</v>
      </c>
      <c r="T30" s="20"/>
      <c r="U30" s="20"/>
      <c r="V30" s="21"/>
    </row>
    <row r="31" spans="2:24" ht="15" x14ac:dyDescent="0.25">
      <c r="B31" s="21" t="str">
        <f>P30</f>
        <v>NEPP_windON</v>
      </c>
      <c r="C31" s="17" t="s">
        <v>90</v>
      </c>
      <c r="D31" s="21" t="s">
        <v>51</v>
      </c>
      <c r="E31" s="21"/>
      <c r="F31" s="21">
        <v>30</v>
      </c>
      <c r="G31" s="21"/>
      <c r="H31" s="21"/>
      <c r="I31" s="21"/>
      <c r="J31" s="21"/>
      <c r="K31" s="21">
        <v>1</v>
      </c>
      <c r="L31" s="21"/>
      <c r="M31" s="21"/>
      <c r="N31" s="21"/>
      <c r="O31" s="20" t="s">
        <v>37</v>
      </c>
      <c r="P31" s="17" t="s">
        <v>238</v>
      </c>
      <c r="Q31" s="20" t="str">
        <f>"New Electricity plant - " &amp; MID(P31,6,50)&amp;" - onshore"</f>
        <v>New Electricity plant - windOFF - onshore</v>
      </c>
      <c r="R31" s="20" t="s">
        <v>17</v>
      </c>
      <c r="S31" s="20" t="s">
        <v>18</v>
      </c>
      <c r="T31" s="20"/>
      <c r="U31" s="20"/>
      <c r="V31" s="21"/>
    </row>
    <row r="32" spans="2:24" ht="15" x14ac:dyDescent="0.25">
      <c r="B32" s="21" t="str">
        <f>P31</f>
        <v>NEPP_windOFF</v>
      </c>
      <c r="C32" s="21" t="s">
        <v>236</v>
      </c>
      <c r="D32" s="21"/>
      <c r="E32" s="21"/>
      <c r="F32" s="21">
        <v>30</v>
      </c>
      <c r="G32" s="21"/>
      <c r="H32" s="21"/>
      <c r="I32" s="21"/>
      <c r="J32" s="21"/>
      <c r="K32" s="21">
        <v>1</v>
      </c>
      <c r="L32" s="21"/>
      <c r="M32" s="21"/>
      <c r="N32" s="21"/>
      <c r="O32" s="20"/>
      <c r="P32" s="17"/>
      <c r="Q32" s="20"/>
      <c r="R32" s="20"/>
      <c r="S32" s="20"/>
      <c r="T32" s="20"/>
      <c r="U32" s="20"/>
      <c r="V32" s="21"/>
    </row>
    <row r="33" spans="2:22" ht="15" x14ac:dyDescent="0.25">
      <c r="B33" s="21" t="str">
        <f>P31</f>
        <v>NEPP_windOFF</v>
      </c>
      <c r="C33" s="17" t="s">
        <v>90</v>
      </c>
      <c r="D33" s="21" t="s">
        <v>51</v>
      </c>
      <c r="E33" s="21"/>
      <c r="F33" s="21">
        <v>30</v>
      </c>
      <c r="G33" s="21"/>
      <c r="H33" s="21"/>
      <c r="I33" s="21"/>
      <c r="J33" s="21"/>
      <c r="K33" s="21">
        <v>1</v>
      </c>
      <c r="L33" s="21"/>
      <c r="M33" s="21"/>
      <c r="N33" s="21"/>
      <c r="O33" s="20"/>
      <c r="P33" s="17"/>
      <c r="Q33" s="20"/>
      <c r="R33" s="20"/>
      <c r="S33" s="20"/>
      <c r="T33" s="20"/>
      <c r="U33" s="20"/>
      <c r="V33" s="21"/>
    </row>
    <row r="34" spans="2:22" x14ac:dyDescent="0.2">
      <c r="D34" s="2"/>
      <c r="O34" s="3"/>
      <c r="R34" s="3"/>
      <c r="S34" s="3"/>
      <c r="T34" s="3"/>
      <c r="U34" s="3"/>
    </row>
    <row r="35" spans="2:22" x14ac:dyDescent="0.2">
      <c r="B35" s="1" t="s">
        <v>224</v>
      </c>
      <c r="D35" s="2"/>
      <c r="O35" s="3"/>
      <c r="R35" s="3"/>
      <c r="S35" s="3"/>
      <c r="T35" s="3"/>
      <c r="U35" s="3"/>
    </row>
    <row r="36" spans="2:22" x14ac:dyDescent="0.2">
      <c r="B36" s="1" t="str">
        <f t="shared" si="6"/>
        <v>EEPP_HYDPS</v>
      </c>
      <c r="C36" s="1" t="s">
        <v>36</v>
      </c>
      <c r="D36" s="1" t="s">
        <v>36</v>
      </c>
      <c r="F36" s="1">
        <v>100</v>
      </c>
      <c r="O36" s="1" t="s">
        <v>114</v>
      </c>
      <c r="P36" s="1" t="s">
        <v>115</v>
      </c>
      <c r="Q36" s="1" t="str">
        <f>"Existing Pumped Storage Plants - "&amp;MID(P36,8,55)</f>
        <v>Existing Pumped Storage Plants - DPS</v>
      </c>
      <c r="R36" s="3" t="s">
        <v>17</v>
      </c>
      <c r="S36" s="3" t="s">
        <v>18</v>
      </c>
      <c r="T36" s="3" t="s">
        <v>19</v>
      </c>
      <c r="U36" s="3" t="s">
        <v>20</v>
      </c>
    </row>
    <row r="39" spans="2:22" ht="15" x14ac:dyDescent="0.25">
      <c r="P39"/>
    </row>
    <row r="40" spans="2:22" ht="15" x14ac:dyDescent="0.25">
      <c r="P40"/>
    </row>
    <row r="41" spans="2:22" ht="15" x14ac:dyDescent="0.25">
      <c r="P41"/>
    </row>
    <row r="42" spans="2:22" ht="15" x14ac:dyDescent="0.25">
      <c r="B42" s="1" t="s">
        <v>227</v>
      </c>
      <c r="P42"/>
    </row>
    <row r="43" spans="2:22" ht="15" x14ac:dyDescent="0.25">
      <c r="B43" s="5">
        <v>23</v>
      </c>
      <c r="C43" s="5">
        <v>3</v>
      </c>
      <c r="P43"/>
    </row>
    <row r="44" spans="2:22" ht="15" x14ac:dyDescent="0.25">
      <c r="B44" s="5">
        <v>18</v>
      </c>
      <c r="C44" s="5">
        <v>4</v>
      </c>
      <c r="P44"/>
    </row>
    <row r="45" spans="2:22" ht="15" x14ac:dyDescent="0.25">
      <c r="B45" s="5">
        <v>30</v>
      </c>
      <c r="C45" s="5">
        <v>2</v>
      </c>
      <c r="P45"/>
    </row>
    <row r="46" spans="2:22" ht="15" x14ac:dyDescent="0.25">
      <c r="P46"/>
    </row>
    <row r="47" spans="2:22" ht="15" x14ac:dyDescent="0.25">
      <c r="P47"/>
    </row>
    <row r="48" spans="2:22" ht="15" x14ac:dyDescent="0.25">
      <c r="P48"/>
    </row>
    <row r="49" spans="16:16" ht="15" x14ac:dyDescent="0.25">
      <c r="P49"/>
    </row>
    <row r="50" spans="16:16" ht="15" x14ac:dyDescent="0.25">
      <c r="P50"/>
    </row>
    <row r="51" spans="16:16" ht="15" x14ac:dyDescent="0.25">
      <c r="P51"/>
    </row>
    <row r="52" spans="16:16" ht="15" x14ac:dyDescent="0.25">
      <c r="P52"/>
    </row>
    <row r="53" spans="16:16" ht="15" x14ac:dyDescent="0.25">
      <c r="P53"/>
    </row>
    <row r="54" spans="16:16" ht="15" x14ac:dyDescent="0.25">
      <c r="P54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C3:O24"/>
  <sheetViews>
    <sheetView topLeftCell="A9" workbookViewId="0">
      <selection activeCell="H24" sqref="H24"/>
    </sheetView>
  </sheetViews>
  <sheetFormatPr defaultRowHeight="15" x14ac:dyDescent="0.25"/>
  <cols>
    <col min="3" max="3" width="14" bestFit="1" customWidth="1"/>
    <col min="4" max="4" width="9.42578125" bestFit="1" customWidth="1"/>
    <col min="5" max="5" width="11.140625" bestFit="1" customWidth="1"/>
    <col min="6" max="6" width="4" bestFit="1" customWidth="1"/>
    <col min="10" max="10" width="14" bestFit="1" customWidth="1"/>
    <col min="11" max="11" width="59" bestFit="1" customWidth="1"/>
    <col min="12" max="12" width="4.5703125" bestFit="1" customWidth="1"/>
    <col min="13" max="13" width="5" bestFit="1" customWidth="1"/>
    <col min="14" max="14" width="8.5703125" bestFit="1" customWidth="1"/>
    <col min="15" max="15" width="10.28515625" bestFit="1" customWidth="1"/>
    <col min="259" max="259" width="10.5703125" bestFit="1" customWidth="1"/>
    <col min="260" max="260" width="14.85546875" bestFit="1" customWidth="1"/>
    <col min="261" max="261" width="11.140625" bestFit="1" customWidth="1"/>
    <col min="515" max="515" width="10.5703125" bestFit="1" customWidth="1"/>
    <col min="516" max="516" width="14.85546875" bestFit="1" customWidth="1"/>
    <col min="517" max="517" width="11.140625" bestFit="1" customWidth="1"/>
    <col min="771" max="771" width="10.5703125" bestFit="1" customWidth="1"/>
    <col min="772" max="772" width="14.85546875" bestFit="1" customWidth="1"/>
    <col min="773" max="773" width="11.140625" bestFit="1" customWidth="1"/>
    <col min="1027" max="1027" width="10.5703125" bestFit="1" customWidth="1"/>
    <col min="1028" max="1028" width="14.85546875" bestFit="1" customWidth="1"/>
    <col min="1029" max="1029" width="11.140625" bestFit="1" customWidth="1"/>
    <col min="1283" max="1283" width="10.5703125" bestFit="1" customWidth="1"/>
    <col min="1284" max="1284" width="14.85546875" bestFit="1" customWidth="1"/>
    <col min="1285" max="1285" width="11.140625" bestFit="1" customWidth="1"/>
    <col min="1539" max="1539" width="10.5703125" bestFit="1" customWidth="1"/>
    <col min="1540" max="1540" width="14.85546875" bestFit="1" customWidth="1"/>
    <col min="1541" max="1541" width="11.140625" bestFit="1" customWidth="1"/>
    <col min="1795" max="1795" width="10.5703125" bestFit="1" customWidth="1"/>
    <col min="1796" max="1796" width="14.85546875" bestFit="1" customWidth="1"/>
    <col min="1797" max="1797" width="11.140625" bestFit="1" customWidth="1"/>
    <col min="2051" max="2051" width="10.5703125" bestFit="1" customWidth="1"/>
    <col min="2052" max="2052" width="14.85546875" bestFit="1" customWidth="1"/>
    <col min="2053" max="2053" width="11.140625" bestFit="1" customWidth="1"/>
    <col min="2307" max="2307" width="10.5703125" bestFit="1" customWidth="1"/>
    <col min="2308" max="2308" width="14.85546875" bestFit="1" customWidth="1"/>
    <col min="2309" max="2309" width="11.140625" bestFit="1" customWidth="1"/>
    <col min="2563" max="2563" width="10.5703125" bestFit="1" customWidth="1"/>
    <col min="2564" max="2564" width="14.85546875" bestFit="1" customWidth="1"/>
    <col min="2565" max="2565" width="11.140625" bestFit="1" customWidth="1"/>
    <col min="2819" max="2819" width="10.5703125" bestFit="1" customWidth="1"/>
    <col min="2820" max="2820" width="14.85546875" bestFit="1" customWidth="1"/>
    <col min="2821" max="2821" width="11.140625" bestFit="1" customWidth="1"/>
    <col min="3075" max="3075" width="10.5703125" bestFit="1" customWidth="1"/>
    <col min="3076" max="3076" width="14.85546875" bestFit="1" customWidth="1"/>
    <col min="3077" max="3077" width="11.140625" bestFit="1" customWidth="1"/>
    <col min="3331" max="3331" width="10.5703125" bestFit="1" customWidth="1"/>
    <col min="3332" max="3332" width="14.85546875" bestFit="1" customWidth="1"/>
    <col min="3333" max="3333" width="11.140625" bestFit="1" customWidth="1"/>
    <col min="3587" max="3587" width="10.5703125" bestFit="1" customWidth="1"/>
    <col min="3588" max="3588" width="14.85546875" bestFit="1" customWidth="1"/>
    <col min="3589" max="3589" width="11.140625" bestFit="1" customWidth="1"/>
    <col min="3843" max="3843" width="10.5703125" bestFit="1" customWidth="1"/>
    <col min="3844" max="3844" width="14.85546875" bestFit="1" customWidth="1"/>
    <col min="3845" max="3845" width="11.140625" bestFit="1" customWidth="1"/>
    <col min="4099" max="4099" width="10.5703125" bestFit="1" customWidth="1"/>
    <col min="4100" max="4100" width="14.85546875" bestFit="1" customWidth="1"/>
    <col min="4101" max="4101" width="11.140625" bestFit="1" customWidth="1"/>
    <col min="4355" max="4355" width="10.5703125" bestFit="1" customWidth="1"/>
    <col min="4356" max="4356" width="14.85546875" bestFit="1" customWidth="1"/>
    <col min="4357" max="4357" width="11.140625" bestFit="1" customWidth="1"/>
    <col min="4611" max="4611" width="10.5703125" bestFit="1" customWidth="1"/>
    <col min="4612" max="4612" width="14.85546875" bestFit="1" customWidth="1"/>
    <col min="4613" max="4613" width="11.140625" bestFit="1" customWidth="1"/>
    <col min="4867" max="4867" width="10.5703125" bestFit="1" customWidth="1"/>
    <col min="4868" max="4868" width="14.85546875" bestFit="1" customWidth="1"/>
    <col min="4869" max="4869" width="11.140625" bestFit="1" customWidth="1"/>
    <col min="5123" max="5123" width="10.5703125" bestFit="1" customWidth="1"/>
    <col min="5124" max="5124" width="14.85546875" bestFit="1" customWidth="1"/>
    <col min="5125" max="5125" width="11.140625" bestFit="1" customWidth="1"/>
    <col min="5379" max="5379" width="10.5703125" bestFit="1" customWidth="1"/>
    <col min="5380" max="5380" width="14.85546875" bestFit="1" customWidth="1"/>
    <col min="5381" max="5381" width="11.140625" bestFit="1" customWidth="1"/>
    <col min="5635" max="5635" width="10.5703125" bestFit="1" customWidth="1"/>
    <col min="5636" max="5636" width="14.85546875" bestFit="1" customWidth="1"/>
    <col min="5637" max="5637" width="11.140625" bestFit="1" customWidth="1"/>
    <col min="5891" max="5891" width="10.5703125" bestFit="1" customWidth="1"/>
    <col min="5892" max="5892" width="14.85546875" bestFit="1" customWidth="1"/>
    <col min="5893" max="5893" width="11.140625" bestFit="1" customWidth="1"/>
    <col min="6147" max="6147" width="10.5703125" bestFit="1" customWidth="1"/>
    <col min="6148" max="6148" width="14.85546875" bestFit="1" customWidth="1"/>
    <col min="6149" max="6149" width="11.140625" bestFit="1" customWidth="1"/>
    <col min="6403" max="6403" width="10.5703125" bestFit="1" customWidth="1"/>
    <col min="6404" max="6404" width="14.85546875" bestFit="1" customWidth="1"/>
    <col min="6405" max="6405" width="11.140625" bestFit="1" customWidth="1"/>
    <col min="6659" max="6659" width="10.5703125" bestFit="1" customWidth="1"/>
    <col min="6660" max="6660" width="14.85546875" bestFit="1" customWidth="1"/>
    <col min="6661" max="6661" width="11.140625" bestFit="1" customWidth="1"/>
    <col min="6915" max="6915" width="10.5703125" bestFit="1" customWidth="1"/>
    <col min="6916" max="6916" width="14.85546875" bestFit="1" customWidth="1"/>
    <col min="6917" max="6917" width="11.140625" bestFit="1" customWidth="1"/>
    <col min="7171" max="7171" width="10.5703125" bestFit="1" customWidth="1"/>
    <col min="7172" max="7172" width="14.85546875" bestFit="1" customWidth="1"/>
    <col min="7173" max="7173" width="11.140625" bestFit="1" customWidth="1"/>
    <col min="7427" max="7427" width="10.5703125" bestFit="1" customWidth="1"/>
    <col min="7428" max="7428" width="14.85546875" bestFit="1" customWidth="1"/>
    <col min="7429" max="7429" width="11.140625" bestFit="1" customWidth="1"/>
    <col min="7683" max="7683" width="10.5703125" bestFit="1" customWidth="1"/>
    <col min="7684" max="7684" width="14.85546875" bestFit="1" customWidth="1"/>
    <col min="7685" max="7685" width="11.140625" bestFit="1" customWidth="1"/>
    <col min="7939" max="7939" width="10.5703125" bestFit="1" customWidth="1"/>
    <col min="7940" max="7940" width="14.85546875" bestFit="1" customWidth="1"/>
    <col min="7941" max="7941" width="11.140625" bestFit="1" customWidth="1"/>
    <col min="8195" max="8195" width="10.5703125" bestFit="1" customWidth="1"/>
    <col min="8196" max="8196" width="14.85546875" bestFit="1" customWidth="1"/>
    <col min="8197" max="8197" width="11.140625" bestFit="1" customWidth="1"/>
    <col min="8451" max="8451" width="10.5703125" bestFit="1" customWidth="1"/>
    <col min="8452" max="8452" width="14.85546875" bestFit="1" customWidth="1"/>
    <col min="8453" max="8453" width="11.140625" bestFit="1" customWidth="1"/>
    <col min="8707" max="8707" width="10.5703125" bestFit="1" customWidth="1"/>
    <col min="8708" max="8708" width="14.85546875" bestFit="1" customWidth="1"/>
    <col min="8709" max="8709" width="11.140625" bestFit="1" customWidth="1"/>
    <col min="8963" max="8963" width="10.5703125" bestFit="1" customWidth="1"/>
    <col min="8964" max="8964" width="14.85546875" bestFit="1" customWidth="1"/>
    <col min="8965" max="8965" width="11.140625" bestFit="1" customWidth="1"/>
    <col min="9219" max="9219" width="10.5703125" bestFit="1" customWidth="1"/>
    <col min="9220" max="9220" width="14.85546875" bestFit="1" customWidth="1"/>
    <col min="9221" max="9221" width="11.140625" bestFit="1" customWidth="1"/>
    <col min="9475" max="9475" width="10.5703125" bestFit="1" customWidth="1"/>
    <col min="9476" max="9476" width="14.85546875" bestFit="1" customWidth="1"/>
    <col min="9477" max="9477" width="11.140625" bestFit="1" customWidth="1"/>
    <col min="9731" max="9731" width="10.5703125" bestFit="1" customWidth="1"/>
    <col min="9732" max="9732" width="14.85546875" bestFit="1" customWidth="1"/>
    <col min="9733" max="9733" width="11.140625" bestFit="1" customWidth="1"/>
    <col min="9987" max="9987" width="10.5703125" bestFit="1" customWidth="1"/>
    <col min="9988" max="9988" width="14.85546875" bestFit="1" customWidth="1"/>
    <col min="9989" max="9989" width="11.140625" bestFit="1" customWidth="1"/>
    <col min="10243" max="10243" width="10.5703125" bestFit="1" customWidth="1"/>
    <col min="10244" max="10244" width="14.85546875" bestFit="1" customWidth="1"/>
    <col min="10245" max="10245" width="11.140625" bestFit="1" customWidth="1"/>
    <col min="10499" max="10499" width="10.5703125" bestFit="1" customWidth="1"/>
    <col min="10500" max="10500" width="14.85546875" bestFit="1" customWidth="1"/>
    <col min="10501" max="10501" width="11.140625" bestFit="1" customWidth="1"/>
    <col min="10755" max="10755" width="10.5703125" bestFit="1" customWidth="1"/>
    <col min="10756" max="10756" width="14.85546875" bestFit="1" customWidth="1"/>
    <col min="10757" max="10757" width="11.140625" bestFit="1" customWidth="1"/>
    <col min="11011" max="11011" width="10.5703125" bestFit="1" customWidth="1"/>
    <col min="11012" max="11012" width="14.85546875" bestFit="1" customWidth="1"/>
    <col min="11013" max="11013" width="11.140625" bestFit="1" customWidth="1"/>
    <col min="11267" max="11267" width="10.5703125" bestFit="1" customWidth="1"/>
    <col min="11268" max="11268" width="14.85546875" bestFit="1" customWidth="1"/>
    <col min="11269" max="11269" width="11.140625" bestFit="1" customWidth="1"/>
    <col min="11523" max="11523" width="10.5703125" bestFit="1" customWidth="1"/>
    <col min="11524" max="11524" width="14.85546875" bestFit="1" customWidth="1"/>
    <col min="11525" max="11525" width="11.140625" bestFit="1" customWidth="1"/>
    <col min="11779" max="11779" width="10.5703125" bestFit="1" customWidth="1"/>
    <col min="11780" max="11780" width="14.85546875" bestFit="1" customWidth="1"/>
    <col min="11781" max="11781" width="11.140625" bestFit="1" customWidth="1"/>
    <col min="12035" max="12035" width="10.5703125" bestFit="1" customWidth="1"/>
    <col min="12036" max="12036" width="14.85546875" bestFit="1" customWidth="1"/>
    <col min="12037" max="12037" width="11.140625" bestFit="1" customWidth="1"/>
    <col min="12291" max="12291" width="10.5703125" bestFit="1" customWidth="1"/>
    <col min="12292" max="12292" width="14.85546875" bestFit="1" customWidth="1"/>
    <col min="12293" max="12293" width="11.140625" bestFit="1" customWidth="1"/>
    <col min="12547" max="12547" width="10.5703125" bestFit="1" customWidth="1"/>
    <col min="12548" max="12548" width="14.85546875" bestFit="1" customWidth="1"/>
    <col min="12549" max="12549" width="11.140625" bestFit="1" customWidth="1"/>
    <col min="12803" max="12803" width="10.5703125" bestFit="1" customWidth="1"/>
    <col min="12804" max="12804" width="14.85546875" bestFit="1" customWidth="1"/>
    <col min="12805" max="12805" width="11.140625" bestFit="1" customWidth="1"/>
    <col min="13059" max="13059" width="10.5703125" bestFit="1" customWidth="1"/>
    <col min="13060" max="13060" width="14.85546875" bestFit="1" customWidth="1"/>
    <col min="13061" max="13061" width="11.140625" bestFit="1" customWidth="1"/>
    <col min="13315" max="13315" width="10.5703125" bestFit="1" customWidth="1"/>
    <col min="13316" max="13316" width="14.85546875" bestFit="1" customWidth="1"/>
    <col min="13317" max="13317" width="11.140625" bestFit="1" customWidth="1"/>
    <col min="13571" max="13571" width="10.5703125" bestFit="1" customWidth="1"/>
    <col min="13572" max="13572" width="14.85546875" bestFit="1" customWidth="1"/>
    <col min="13573" max="13573" width="11.140625" bestFit="1" customWidth="1"/>
    <col min="13827" max="13827" width="10.5703125" bestFit="1" customWidth="1"/>
    <col min="13828" max="13828" width="14.85546875" bestFit="1" customWidth="1"/>
    <col min="13829" max="13829" width="11.140625" bestFit="1" customWidth="1"/>
    <col min="14083" max="14083" width="10.5703125" bestFit="1" customWidth="1"/>
    <col min="14084" max="14084" width="14.85546875" bestFit="1" customWidth="1"/>
    <col min="14085" max="14085" width="11.140625" bestFit="1" customWidth="1"/>
    <col min="14339" max="14339" width="10.5703125" bestFit="1" customWidth="1"/>
    <col min="14340" max="14340" width="14.85546875" bestFit="1" customWidth="1"/>
    <col min="14341" max="14341" width="11.140625" bestFit="1" customWidth="1"/>
    <col min="14595" max="14595" width="10.5703125" bestFit="1" customWidth="1"/>
    <col min="14596" max="14596" width="14.85546875" bestFit="1" customWidth="1"/>
    <col min="14597" max="14597" width="11.140625" bestFit="1" customWidth="1"/>
    <col min="14851" max="14851" width="10.5703125" bestFit="1" customWidth="1"/>
    <col min="14852" max="14852" width="14.85546875" bestFit="1" customWidth="1"/>
    <col min="14853" max="14853" width="11.140625" bestFit="1" customWidth="1"/>
    <col min="15107" max="15107" width="10.5703125" bestFit="1" customWidth="1"/>
    <col min="15108" max="15108" width="14.85546875" bestFit="1" customWidth="1"/>
    <col min="15109" max="15109" width="11.140625" bestFit="1" customWidth="1"/>
    <col min="15363" max="15363" width="10.5703125" bestFit="1" customWidth="1"/>
    <col min="15364" max="15364" width="14.85546875" bestFit="1" customWidth="1"/>
    <col min="15365" max="15365" width="11.140625" bestFit="1" customWidth="1"/>
    <col min="15619" max="15619" width="10.5703125" bestFit="1" customWidth="1"/>
    <col min="15620" max="15620" width="14.85546875" bestFit="1" customWidth="1"/>
    <col min="15621" max="15621" width="11.140625" bestFit="1" customWidth="1"/>
    <col min="15875" max="15875" width="10.5703125" bestFit="1" customWidth="1"/>
    <col min="15876" max="15876" width="14.85546875" bestFit="1" customWidth="1"/>
    <col min="15877" max="15877" width="11.140625" bestFit="1" customWidth="1"/>
    <col min="16131" max="16131" width="10.5703125" bestFit="1" customWidth="1"/>
    <col min="16132" max="16132" width="14.85546875" bestFit="1" customWidth="1"/>
    <col min="16133" max="16133" width="11.140625" bestFit="1" customWidth="1"/>
  </cols>
  <sheetData>
    <row r="3" spans="3:15" x14ac:dyDescent="0.25">
      <c r="E3" t="s">
        <v>0</v>
      </c>
      <c r="I3" s="4" t="s">
        <v>1</v>
      </c>
      <c r="J3" s="4"/>
      <c r="K3" s="4"/>
      <c r="L3" s="4"/>
      <c r="M3" s="4"/>
      <c r="N3" s="4"/>
      <c r="O3" s="4"/>
    </row>
    <row r="4" spans="3:15" x14ac:dyDescent="0.25">
      <c r="C4" t="s">
        <v>2</v>
      </c>
      <c r="D4" t="s">
        <v>3</v>
      </c>
      <c r="E4" t="s">
        <v>4</v>
      </c>
      <c r="F4" t="s">
        <v>6</v>
      </c>
      <c r="G4" t="s">
        <v>103</v>
      </c>
      <c r="I4" s="4" t="s">
        <v>8</v>
      </c>
      <c r="J4" s="4" t="s">
        <v>2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79</v>
      </c>
    </row>
    <row r="5" spans="3:15" x14ac:dyDescent="0.25">
      <c r="C5" t="str">
        <f>E5&amp;"00"</f>
        <v>ELCCOH00</v>
      </c>
      <c r="D5" t="s">
        <v>82</v>
      </c>
      <c r="E5" t="s">
        <v>21</v>
      </c>
      <c r="F5">
        <v>1</v>
      </c>
      <c r="I5" s="4" t="s">
        <v>80</v>
      </c>
      <c r="J5" s="4" t="str">
        <f>C5</f>
        <v>ELCCOH00</v>
      </c>
      <c r="K5" t="s">
        <v>209</v>
      </c>
      <c r="L5" s="4" t="s">
        <v>17</v>
      </c>
      <c r="M5" s="4" t="s">
        <v>81</v>
      </c>
      <c r="N5" s="4"/>
      <c r="O5" s="4"/>
    </row>
    <row r="6" spans="3:15" x14ac:dyDescent="0.25">
      <c r="C6" t="str">
        <f t="shared" ref="C6:C18" si="0">E6&amp;"00"</f>
        <v>ELCCOL00</v>
      </c>
      <c r="D6" t="s">
        <v>88</v>
      </c>
      <c r="E6" t="s">
        <v>28</v>
      </c>
      <c r="F6">
        <v>1</v>
      </c>
      <c r="I6" s="4"/>
      <c r="J6" s="4" t="str">
        <f t="shared" ref="J6:J8" si="1">C6</f>
        <v>ELCCOL00</v>
      </c>
      <c r="K6" t="s">
        <v>210</v>
      </c>
      <c r="L6" s="4" t="s">
        <v>17</v>
      </c>
      <c r="M6" s="4" t="s">
        <v>81</v>
      </c>
      <c r="N6" s="4"/>
      <c r="O6" s="4"/>
    </row>
    <row r="7" spans="3:15" x14ac:dyDescent="0.25">
      <c r="C7" t="str">
        <f t="shared" si="0"/>
        <v>ELCDST00</v>
      </c>
      <c r="D7" t="s">
        <v>83</v>
      </c>
      <c r="E7" t="s">
        <v>26</v>
      </c>
      <c r="F7">
        <v>1</v>
      </c>
      <c r="I7" s="4"/>
      <c r="J7" s="4" t="str">
        <f t="shared" si="1"/>
        <v>ELCDST00</v>
      </c>
      <c r="K7" t="s">
        <v>211</v>
      </c>
      <c r="L7" s="4" t="s">
        <v>17</v>
      </c>
      <c r="M7" s="4" t="s">
        <v>81</v>
      </c>
      <c r="N7" s="4"/>
      <c r="O7" s="4"/>
    </row>
    <row r="8" spans="3:15" x14ac:dyDescent="0.25">
      <c r="C8" t="str">
        <f t="shared" si="0"/>
        <v>ELCGAS00</v>
      </c>
      <c r="D8" t="s">
        <v>84</v>
      </c>
      <c r="E8" t="s">
        <v>30</v>
      </c>
      <c r="F8">
        <v>1</v>
      </c>
      <c r="I8" s="4"/>
      <c r="J8" s="4" t="str">
        <f t="shared" si="1"/>
        <v>ELCGAS00</v>
      </c>
      <c r="K8" t="s">
        <v>212</v>
      </c>
      <c r="L8" s="4" t="s">
        <v>17</v>
      </c>
      <c r="M8" s="4" t="s">
        <v>81</v>
      </c>
      <c r="N8" s="4" t="s">
        <v>22</v>
      </c>
      <c r="O8" s="4"/>
    </row>
    <row r="9" spans="3:15" x14ac:dyDescent="0.25">
      <c r="D9" t="s">
        <v>208</v>
      </c>
      <c r="I9" s="4"/>
      <c r="J9" s="4" t="str">
        <f t="shared" ref="J9:J17" si="2">C10</f>
        <v>ELCGEO00</v>
      </c>
      <c r="K9" t="s">
        <v>213</v>
      </c>
      <c r="L9" s="4" t="s">
        <v>17</v>
      </c>
      <c r="M9" s="4" t="s">
        <v>81</v>
      </c>
      <c r="N9" s="4"/>
      <c r="O9" s="4"/>
    </row>
    <row r="10" spans="3:15" x14ac:dyDescent="0.25">
      <c r="C10" t="str">
        <f t="shared" si="0"/>
        <v>ELCGEO00</v>
      </c>
      <c r="D10" t="s">
        <v>85</v>
      </c>
      <c r="E10" t="s">
        <v>42</v>
      </c>
      <c r="F10">
        <v>1</v>
      </c>
      <c r="I10" s="4"/>
      <c r="J10" s="4" t="str">
        <f t="shared" si="2"/>
        <v>ELCHFO00</v>
      </c>
      <c r="K10" t="s">
        <v>214</v>
      </c>
      <c r="L10" s="4" t="s">
        <v>17</v>
      </c>
      <c r="M10" s="4" t="s">
        <v>81</v>
      </c>
      <c r="N10" s="4"/>
      <c r="O10" s="4"/>
    </row>
    <row r="11" spans="3:15" x14ac:dyDescent="0.25">
      <c r="C11" t="str">
        <f t="shared" si="0"/>
        <v>ELCHFO00</v>
      </c>
      <c r="D11" t="s">
        <v>86</v>
      </c>
      <c r="E11" t="s">
        <v>24</v>
      </c>
      <c r="F11">
        <v>1</v>
      </c>
      <c r="I11" s="4"/>
      <c r="J11" s="4" t="str">
        <f t="shared" si="2"/>
        <v>ELCHYD00</v>
      </c>
      <c r="K11" t="s">
        <v>215</v>
      </c>
      <c r="L11" s="4" t="s">
        <v>17</v>
      </c>
      <c r="M11" s="4" t="s">
        <v>81</v>
      </c>
      <c r="O11" s="4"/>
    </row>
    <row r="12" spans="3:15" x14ac:dyDescent="0.25">
      <c r="C12" t="str">
        <f t="shared" si="0"/>
        <v>ELCHYD00</v>
      </c>
      <c r="D12" t="s">
        <v>89</v>
      </c>
      <c r="E12" t="s">
        <v>78</v>
      </c>
      <c r="F12">
        <v>1</v>
      </c>
      <c r="I12" s="4"/>
      <c r="J12" s="4" t="str">
        <f t="shared" si="2"/>
        <v>ELCSOL00</v>
      </c>
      <c r="K12" t="s">
        <v>216</v>
      </c>
      <c r="L12" s="4" t="s">
        <v>17</v>
      </c>
      <c r="M12" s="4" t="s">
        <v>81</v>
      </c>
      <c r="N12" s="4"/>
      <c r="O12" s="4"/>
    </row>
    <row r="13" spans="3:15" x14ac:dyDescent="0.25">
      <c r="C13" t="str">
        <f t="shared" si="0"/>
        <v>ELCSOL00</v>
      </c>
      <c r="D13" t="s">
        <v>87</v>
      </c>
      <c r="E13" t="s">
        <v>34</v>
      </c>
      <c r="F13">
        <v>1</v>
      </c>
      <c r="I13" s="4"/>
      <c r="J13" s="4" t="str">
        <f t="shared" si="2"/>
        <v>ELCWIN00</v>
      </c>
      <c r="K13" t="s">
        <v>217</v>
      </c>
      <c r="L13" s="4" t="s">
        <v>17</v>
      </c>
      <c r="M13" s="4" t="s">
        <v>81</v>
      </c>
      <c r="N13" s="4"/>
      <c r="O13" s="4"/>
    </row>
    <row r="14" spans="3:15" x14ac:dyDescent="0.25">
      <c r="C14" t="str">
        <f t="shared" si="0"/>
        <v>ELCWIN00</v>
      </c>
      <c r="D14" t="s">
        <v>90</v>
      </c>
      <c r="E14" t="s">
        <v>51</v>
      </c>
      <c r="F14">
        <v>1</v>
      </c>
      <c r="I14" s="4"/>
      <c r="J14" s="4" t="str">
        <f t="shared" si="2"/>
        <v>ELCWOO00</v>
      </c>
      <c r="K14" t="s">
        <v>218</v>
      </c>
      <c r="L14" s="4" t="s">
        <v>17</v>
      </c>
      <c r="M14" s="4" t="s">
        <v>81</v>
      </c>
      <c r="N14" s="4"/>
      <c r="O14" s="4"/>
    </row>
    <row r="15" spans="3:15" x14ac:dyDescent="0.25">
      <c r="C15" t="str">
        <f t="shared" si="0"/>
        <v>ELCWOO00</v>
      </c>
      <c r="D15" t="s">
        <v>92</v>
      </c>
      <c r="E15" t="s">
        <v>52</v>
      </c>
      <c r="F15">
        <v>1</v>
      </c>
      <c r="I15" s="4"/>
      <c r="J15" s="4" t="str">
        <f t="shared" si="2"/>
        <v>ELCBGS00</v>
      </c>
      <c r="K15" t="s">
        <v>219</v>
      </c>
      <c r="L15" s="4" t="s">
        <v>17</v>
      </c>
      <c r="M15" s="4" t="s">
        <v>81</v>
      </c>
      <c r="N15" s="4"/>
      <c r="O15" s="4"/>
    </row>
    <row r="16" spans="3:15" x14ac:dyDescent="0.25">
      <c r="C16" t="str">
        <f t="shared" si="0"/>
        <v>ELCBGS00</v>
      </c>
      <c r="D16" t="s">
        <v>112</v>
      </c>
      <c r="E16" t="s">
        <v>108</v>
      </c>
      <c r="F16">
        <v>1</v>
      </c>
      <c r="I16" s="4"/>
      <c r="J16" s="4" t="str">
        <f t="shared" si="2"/>
        <v>ELCMUN00</v>
      </c>
      <c r="K16" t="s">
        <v>220</v>
      </c>
      <c r="L16" s="4" t="s">
        <v>17</v>
      </c>
      <c r="M16" s="4" t="s">
        <v>81</v>
      </c>
      <c r="N16" s="4"/>
      <c r="O16" s="4"/>
    </row>
    <row r="17" spans="3:15" x14ac:dyDescent="0.25">
      <c r="C17" t="str">
        <f t="shared" si="0"/>
        <v>ELCMUN00</v>
      </c>
      <c r="D17" t="s">
        <v>116</v>
      </c>
      <c r="E17" t="s">
        <v>109</v>
      </c>
      <c r="F17">
        <v>1</v>
      </c>
      <c r="I17" s="4"/>
      <c r="J17" s="4" t="str">
        <f t="shared" si="2"/>
        <v>ELCSLU00</v>
      </c>
      <c r="K17" t="s">
        <v>221</v>
      </c>
      <c r="L17" s="4" t="s">
        <v>17</v>
      </c>
      <c r="M17" s="4" t="s">
        <v>81</v>
      </c>
      <c r="N17" s="4"/>
      <c r="O17" s="4"/>
    </row>
    <row r="18" spans="3:15" x14ac:dyDescent="0.25">
      <c r="C18" t="str">
        <f t="shared" si="0"/>
        <v>ELCSLU00</v>
      </c>
      <c r="D18" t="s">
        <v>117</v>
      </c>
      <c r="E18" t="s">
        <v>110</v>
      </c>
      <c r="F18">
        <v>1</v>
      </c>
      <c r="I18" s="4"/>
      <c r="J18" t="s">
        <v>94</v>
      </c>
      <c r="K18" t="s">
        <v>97</v>
      </c>
      <c r="L18" s="4" t="s">
        <v>17</v>
      </c>
      <c r="M18" s="4" t="s">
        <v>18</v>
      </c>
      <c r="N18" t="s">
        <v>19</v>
      </c>
      <c r="O18" s="4"/>
    </row>
    <row r="19" spans="3:15" x14ac:dyDescent="0.25">
      <c r="C19" t="str">
        <f>J18</f>
        <v>EVTRANS_H-H</v>
      </c>
      <c r="D19" t="s">
        <v>36</v>
      </c>
      <c r="E19" t="s">
        <v>100</v>
      </c>
      <c r="G19">
        <v>31.536000000000001</v>
      </c>
      <c r="J19" t="s">
        <v>95</v>
      </c>
      <c r="K19" t="s">
        <v>98</v>
      </c>
      <c r="L19" s="4" t="s">
        <v>17</v>
      </c>
      <c r="M19" s="4" t="s">
        <v>18</v>
      </c>
      <c r="N19" t="s">
        <v>19</v>
      </c>
    </row>
    <row r="20" spans="3:15" x14ac:dyDescent="0.25">
      <c r="C20" t="str">
        <f>J19</f>
        <v>EVTRANS_H-M</v>
      </c>
      <c r="D20" t="s">
        <v>100</v>
      </c>
      <c r="E20" t="s">
        <v>101</v>
      </c>
      <c r="G20">
        <v>31.536000000000001</v>
      </c>
      <c r="J20" t="s">
        <v>96</v>
      </c>
      <c r="K20" t="s">
        <v>99</v>
      </c>
      <c r="L20" s="4" t="s">
        <v>17</v>
      </c>
      <c r="M20" s="4" t="s">
        <v>18</v>
      </c>
      <c r="N20" t="s">
        <v>19</v>
      </c>
    </row>
    <row r="21" spans="3:15" x14ac:dyDescent="0.25">
      <c r="C21" t="str">
        <f>J20</f>
        <v>EVTRANS_M-L</v>
      </c>
      <c r="D21" t="s">
        <v>101</v>
      </c>
      <c r="E21" t="s">
        <v>102</v>
      </c>
      <c r="G21">
        <v>31.536000000000001</v>
      </c>
      <c r="J21" t="s">
        <v>222</v>
      </c>
      <c r="K21" t="s">
        <v>223</v>
      </c>
      <c r="L21" s="4" t="s">
        <v>17</v>
      </c>
      <c r="M21" s="4" t="s">
        <v>18</v>
      </c>
      <c r="N21" t="s">
        <v>19</v>
      </c>
      <c r="O21" t="s">
        <v>101</v>
      </c>
    </row>
    <row r="22" spans="3:15" x14ac:dyDescent="0.25">
      <c r="C22" t="s">
        <v>222</v>
      </c>
      <c r="D22" t="s">
        <v>102</v>
      </c>
      <c r="E22" t="s">
        <v>101</v>
      </c>
      <c r="G22">
        <v>31.536000000000001</v>
      </c>
      <c r="J22" s="17" t="s">
        <v>234</v>
      </c>
      <c r="K22" s="17" t="s">
        <v>235</v>
      </c>
      <c r="L22" s="23" t="s">
        <v>17</v>
      </c>
      <c r="M22" s="23" t="s">
        <v>81</v>
      </c>
    </row>
    <row r="23" spans="3:15" x14ac:dyDescent="0.25">
      <c r="C23" s="17" t="s">
        <v>234</v>
      </c>
      <c r="E23" s="17" t="s">
        <v>236</v>
      </c>
      <c r="F23" s="17">
        <v>1</v>
      </c>
      <c r="J23" s="17" t="s">
        <v>239</v>
      </c>
      <c r="K23" s="17" t="s">
        <v>240</v>
      </c>
      <c r="L23" s="23" t="s">
        <v>17</v>
      </c>
      <c r="M23" s="23" t="s">
        <v>81</v>
      </c>
    </row>
    <row r="24" spans="3:15" x14ac:dyDescent="0.25">
      <c r="C24" s="17" t="s">
        <v>239</v>
      </c>
      <c r="E24" s="17" t="s">
        <v>90</v>
      </c>
      <c r="F24" s="1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C3:Z13"/>
  <sheetViews>
    <sheetView topLeftCell="E1" workbookViewId="0">
      <selection activeCell="K5" sqref="K5"/>
    </sheetView>
  </sheetViews>
  <sheetFormatPr defaultRowHeight="15" x14ac:dyDescent="0.25"/>
  <cols>
    <col min="3" max="3" width="12" bestFit="1" customWidth="1"/>
    <col min="4" max="4" width="7.85546875" bestFit="1" customWidth="1"/>
    <col min="5" max="5" width="7.42578125" bestFit="1" customWidth="1"/>
    <col min="6" max="6" width="7.28515625" bestFit="1" customWidth="1"/>
    <col min="7" max="7" width="7.7109375" bestFit="1" customWidth="1"/>
    <col min="8" max="8" width="8" bestFit="1" customWidth="1"/>
    <col min="9" max="9" width="8.7109375" bestFit="1" customWidth="1"/>
    <col min="10" max="10" width="7.42578125" bestFit="1" customWidth="1"/>
    <col min="11" max="11" width="8.42578125" bestFit="1" customWidth="1"/>
    <col min="12" max="12" width="7.140625" bestFit="1" customWidth="1"/>
  </cols>
  <sheetData>
    <row r="3" spans="3:26" x14ac:dyDescent="0.25">
      <c r="C3" t="s">
        <v>104</v>
      </c>
    </row>
    <row r="4" spans="3:26" x14ac:dyDescent="0.25">
      <c r="C4" t="s">
        <v>64</v>
      </c>
      <c r="D4" t="s">
        <v>21</v>
      </c>
      <c r="E4" t="s">
        <v>28</v>
      </c>
      <c r="F4" t="s">
        <v>26</v>
      </c>
      <c r="G4" t="s">
        <v>24</v>
      </c>
      <c r="H4" t="s">
        <v>30</v>
      </c>
      <c r="I4" t="s">
        <v>52</v>
      </c>
      <c r="J4" t="s">
        <v>108</v>
      </c>
      <c r="K4" t="s">
        <v>109</v>
      </c>
      <c r="L4" t="s">
        <v>110</v>
      </c>
      <c r="N4" t="s">
        <v>64</v>
      </c>
      <c r="O4" t="s">
        <v>21</v>
      </c>
      <c r="P4" t="s">
        <v>28</v>
      </c>
      <c r="Q4" t="s">
        <v>105</v>
      </c>
      <c r="R4" t="s">
        <v>106</v>
      </c>
      <c r="S4" t="s">
        <v>26</v>
      </c>
      <c r="T4" t="s">
        <v>24</v>
      </c>
      <c r="U4" t="s">
        <v>30</v>
      </c>
      <c r="V4" t="s">
        <v>107</v>
      </c>
      <c r="W4" t="s">
        <v>52</v>
      </c>
      <c r="X4" t="s">
        <v>108</v>
      </c>
      <c r="Y4" t="s">
        <v>109</v>
      </c>
      <c r="Z4" t="s">
        <v>110</v>
      </c>
    </row>
    <row r="5" spans="3:26" x14ac:dyDescent="0.25">
      <c r="C5" t="s">
        <v>111</v>
      </c>
      <c r="D5">
        <v>98.3</v>
      </c>
      <c r="E5" s="17">
        <v>101</v>
      </c>
      <c r="F5" s="17">
        <v>74.099999999999994</v>
      </c>
      <c r="G5">
        <v>77.400000000000006</v>
      </c>
      <c r="H5">
        <v>56.1</v>
      </c>
      <c r="I5">
        <v>0</v>
      </c>
      <c r="J5">
        <v>0</v>
      </c>
      <c r="K5" s="17">
        <v>91.7</v>
      </c>
      <c r="L5">
        <v>85.85</v>
      </c>
      <c r="N5" t="s">
        <v>111</v>
      </c>
      <c r="O5">
        <v>98.3</v>
      </c>
      <c r="P5">
        <v>101.2</v>
      </c>
      <c r="Q5">
        <v>75.66</v>
      </c>
      <c r="R5">
        <v>56.1</v>
      </c>
      <c r="S5">
        <v>73.709999999999994</v>
      </c>
      <c r="T5">
        <v>77.400000000000006</v>
      </c>
      <c r="U5">
        <v>56.1</v>
      </c>
      <c r="V5">
        <v>108.2</v>
      </c>
      <c r="W5">
        <v>0</v>
      </c>
      <c r="X5">
        <v>0</v>
      </c>
      <c r="Y5">
        <v>85.85</v>
      </c>
      <c r="Z5">
        <v>85.85</v>
      </c>
    </row>
    <row r="6" spans="3:26" x14ac:dyDescent="0.25">
      <c r="C6" t="s">
        <v>229</v>
      </c>
      <c r="D6">
        <v>1.5E-3</v>
      </c>
      <c r="E6">
        <v>2.9999999999999997E-4</v>
      </c>
      <c r="F6">
        <v>5.9999999999999995E-4</v>
      </c>
      <c r="G6">
        <v>5.9999999999999995E-4</v>
      </c>
      <c r="H6">
        <f>0.1/1000</f>
        <v>1E-4</v>
      </c>
      <c r="K6">
        <v>4.0000000000000001E-3</v>
      </c>
    </row>
    <row r="7" spans="3:26" x14ac:dyDescent="0.25">
      <c r="C7" t="s">
        <v>230</v>
      </c>
      <c r="D7">
        <v>1E-4</v>
      </c>
      <c r="E7">
        <v>1E-4</v>
      </c>
      <c r="F7">
        <v>3.0000000000000001E-3</v>
      </c>
      <c r="G7">
        <v>3.0000000000000001E-3</v>
      </c>
      <c r="H7">
        <f>1/1000</f>
        <v>1E-3</v>
      </c>
      <c r="K7">
        <v>0.03</v>
      </c>
    </row>
    <row r="11" spans="3:26" x14ac:dyDescent="0.25">
      <c r="E11" t="s">
        <v>231</v>
      </c>
    </row>
    <row r="12" spans="3:26" x14ac:dyDescent="0.25">
      <c r="E12" t="s">
        <v>232</v>
      </c>
    </row>
    <row r="13" spans="3:26" x14ac:dyDescent="0.25">
      <c r="E13" t="s">
        <v>233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AJ74"/>
  <sheetViews>
    <sheetView topLeftCell="D8" workbookViewId="0">
      <selection activeCell="Z22" sqref="Z22"/>
    </sheetView>
  </sheetViews>
  <sheetFormatPr defaultRowHeight="15" x14ac:dyDescent="0.25"/>
  <cols>
    <col min="2" max="2" width="16.85546875" bestFit="1" customWidth="1"/>
    <col min="3" max="3" width="9.28515625" bestFit="1" customWidth="1"/>
    <col min="4" max="4" width="8.42578125" bestFit="1" customWidth="1"/>
    <col min="5" max="5" width="5" bestFit="1" customWidth="1"/>
    <col min="6" max="6" width="11.140625" bestFit="1" customWidth="1"/>
    <col min="7" max="7" width="9.140625" customWidth="1"/>
    <col min="8" max="29" width="5.140625" bestFit="1" customWidth="1"/>
    <col min="30" max="30" width="5.85546875" customWidth="1"/>
    <col min="31" max="31" width="4.28515625" customWidth="1"/>
    <col min="32" max="35" width="5.140625" bestFit="1" customWidth="1"/>
    <col min="36" max="36" width="5" bestFit="1" customWidth="1"/>
  </cols>
  <sheetData>
    <row r="1" spans="1:36" x14ac:dyDescent="0.25">
      <c r="G1" t="s">
        <v>121</v>
      </c>
      <c r="H1" t="s">
        <v>122</v>
      </c>
      <c r="I1" t="s">
        <v>123</v>
      </c>
      <c r="J1" t="s">
        <v>124</v>
      </c>
      <c r="K1" t="s">
        <v>160</v>
      </c>
      <c r="L1" t="s">
        <v>125</v>
      </c>
      <c r="M1" t="s">
        <v>126</v>
      </c>
      <c r="N1" t="s">
        <v>127</v>
      </c>
      <c r="O1" t="s">
        <v>128</v>
      </c>
      <c r="P1" t="s">
        <v>161</v>
      </c>
      <c r="Q1" t="s">
        <v>162</v>
      </c>
      <c r="R1" t="s">
        <v>129</v>
      </c>
      <c r="S1" t="s">
        <v>130</v>
      </c>
      <c r="T1" t="s">
        <v>131</v>
      </c>
      <c r="U1" t="s">
        <v>132</v>
      </c>
      <c r="V1" t="s">
        <v>163</v>
      </c>
      <c r="W1" t="s">
        <v>133</v>
      </c>
      <c r="X1" t="s">
        <v>134</v>
      </c>
      <c r="Y1" t="s">
        <v>135</v>
      </c>
      <c r="Z1" t="s">
        <v>136</v>
      </c>
      <c r="AA1" t="s">
        <v>137</v>
      </c>
      <c r="AB1" t="s">
        <v>138</v>
      </c>
      <c r="AC1" t="s">
        <v>164</v>
      </c>
      <c r="AD1" t="s">
        <v>139</v>
      </c>
      <c r="AE1" t="s">
        <v>165</v>
      </c>
      <c r="AF1" t="s">
        <v>140</v>
      </c>
      <c r="AG1" t="s">
        <v>141</v>
      </c>
      <c r="AH1" t="s">
        <v>142</v>
      </c>
      <c r="AI1" t="s">
        <v>166</v>
      </c>
    </row>
    <row r="3" spans="1:36" x14ac:dyDescent="0.25">
      <c r="G3" t="s">
        <v>118</v>
      </c>
    </row>
    <row r="4" spans="1:36" x14ac:dyDescent="0.25">
      <c r="G4" t="s">
        <v>119</v>
      </c>
    </row>
    <row r="5" spans="1:36" x14ac:dyDescent="0.25">
      <c r="F5" t="s">
        <v>120</v>
      </c>
      <c r="G5" t="s">
        <v>121</v>
      </c>
      <c r="H5" t="s">
        <v>122</v>
      </c>
      <c r="I5" t="s">
        <v>123</v>
      </c>
      <c r="J5" t="s">
        <v>124</v>
      </c>
      <c r="K5" t="s">
        <v>125</v>
      </c>
      <c r="L5" t="s">
        <v>126</v>
      </c>
      <c r="M5" t="s">
        <v>127</v>
      </c>
      <c r="N5" t="s">
        <v>128</v>
      </c>
      <c r="O5" t="s">
        <v>129</v>
      </c>
      <c r="P5" t="s">
        <v>130</v>
      </c>
      <c r="Q5" t="s">
        <v>131</v>
      </c>
      <c r="R5" t="s">
        <v>132</v>
      </c>
      <c r="S5" t="s">
        <v>133</v>
      </c>
      <c r="T5" t="s">
        <v>134</v>
      </c>
      <c r="U5" t="s">
        <v>135</v>
      </c>
      <c r="V5" t="s">
        <v>136</v>
      </c>
      <c r="W5" t="s">
        <v>137</v>
      </c>
      <c r="X5" t="s">
        <v>138</v>
      </c>
      <c r="Y5" t="s">
        <v>139</v>
      </c>
      <c r="Z5" t="s">
        <v>140</v>
      </c>
      <c r="AA5" t="s">
        <v>141</v>
      </c>
      <c r="AB5" t="s">
        <v>142</v>
      </c>
      <c r="AC5" t="s">
        <v>143</v>
      </c>
      <c r="AD5" t="s">
        <v>144</v>
      </c>
      <c r="AE5" t="s">
        <v>145</v>
      </c>
      <c r="AF5" t="s">
        <v>146</v>
      </c>
      <c r="AG5" t="s">
        <v>147</v>
      </c>
      <c r="AH5" t="s">
        <v>148</v>
      </c>
      <c r="AI5" t="s">
        <v>149</v>
      </c>
      <c r="AJ5" t="s">
        <v>148</v>
      </c>
    </row>
    <row r="6" spans="1:36" x14ac:dyDescent="0.25">
      <c r="F6" t="s">
        <v>21</v>
      </c>
      <c r="J6">
        <v>0.11</v>
      </c>
      <c r="K6">
        <v>0.19</v>
      </c>
      <c r="L6">
        <v>0.28000000000000003</v>
      </c>
      <c r="M6">
        <v>0.15</v>
      </c>
      <c r="N6">
        <v>0.1</v>
      </c>
      <c r="O6">
        <v>0.19</v>
      </c>
      <c r="P6">
        <v>0.15</v>
      </c>
      <c r="R6">
        <v>0.17</v>
      </c>
      <c r="U6">
        <v>0.04</v>
      </c>
      <c r="W6">
        <v>0.18</v>
      </c>
      <c r="X6">
        <v>0.09</v>
      </c>
      <c r="Y6">
        <v>0</v>
      </c>
      <c r="AB6">
        <v>0.98</v>
      </c>
      <c r="AC6">
        <v>0.04</v>
      </c>
      <c r="AD6">
        <v>0.03</v>
      </c>
      <c r="AE6">
        <v>0.21</v>
      </c>
      <c r="AF6">
        <v>0.18</v>
      </c>
      <c r="AG6">
        <v>0.01</v>
      </c>
      <c r="AH6">
        <v>0.22</v>
      </c>
      <c r="AJ6">
        <v>0.11</v>
      </c>
    </row>
    <row r="7" spans="1:36" x14ac:dyDescent="0.25">
      <c r="F7" t="s">
        <v>28</v>
      </c>
      <c r="G7">
        <v>1</v>
      </c>
      <c r="H7">
        <v>0.04</v>
      </c>
      <c r="J7">
        <v>0.01</v>
      </c>
      <c r="K7">
        <v>0.26</v>
      </c>
      <c r="L7">
        <v>1.1100000000000001</v>
      </c>
      <c r="N7">
        <v>7.0000000000000007E-2</v>
      </c>
      <c r="O7">
        <v>0.17</v>
      </c>
      <c r="R7">
        <v>0.26</v>
      </c>
      <c r="U7">
        <v>0.03</v>
      </c>
      <c r="W7">
        <v>0.02</v>
      </c>
      <c r="Y7">
        <v>0.17</v>
      </c>
      <c r="AB7">
        <v>0.01</v>
      </c>
      <c r="AC7">
        <v>1</v>
      </c>
      <c r="AD7">
        <v>1.05</v>
      </c>
      <c r="AE7">
        <v>0.16</v>
      </c>
      <c r="AG7">
        <v>0.13</v>
      </c>
    </row>
    <row r="8" spans="1:36" x14ac:dyDescent="0.25">
      <c r="F8" t="s">
        <v>26</v>
      </c>
      <c r="G8">
        <v>1</v>
      </c>
      <c r="H8">
        <v>0.02</v>
      </c>
      <c r="J8">
        <v>0.1</v>
      </c>
      <c r="K8">
        <v>0.01</v>
      </c>
      <c r="L8">
        <v>0.16</v>
      </c>
      <c r="M8">
        <v>0.08</v>
      </c>
      <c r="N8">
        <v>0.06</v>
      </c>
      <c r="O8">
        <v>0.03</v>
      </c>
      <c r="P8">
        <v>0.01</v>
      </c>
      <c r="Q8">
        <v>0.44</v>
      </c>
      <c r="R8">
        <v>0.14000000000000001</v>
      </c>
      <c r="U8">
        <v>0.1</v>
      </c>
      <c r="W8">
        <v>0.06</v>
      </c>
      <c r="X8">
        <v>0.02</v>
      </c>
      <c r="Y8">
        <v>0.1</v>
      </c>
      <c r="Z8">
        <v>0.66</v>
      </c>
      <c r="AA8">
        <v>0.63</v>
      </c>
      <c r="AB8">
        <v>0.01</v>
      </c>
      <c r="AC8">
        <v>0.23</v>
      </c>
      <c r="AD8">
        <v>7.0000000000000007E-2</v>
      </c>
      <c r="AE8">
        <v>0.09</v>
      </c>
      <c r="AF8">
        <v>0.09</v>
      </c>
      <c r="AG8">
        <v>0.1</v>
      </c>
      <c r="AH8">
        <v>0.02</v>
      </c>
      <c r="AJ8">
        <v>0</v>
      </c>
    </row>
    <row r="9" spans="1:36" x14ac:dyDescent="0.25">
      <c r="F9" t="s">
        <v>30</v>
      </c>
      <c r="H9">
        <v>0.53</v>
      </c>
      <c r="I9">
        <v>0.88</v>
      </c>
      <c r="J9">
        <v>0.93</v>
      </c>
      <c r="K9">
        <v>0.85</v>
      </c>
      <c r="L9">
        <v>0.99</v>
      </c>
      <c r="M9">
        <v>0.38</v>
      </c>
      <c r="N9">
        <v>0.67</v>
      </c>
      <c r="O9">
        <v>0.32</v>
      </c>
      <c r="P9">
        <v>0.41</v>
      </c>
      <c r="Q9">
        <v>0.91</v>
      </c>
      <c r="R9">
        <v>0.94</v>
      </c>
      <c r="U9">
        <v>0.64</v>
      </c>
      <c r="V9">
        <v>0.87</v>
      </c>
      <c r="W9">
        <v>0.61</v>
      </c>
      <c r="X9">
        <v>1</v>
      </c>
      <c r="Y9">
        <v>1</v>
      </c>
      <c r="Z9">
        <v>0.46</v>
      </c>
      <c r="AA9">
        <v>7.0000000000000007E-2</v>
      </c>
      <c r="AB9">
        <v>0.09</v>
      </c>
      <c r="AC9">
        <v>0.87</v>
      </c>
      <c r="AD9">
        <v>0.91</v>
      </c>
      <c r="AE9">
        <v>7.0000000000000007E-2</v>
      </c>
      <c r="AF9">
        <v>0.9</v>
      </c>
      <c r="AG9">
        <v>0.93</v>
      </c>
      <c r="AH9">
        <v>0.84</v>
      </c>
      <c r="AJ9">
        <v>0.65</v>
      </c>
    </row>
    <row r="10" spans="1:36" x14ac:dyDescent="0.25">
      <c r="F10" t="s">
        <v>42</v>
      </c>
      <c r="H10">
        <v>0.05</v>
      </c>
      <c r="I10">
        <v>0.73</v>
      </c>
      <c r="L10">
        <v>0</v>
      </c>
      <c r="M10">
        <v>0.01</v>
      </c>
      <c r="P10">
        <v>0.37</v>
      </c>
      <c r="R10">
        <v>0.06</v>
      </c>
      <c r="S10">
        <v>0.98</v>
      </c>
      <c r="T10">
        <v>0.31</v>
      </c>
      <c r="U10">
        <v>0.01</v>
      </c>
      <c r="AC10">
        <v>0.02</v>
      </c>
      <c r="AF10">
        <v>0.03</v>
      </c>
      <c r="AG10">
        <v>0.02</v>
      </c>
    </row>
    <row r="11" spans="1:36" x14ac:dyDescent="0.25">
      <c r="F11" t="s">
        <v>24</v>
      </c>
      <c r="H11">
        <v>0.31</v>
      </c>
      <c r="I11">
        <v>0.02</v>
      </c>
      <c r="J11">
        <v>0.75</v>
      </c>
      <c r="K11">
        <v>0.27</v>
      </c>
      <c r="L11">
        <v>0.02</v>
      </c>
      <c r="M11">
        <v>7.0000000000000007E-2</v>
      </c>
      <c r="N11">
        <v>0.64</v>
      </c>
      <c r="O11">
        <v>0.4</v>
      </c>
      <c r="P11">
        <v>0.08</v>
      </c>
      <c r="Q11">
        <v>0.59</v>
      </c>
      <c r="R11">
        <v>0.24</v>
      </c>
      <c r="S11">
        <v>0.02</v>
      </c>
      <c r="U11">
        <v>0.52</v>
      </c>
      <c r="W11">
        <v>0.6</v>
      </c>
      <c r="X11">
        <v>0.06</v>
      </c>
      <c r="Y11">
        <v>1</v>
      </c>
      <c r="AB11">
        <v>0.04</v>
      </c>
      <c r="AC11">
        <v>0.28999999999999998</v>
      </c>
      <c r="AD11">
        <v>0.38</v>
      </c>
      <c r="AE11">
        <v>0.18</v>
      </c>
      <c r="AF11">
        <v>0.23</v>
      </c>
      <c r="AG11">
        <v>0.64</v>
      </c>
      <c r="AH11">
        <v>0.2</v>
      </c>
      <c r="AI11">
        <v>1</v>
      </c>
      <c r="AJ11">
        <v>0</v>
      </c>
    </row>
    <row r="12" spans="1:36" x14ac:dyDescent="0.25">
      <c r="F12" t="s">
        <v>109</v>
      </c>
      <c r="H12">
        <v>0.1</v>
      </c>
      <c r="I12">
        <v>0.95</v>
      </c>
      <c r="K12">
        <v>0.05</v>
      </c>
      <c r="L12">
        <v>0.22</v>
      </c>
      <c r="M12">
        <v>0.39</v>
      </c>
      <c r="O12">
        <v>0.03</v>
      </c>
      <c r="P12">
        <v>1</v>
      </c>
      <c r="S12">
        <v>0</v>
      </c>
      <c r="Z12">
        <v>0.34</v>
      </c>
      <c r="AA12">
        <v>0.64</v>
      </c>
      <c r="AB12">
        <v>0</v>
      </c>
      <c r="AC12">
        <v>0</v>
      </c>
      <c r="AE12">
        <v>0.19</v>
      </c>
      <c r="AG12">
        <v>0.02</v>
      </c>
      <c r="AH12">
        <v>0.03</v>
      </c>
      <c r="AJ12">
        <v>0</v>
      </c>
    </row>
    <row r="13" spans="1:36" x14ac:dyDescent="0.25">
      <c r="F13" t="s">
        <v>110</v>
      </c>
      <c r="H13">
        <v>0.06</v>
      </c>
      <c r="I13">
        <v>0.64</v>
      </c>
      <c r="J13">
        <v>0.01</v>
      </c>
      <c r="K13">
        <v>0.03</v>
      </c>
      <c r="L13">
        <v>0.13</v>
      </c>
      <c r="M13">
        <v>0.18</v>
      </c>
      <c r="O13">
        <v>0.02</v>
      </c>
      <c r="P13">
        <v>0.5</v>
      </c>
      <c r="S13">
        <v>0</v>
      </c>
      <c r="Z13">
        <v>0.16</v>
      </c>
      <c r="AA13">
        <v>0.39</v>
      </c>
      <c r="AB13">
        <v>0</v>
      </c>
      <c r="AC13">
        <v>0.04</v>
      </c>
      <c r="AD13">
        <v>0.01</v>
      </c>
      <c r="AE13">
        <v>0.12</v>
      </c>
      <c r="AF13">
        <v>0</v>
      </c>
      <c r="AG13">
        <v>0.13</v>
      </c>
      <c r="AH13">
        <v>0.01</v>
      </c>
      <c r="AJ13">
        <v>0</v>
      </c>
    </row>
    <row r="14" spans="1:36" x14ac:dyDescent="0.25">
      <c r="F14" t="s">
        <v>52</v>
      </c>
      <c r="H14">
        <v>0.61</v>
      </c>
      <c r="I14">
        <v>0.01</v>
      </c>
      <c r="J14">
        <v>0.03</v>
      </c>
      <c r="K14">
        <v>0.05</v>
      </c>
      <c r="L14">
        <v>0.11</v>
      </c>
      <c r="M14">
        <v>0.54</v>
      </c>
      <c r="N14">
        <v>0.28999999999999998</v>
      </c>
      <c r="O14">
        <v>0.48</v>
      </c>
      <c r="P14">
        <v>0.32</v>
      </c>
      <c r="R14">
        <v>7.0000000000000007E-2</v>
      </c>
      <c r="T14">
        <v>0.76</v>
      </c>
      <c r="U14">
        <v>0.65</v>
      </c>
      <c r="V14">
        <v>1</v>
      </c>
      <c r="W14">
        <v>0.63</v>
      </c>
      <c r="X14">
        <v>0.11</v>
      </c>
      <c r="Y14">
        <v>0.04</v>
      </c>
      <c r="Z14">
        <v>0.02</v>
      </c>
      <c r="AA14">
        <v>0.38</v>
      </c>
      <c r="AB14">
        <v>0.02</v>
      </c>
      <c r="AC14">
        <v>0.11</v>
      </c>
      <c r="AD14">
        <v>0</v>
      </c>
      <c r="AE14">
        <v>0.7</v>
      </c>
      <c r="AF14">
        <v>0.16</v>
      </c>
      <c r="AG14">
        <v>0.2</v>
      </c>
      <c r="AH14">
        <v>0.02</v>
      </c>
      <c r="AJ14">
        <v>0</v>
      </c>
    </row>
    <row r="16" spans="1:36" x14ac:dyDescent="0.25">
      <c r="A16" s="4" t="s">
        <v>1</v>
      </c>
      <c r="B16" s="4"/>
      <c r="C16" s="4"/>
      <c r="D16" s="4"/>
      <c r="E16" s="4"/>
      <c r="F16" s="4"/>
      <c r="G16" s="4"/>
    </row>
    <row r="17" spans="1:36" x14ac:dyDescent="0.25">
      <c r="A17" s="4" t="s">
        <v>8</v>
      </c>
      <c r="B17" s="4" t="s">
        <v>2</v>
      </c>
      <c r="C17" s="4" t="s">
        <v>9</v>
      </c>
      <c r="D17" s="4" t="s">
        <v>10</v>
      </c>
      <c r="E17" s="4" t="s">
        <v>11</v>
      </c>
      <c r="F17" s="4" t="s">
        <v>12</v>
      </c>
      <c r="G17" s="4" t="s">
        <v>13</v>
      </c>
    </row>
    <row r="18" spans="1:36" x14ac:dyDescent="0.25">
      <c r="A18" s="4" t="s">
        <v>154</v>
      </c>
      <c r="B18" s="4" t="str">
        <f>B22</f>
        <v>EEHP_DistHeating</v>
      </c>
      <c r="C18" s="4" t="s">
        <v>155</v>
      </c>
      <c r="D18" s="4" t="s">
        <v>17</v>
      </c>
      <c r="E18" s="4" t="s">
        <v>18</v>
      </c>
      <c r="F18" s="4" t="s">
        <v>22</v>
      </c>
      <c r="G18" s="4"/>
    </row>
    <row r="20" spans="1:36" x14ac:dyDescent="0.25">
      <c r="G20" t="s">
        <v>157</v>
      </c>
    </row>
    <row r="21" spans="1:36" x14ac:dyDescent="0.25">
      <c r="B21" t="s">
        <v>2</v>
      </c>
      <c r="C21" t="s">
        <v>56</v>
      </c>
      <c r="D21" t="s">
        <v>67</v>
      </c>
      <c r="E21" t="s">
        <v>151</v>
      </c>
      <c r="F21" t="s">
        <v>4</v>
      </c>
      <c r="G21" t="s">
        <v>3</v>
      </c>
      <c r="H21">
        <v>0</v>
      </c>
      <c r="I21">
        <v>2010</v>
      </c>
      <c r="J21" t="str">
        <f t="shared" ref="J21:AJ21" si="0">H5</f>
        <v>AT</v>
      </c>
      <c r="K21" t="str">
        <f t="shared" si="0"/>
        <v>BE</v>
      </c>
      <c r="L21" t="str">
        <f t="shared" si="0"/>
        <v>BG</v>
      </c>
      <c r="M21" t="str">
        <f t="shared" si="0"/>
        <v>CZ</v>
      </c>
      <c r="N21" t="str">
        <f t="shared" si="0"/>
        <v>DE</v>
      </c>
      <c r="O21" t="str">
        <f t="shared" si="0"/>
        <v>DK</v>
      </c>
      <c r="P21" t="str">
        <f t="shared" si="0"/>
        <v>EE</v>
      </c>
      <c r="Q21" t="str">
        <f t="shared" si="0"/>
        <v>FI</v>
      </c>
      <c r="R21" t="str">
        <f t="shared" si="0"/>
        <v>FR</v>
      </c>
      <c r="S21" t="str">
        <f t="shared" si="0"/>
        <v>HR</v>
      </c>
      <c r="T21" t="str">
        <f t="shared" si="0"/>
        <v>HU</v>
      </c>
      <c r="U21" t="str">
        <f t="shared" si="0"/>
        <v>IS</v>
      </c>
      <c r="V21" t="str">
        <f t="shared" si="0"/>
        <v>IT</v>
      </c>
      <c r="W21" t="str">
        <f t="shared" si="0"/>
        <v>LT</v>
      </c>
      <c r="X21" t="str">
        <f t="shared" si="0"/>
        <v>LU</v>
      </c>
      <c r="Y21" t="str">
        <f t="shared" si="0"/>
        <v>LV</v>
      </c>
      <c r="Z21" t="str">
        <f>X5</f>
        <v>MD</v>
      </c>
      <c r="AA21" t="str">
        <f t="shared" si="0"/>
        <v>MK</v>
      </c>
      <c r="AB21" t="str">
        <f t="shared" si="0"/>
        <v>NL</v>
      </c>
      <c r="AC21" t="str">
        <f t="shared" si="0"/>
        <v>NO</v>
      </c>
      <c r="AD21" t="str">
        <f t="shared" si="0"/>
        <v>PL</v>
      </c>
      <c r="AE21" t="str">
        <f t="shared" si="0"/>
        <v>RO</v>
      </c>
      <c r="AF21" t="str">
        <f t="shared" si="0"/>
        <v>RS</v>
      </c>
      <c r="AG21" t="str">
        <f t="shared" si="0"/>
        <v>SE</v>
      </c>
      <c r="AH21" t="str">
        <f t="shared" si="0"/>
        <v>SI</v>
      </c>
      <c r="AI21" t="str">
        <f t="shared" si="0"/>
        <v>SK</v>
      </c>
      <c r="AJ21" t="str">
        <f t="shared" si="0"/>
        <v>UK</v>
      </c>
    </row>
    <row r="22" spans="1:36" x14ac:dyDescent="0.25">
      <c r="B22" t="s">
        <v>150</v>
      </c>
      <c r="C22" t="s">
        <v>6</v>
      </c>
      <c r="F22" t="s">
        <v>62</v>
      </c>
      <c r="I22" s="9">
        <f>AVERAGE(J22:AJ22)</f>
        <v>0.82699838151260463</v>
      </c>
      <c r="J22" s="9">
        <f>'distHeat for VEDA'!AJ14</f>
        <v>0.8379591166556235</v>
      </c>
      <c r="K22" s="9">
        <f>'distHeat for VEDA'!AK14</f>
        <v>0.75440833814036334</v>
      </c>
      <c r="L22" s="9">
        <f>'distHeat for VEDA'!AL14</f>
        <v>0.92</v>
      </c>
      <c r="M22" s="9">
        <f>'distHeat for VEDA'!AM14</f>
        <v>0.87773846424573121</v>
      </c>
      <c r="N22" s="9">
        <f>'distHeat for VEDA'!AN14</f>
        <v>0.73214482531484548</v>
      </c>
      <c r="O22" s="9">
        <f>'distHeat for VEDA'!AO14</f>
        <v>0.92</v>
      </c>
      <c r="P22" s="9">
        <f>'distHeat for VEDA'!AP14</f>
        <v>0.79532736973803608</v>
      </c>
      <c r="Q22" s="9">
        <f>'distHeat for VEDA'!AQ14</f>
        <v>0.92</v>
      </c>
      <c r="R22" s="9">
        <f>'distHeat for VEDA'!AR14</f>
        <v>0.6991826625013543</v>
      </c>
      <c r="S22" s="9">
        <f>'distHeat for VEDA'!AS14</f>
        <v>0.78855175774480668</v>
      </c>
      <c r="T22" s="9">
        <f>'distHeat for VEDA'!AT14</f>
        <v>0.8584228638790552</v>
      </c>
      <c r="U22" s="9">
        <f>'distHeat for VEDA'!AU14</f>
        <v>0.66947911358772882</v>
      </c>
      <c r="V22" s="9">
        <f>'distHeat for VEDA'!AV14</f>
        <v>0.68138322293051257</v>
      </c>
      <c r="W22" s="9">
        <f>'distHeat for VEDA'!AW14</f>
        <v>0.92</v>
      </c>
      <c r="X22" s="9">
        <f>'distHeat for VEDA'!AX14</f>
        <v>0.87337213287349746</v>
      </c>
      <c r="Y22" s="9">
        <f>'distHeat for VEDA'!AY14</f>
        <v>0.78126868482236722</v>
      </c>
      <c r="Z22" s="9">
        <f>'distHeat for VEDA'!AZ14</f>
        <v>0.91792402931370698</v>
      </c>
      <c r="AA22" s="9">
        <f>'distHeat for VEDA'!BA14</f>
        <v>0.92</v>
      </c>
      <c r="AB22" s="9">
        <f>'distHeat for VEDA'!BB14</f>
        <v>0.83120109429670708</v>
      </c>
      <c r="AC22" s="9">
        <f>'distHeat for VEDA'!BC14</f>
        <v>0.92</v>
      </c>
      <c r="AD22" s="9">
        <f>'distHeat for VEDA'!BD14</f>
        <v>0.8453388949589401</v>
      </c>
      <c r="AE22" s="9">
        <f>'distHeat for VEDA'!BE14</f>
        <v>0.71982652965909666</v>
      </c>
      <c r="AF22" s="9">
        <f>'distHeat for VEDA'!BF14</f>
        <v>0.85472418386531035</v>
      </c>
      <c r="AG22" s="9">
        <f>'distHeat for VEDA'!BG14</f>
        <v>0.92</v>
      </c>
      <c r="AH22" s="9">
        <f>'distHeat for VEDA'!BH14</f>
        <v>0.88893434612096978</v>
      </c>
      <c r="AI22" s="9">
        <f>'distHeat for VEDA'!BI14</f>
        <v>0.86389267960069627</v>
      </c>
      <c r="AJ22" s="9">
        <f>'distHeat for VEDA'!BJ14</f>
        <v>0.61787599059097764</v>
      </c>
    </row>
    <row r="23" spans="1:36" x14ac:dyDescent="0.25">
      <c r="C23" t="s">
        <v>152</v>
      </c>
      <c r="D23" t="s">
        <v>153</v>
      </c>
      <c r="E23">
        <v>2010</v>
      </c>
      <c r="J23">
        <v>31.04</v>
      </c>
      <c r="K23">
        <v>0.16</v>
      </c>
      <c r="L23">
        <v>14.12</v>
      </c>
      <c r="M23">
        <v>29</v>
      </c>
      <c r="N23">
        <v>152.06</v>
      </c>
      <c r="O23">
        <v>36.18</v>
      </c>
      <c r="P23">
        <v>15.07</v>
      </c>
      <c r="Q23">
        <v>61.19</v>
      </c>
      <c r="R23">
        <v>13.87</v>
      </c>
      <c r="S23">
        <v>3.09</v>
      </c>
      <c r="T23">
        <v>15.24</v>
      </c>
      <c r="U23">
        <v>15.8</v>
      </c>
      <c r="V23">
        <v>2.84</v>
      </c>
      <c r="W23">
        <v>20.43</v>
      </c>
      <c r="X23">
        <v>0.14000000000000001</v>
      </c>
      <c r="Y23">
        <v>11.84</v>
      </c>
      <c r="Z23">
        <v>4.1900000000000004</v>
      </c>
      <c r="AA23">
        <v>2.97</v>
      </c>
      <c r="AB23">
        <v>25.3</v>
      </c>
      <c r="AC23">
        <v>16.41</v>
      </c>
      <c r="AD23">
        <v>129.97999999999999</v>
      </c>
      <c r="AE23">
        <v>20.39</v>
      </c>
      <c r="AF23">
        <v>27.06</v>
      </c>
      <c r="AG23">
        <v>72.17</v>
      </c>
      <c r="AH23">
        <v>2.12</v>
      </c>
      <c r="AI23">
        <v>18.2</v>
      </c>
      <c r="AJ23">
        <v>56.97</v>
      </c>
    </row>
    <row r="24" spans="1:36" x14ac:dyDescent="0.25">
      <c r="C24" t="s">
        <v>152</v>
      </c>
      <c r="D24" t="s">
        <v>153</v>
      </c>
      <c r="E24">
        <v>2011</v>
      </c>
      <c r="J24">
        <v>28.66</v>
      </c>
      <c r="K24">
        <v>0.81</v>
      </c>
      <c r="L24">
        <v>13.67</v>
      </c>
      <c r="M24">
        <v>24.59</v>
      </c>
      <c r="N24">
        <v>132.24</v>
      </c>
      <c r="O24">
        <v>32.11</v>
      </c>
      <c r="P24">
        <v>13.88</v>
      </c>
      <c r="Q24">
        <v>52.88</v>
      </c>
      <c r="R24">
        <v>11.47</v>
      </c>
      <c r="S24">
        <v>3.02</v>
      </c>
      <c r="T24">
        <v>18.32</v>
      </c>
      <c r="U24">
        <v>15.72</v>
      </c>
      <c r="V24">
        <v>3.27</v>
      </c>
      <c r="W24">
        <v>20.37</v>
      </c>
      <c r="X24">
        <v>0.17</v>
      </c>
      <c r="Y24">
        <v>10.199999999999999</v>
      </c>
      <c r="Z24">
        <v>3.94</v>
      </c>
      <c r="AA24">
        <v>2.2999999999999998</v>
      </c>
      <c r="AB24">
        <v>23.9</v>
      </c>
      <c r="AC24">
        <v>14.44</v>
      </c>
      <c r="AD24">
        <v>106.25</v>
      </c>
      <c r="AE24">
        <v>18.11</v>
      </c>
      <c r="AF24">
        <v>28.93</v>
      </c>
      <c r="AG24">
        <v>56.39</v>
      </c>
      <c r="AH24">
        <v>2.31</v>
      </c>
      <c r="AI24">
        <v>15.4</v>
      </c>
      <c r="AJ24">
        <v>58.12</v>
      </c>
    </row>
    <row r="25" spans="1:36" x14ac:dyDescent="0.25">
      <c r="C25" t="s">
        <v>152</v>
      </c>
      <c r="D25" t="s">
        <v>153</v>
      </c>
      <c r="E25">
        <v>2012</v>
      </c>
      <c r="J25">
        <v>32.83</v>
      </c>
      <c r="K25">
        <v>0.46</v>
      </c>
      <c r="L25">
        <v>10.36</v>
      </c>
      <c r="M25">
        <v>27.51</v>
      </c>
      <c r="N25">
        <v>135.41</v>
      </c>
      <c r="O25">
        <v>38.19</v>
      </c>
      <c r="P25">
        <v>14.86</v>
      </c>
      <c r="Q25">
        <v>63.22</v>
      </c>
      <c r="R25">
        <v>51.93</v>
      </c>
      <c r="S25">
        <v>2.66</v>
      </c>
      <c r="T25">
        <v>24.02</v>
      </c>
      <c r="U25">
        <v>17.86</v>
      </c>
      <c r="V25">
        <v>3.74</v>
      </c>
      <c r="W25">
        <v>21.28</v>
      </c>
      <c r="X25">
        <v>0.16</v>
      </c>
      <c r="Y25">
        <v>9.9600000000000009</v>
      </c>
      <c r="Z25">
        <v>3.75</v>
      </c>
      <c r="AA25">
        <v>1.59</v>
      </c>
      <c r="AB25">
        <v>17.32</v>
      </c>
      <c r="AC25">
        <v>13.29</v>
      </c>
      <c r="AD25">
        <v>113.87</v>
      </c>
      <c r="AE25">
        <v>16.93</v>
      </c>
      <c r="AF25">
        <v>26.22</v>
      </c>
      <c r="AG25">
        <v>60.68</v>
      </c>
      <c r="AH25">
        <v>2.3199999999999998</v>
      </c>
      <c r="AI25">
        <v>14.86</v>
      </c>
      <c r="AJ25">
        <v>64.180000000000007</v>
      </c>
    </row>
    <row r="26" spans="1:36" x14ac:dyDescent="0.25">
      <c r="C26" t="s">
        <v>152</v>
      </c>
      <c r="D26" t="s">
        <v>153</v>
      </c>
      <c r="E26">
        <v>2013</v>
      </c>
      <c r="J26">
        <v>36.42</v>
      </c>
      <c r="K26">
        <v>0.41</v>
      </c>
      <c r="L26">
        <v>8.07</v>
      </c>
      <c r="M26">
        <v>26.67</v>
      </c>
      <c r="N26">
        <v>139.43</v>
      </c>
      <c r="O26">
        <v>38.18</v>
      </c>
      <c r="P26">
        <v>12.45</v>
      </c>
      <c r="Q26">
        <v>55.95</v>
      </c>
      <c r="R26">
        <v>59.68</v>
      </c>
      <c r="S26">
        <v>2.62</v>
      </c>
      <c r="T26">
        <v>24.88</v>
      </c>
      <c r="U26">
        <v>17.760000000000002</v>
      </c>
      <c r="V26">
        <v>3.76</v>
      </c>
      <c r="W26">
        <v>19.03</v>
      </c>
      <c r="X26">
        <v>0.2</v>
      </c>
      <c r="Y26">
        <v>8.11</v>
      </c>
      <c r="Z26">
        <v>3.72</v>
      </c>
      <c r="AA26">
        <v>1.19</v>
      </c>
      <c r="AB26">
        <v>18.649999999999999</v>
      </c>
      <c r="AC26">
        <v>16.11</v>
      </c>
      <c r="AD26">
        <v>110.89</v>
      </c>
      <c r="AE26">
        <v>15.81</v>
      </c>
      <c r="AF26">
        <v>25.59</v>
      </c>
      <c r="AG26">
        <v>52.56</v>
      </c>
      <c r="AH26">
        <v>2.1800000000000002</v>
      </c>
      <c r="AI26">
        <v>12.86</v>
      </c>
      <c r="AJ26">
        <v>64.12</v>
      </c>
    </row>
    <row r="27" spans="1:36" x14ac:dyDescent="0.25">
      <c r="C27" t="s">
        <v>152</v>
      </c>
      <c r="D27" t="s">
        <v>153</v>
      </c>
      <c r="E27">
        <v>2014</v>
      </c>
      <c r="J27">
        <v>36.08</v>
      </c>
      <c r="K27">
        <v>0.5</v>
      </c>
      <c r="L27">
        <v>8.8699999999999992</v>
      </c>
      <c r="M27">
        <v>23.99</v>
      </c>
      <c r="N27">
        <v>119.92</v>
      </c>
      <c r="O27">
        <v>39.08</v>
      </c>
      <c r="P27">
        <v>10.4</v>
      </c>
      <c r="Q27">
        <v>59.75</v>
      </c>
      <c r="R27">
        <v>50.8</v>
      </c>
      <c r="S27">
        <v>2.11</v>
      </c>
      <c r="T27">
        <v>22.25</v>
      </c>
      <c r="U27">
        <v>23.71</v>
      </c>
      <c r="V27">
        <v>3.51</v>
      </c>
      <c r="W27">
        <v>21.8</v>
      </c>
      <c r="X27">
        <v>0.18</v>
      </c>
      <c r="Y27">
        <v>7.06</v>
      </c>
      <c r="Z27">
        <v>3.51</v>
      </c>
      <c r="AA27">
        <v>1.58</v>
      </c>
      <c r="AB27">
        <v>20.8</v>
      </c>
      <c r="AC27">
        <v>16.940000000000001</v>
      </c>
      <c r="AD27">
        <v>100.6</v>
      </c>
      <c r="AE27">
        <v>13.62</v>
      </c>
      <c r="AF27">
        <v>22.55</v>
      </c>
      <c r="AG27">
        <v>51.46</v>
      </c>
      <c r="AH27">
        <v>1.81</v>
      </c>
      <c r="AI27">
        <v>10.86</v>
      </c>
      <c r="AJ27">
        <v>68.02</v>
      </c>
    </row>
    <row r="28" spans="1:36" x14ac:dyDescent="0.25">
      <c r="C28" t="s">
        <v>54</v>
      </c>
      <c r="I28">
        <v>0.3</v>
      </c>
    </row>
    <row r="29" spans="1:36" x14ac:dyDescent="0.25">
      <c r="C29" t="s">
        <v>156</v>
      </c>
      <c r="E29">
        <v>2010</v>
      </c>
      <c r="J29">
        <f>MAX(J23:J27)/$I$28/31.536</f>
        <v>3.8495687468290209</v>
      </c>
      <c r="K29">
        <f t="shared" ref="K29:AJ29" si="1">MAX(K23:K27)/$I$28/31.536</f>
        <v>8.5616438356164379E-2</v>
      </c>
      <c r="L29">
        <f t="shared" si="1"/>
        <v>1.4924742093691863</v>
      </c>
      <c r="M29">
        <f t="shared" si="1"/>
        <v>3.0652798917639101</v>
      </c>
      <c r="N29">
        <f t="shared" si="1"/>
        <v>16.072636563504144</v>
      </c>
      <c r="O29">
        <f t="shared" si="1"/>
        <v>4.1307289024184</v>
      </c>
      <c r="P29">
        <f t="shared" si="1"/>
        <v>1.5928885506511077</v>
      </c>
      <c r="Q29">
        <f t="shared" si="1"/>
        <v>6.6823101640453242</v>
      </c>
      <c r="R29">
        <f t="shared" si="1"/>
        <v>6.3081346186369016</v>
      </c>
      <c r="S29">
        <f t="shared" si="1"/>
        <v>0.32661085743277524</v>
      </c>
      <c r="T29">
        <f t="shared" si="1"/>
        <v>2.6297987485202099</v>
      </c>
      <c r="U29">
        <f t="shared" si="1"/>
        <v>2.5061305597835282</v>
      </c>
      <c r="V29">
        <f t="shared" si="1"/>
        <v>0.3974293928631828</v>
      </c>
      <c r="W29">
        <f t="shared" si="1"/>
        <v>2.3042448841535599</v>
      </c>
      <c r="X29">
        <f t="shared" si="1"/>
        <v>2.1139861322509727E-2</v>
      </c>
      <c r="Y29">
        <f t="shared" si="1"/>
        <v>1.2514797902925756</v>
      </c>
      <c r="Z29">
        <f t="shared" si="1"/>
        <v>0.44288009470657874</v>
      </c>
      <c r="AA29">
        <f t="shared" si="1"/>
        <v>0.3139269406392694</v>
      </c>
      <c r="AB29">
        <f t="shared" si="1"/>
        <v>2.6741924572974805</v>
      </c>
      <c r="AC29">
        <f t="shared" si="1"/>
        <v>1.790546254016574</v>
      </c>
      <c r="AD29">
        <f t="shared" si="1"/>
        <v>13.738795873499068</v>
      </c>
      <c r="AE29">
        <f t="shared" si="1"/>
        <v>2.1552088618298662</v>
      </c>
      <c r="AF29">
        <f t="shared" si="1"/>
        <v>3.0578809403010316</v>
      </c>
      <c r="AG29">
        <f t="shared" si="1"/>
        <v>7.6283189582276343</v>
      </c>
      <c r="AH29">
        <f t="shared" si="1"/>
        <v>0.24522239134111279</v>
      </c>
      <c r="AI29">
        <f t="shared" si="1"/>
        <v>1.9237273803483848</v>
      </c>
      <c r="AJ29">
        <f t="shared" si="1"/>
        <v>7.1896668357855562</v>
      </c>
    </row>
    <row r="30" spans="1:36" x14ac:dyDescent="0.25">
      <c r="C30" t="s">
        <v>55</v>
      </c>
      <c r="I30">
        <v>50</v>
      </c>
    </row>
    <row r="31" spans="1:36" x14ac:dyDescent="0.25">
      <c r="C31" t="s">
        <v>103</v>
      </c>
      <c r="I31">
        <v>31.536000000000001</v>
      </c>
    </row>
    <row r="32" spans="1:36" x14ac:dyDescent="0.25">
      <c r="C32" t="s">
        <v>158</v>
      </c>
      <c r="H32">
        <v>2</v>
      </c>
    </row>
    <row r="33" spans="5:36" x14ac:dyDescent="0.25">
      <c r="E33" s="8">
        <f>'distHeat for VEDA'!AH34</f>
        <v>2010</v>
      </c>
      <c r="G33" t="str">
        <f>'distHeat for VEDA'!AG34</f>
        <v>ELCCOH</v>
      </c>
      <c r="H33">
        <v>5</v>
      </c>
      <c r="J33" s="9">
        <f>'distHeat for VEDA'!AJ34</f>
        <v>0</v>
      </c>
      <c r="K33" s="9">
        <f>'distHeat for VEDA'!AK34</f>
        <v>0</v>
      </c>
      <c r="L33" s="9">
        <f>'distHeat for VEDA'!AL34</f>
        <v>5.0800879396984924E-2</v>
      </c>
      <c r="M33" s="9">
        <f>'distHeat for VEDA'!AM34</f>
        <v>0.13532465167106822</v>
      </c>
      <c r="N33" s="9">
        <f>'distHeat for VEDA'!AN34</f>
        <v>0.14757821017146705</v>
      </c>
      <c r="O33" s="9">
        <f>'distHeat for VEDA'!AO34</f>
        <v>3.3527536550511158E-3</v>
      </c>
      <c r="P33" s="9">
        <f>'distHeat for VEDA'!AP34</f>
        <v>5.4042484884156458E-2</v>
      </c>
      <c r="Q33" s="9">
        <f>'distHeat for VEDA'!AQ34</f>
        <v>0.15733548181141024</v>
      </c>
      <c r="R33" s="9">
        <f>'distHeat for VEDA'!AR34</f>
        <v>0</v>
      </c>
      <c r="S33" s="9">
        <f>'distHeat for VEDA'!AS34</f>
        <v>0</v>
      </c>
      <c r="T33" s="9">
        <f>'distHeat for VEDA'!AT34</f>
        <v>8.1419730987572242E-2</v>
      </c>
      <c r="U33" s="9">
        <f>'distHeat for VEDA'!AU34</f>
        <v>0</v>
      </c>
      <c r="V33" s="9">
        <f>'distHeat for VEDA'!AV34</f>
        <v>0</v>
      </c>
      <c r="W33" s="9">
        <f>'distHeat for VEDA'!AW34</f>
        <v>1.2944516625763921E-2</v>
      </c>
      <c r="X33" s="9">
        <f>'distHeat for VEDA'!AX34</f>
        <v>0</v>
      </c>
      <c r="Y33" s="9">
        <f>'distHeat for VEDA'!AY34</f>
        <v>1.1218594652693807E-2</v>
      </c>
      <c r="Z33" s="9">
        <f>'distHeat for VEDA'!AZ34</f>
        <v>1.5849218248018847E-2</v>
      </c>
      <c r="AA33" s="9">
        <f>'distHeat for VEDA'!BA34</f>
        <v>0</v>
      </c>
      <c r="AB33" s="9">
        <f>'distHeat for VEDA'!BB34</f>
        <v>0</v>
      </c>
      <c r="AC33" s="9">
        <f>'distHeat for VEDA'!BC34</f>
        <v>0</v>
      </c>
      <c r="AD33" s="9">
        <f>'distHeat for VEDA'!BD34</f>
        <v>0.89935754640839394</v>
      </c>
      <c r="AE33" s="9">
        <f>'distHeat for VEDA'!BE34</f>
        <v>4.6471302236864923E-3</v>
      </c>
      <c r="AF33" s="9">
        <f>'distHeat for VEDA'!BF34</f>
        <v>0.18811289917022883</v>
      </c>
      <c r="AG33" s="9">
        <f>'distHeat for VEDA'!BG34</f>
        <v>2.546210275678875E-2</v>
      </c>
      <c r="AH33" s="9">
        <f>'distHeat for VEDA'!BH34</f>
        <v>0</v>
      </c>
      <c r="AI33" s="9">
        <f>'distHeat for VEDA'!BI34</f>
        <v>7.873637716645062E-3</v>
      </c>
      <c r="AJ33" s="9">
        <f>'distHeat for VEDA'!BJ34</f>
        <v>0.13138907796219698</v>
      </c>
    </row>
    <row r="34" spans="5:36" x14ac:dyDescent="0.25">
      <c r="E34" s="8">
        <f>'distHeat for VEDA'!AH35</f>
        <v>2010</v>
      </c>
      <c r="G34" t="str">
        <f>'distHeat for VEDA'!AG35</f>
        <v>ELCGAS</v>
      </c>
      <c r="H34">
        <v>5</v>
      </c>
      <c r="J34" s="9">
        <f>'distHeat for VEDA'!AJ35</f>
        <v>0.26776785948011828</v>
      </c>
      <c r="K34" s="9">
        <f>'distHeat for VEDA'!AK35</f>
        <v>0.3125</v>
      </c>
      <c r="L34" s="9">
        <f>'distHeat for VEDA'!AL35</f>
        <v>0.89557160804020097</v>
      </c>
      <c r="M34" s="9">
        <f>'distHeat for VEDA'!AM35</f>
        <v>0.78896882494004805</v>
      </c>
      <c r="N34" s="9">
        <f>'distHeat for VEDA'!AN35</f>
        <v>0.55530100930935911</v>
      </c>
      <c r="O34" s="9">
        <f>'distHeat for VEDA'!AO35</f>
        <v>0.26973177970759593</v>
      </c>
      <c r="P34" s="9">
        <f>'distHeat for VEDA'!AP35</f>
        <v>0.62876558403338856</v>
      </c>
      <c r="Q34" s="9">
        <f>'distHeat for VEDA'!AQ35</f>
        <v>0.24833163583296594</v>
      </c>
      <c r="R34" s="9">
        <f>'distHeat for VEDA'!AR35</f>
        <v>0</v>
      </c>
      <c r="S34" s="9">
        <f>'distHeat for VEDA'!AS35</f>
        <v>0.72171779141104286</v>
      </c>
      <c r="T34" s="9">
        <f>'distHeat for VEDA'!AT35</f>
        <v>0.8828824221347108</v>
      </c>
      <c r="U34" s="9">
        <f>'distHeat for VEDA'!AU35</f>
        <v>0</v>
      </c>
      <c r="V34" s="9">
        <f>'distHeat for VEDA'!AV35</f>
        <v>0</v>
      </c>
      <c r="W34" s="9">
        <f>'distHeat for VEDA'!AW35</f>
        <v>0.55117655550743472</v>
      </c>
      <c r="X34" s="9">
        <f>'distHeat for VEDA'!AX35</f>
        <v>0.42073170731707321</v>
      </c>
      <c r="Y34" s="9">
        <f>'distHeat for VEDA'!AY35</f>
        <v>0.53741770791347576</v>
      </c>
      <c r="Z34" s="9">
        <f>'distHeat for VEDA'!AZ35</f>
        <v>0.84686228314414236</v>
      </c>
      <c r="AA34" s="9">
        <f>'distHeat for VEDA'!BA35</f>
        <v>0.49133663366336633</v>
      </c>
      <c r="AB34" s="9">
        <f>'distHeat for VEDA'!BB35</f>
        <v>0.30605282822703789</v>
      </c>
      <c r="AC34" s="9">
        <f>'distHeat for VEDA'!BC35</f>
        <v>4.6558031260392416E-2</v>
      </c>
      <c r="AD34" s="9">
        <f>'distHeat for VEDA'!BD35</f>
        <v>7.7630347054075871E-2</v>
      </c>
      <c r="AE34" s="9">
        <f>'distHeat for VEDA'!BE35</f>
        <v>0.79604647130223682</v>
      </c>
      <c r="AF34" s="9">
        <f>'distHeat for VEDA'!BF35</f>
        <v>0.59378928840834799</v>
      </c>
      <c r="AG34" s="9">
        <f>'distHeat for VEDA'!BG35</f>
        <v>2.3700400511994717E-2</v>
      </c>
      <c r="AH34" s="9">
        <f>'distHeat for VEDA'!BH35</f>
        <v>0.7822277847309137</v>
      </c>
      <c r="AI34" s="9">
        <f>'distHeat for VEDA'!BI35</f>
        <v>0.83940659657208705</v>
      </c>
      <c r="AJ34" s="9">
        <f>'distHeat for VEDA'!BJ35</f>
        <v>0.82529975391381738</v>
      </c>
    </row>
    <row r="35" spans="5:36" x14ac:dyDescent="0.25">
      <c r="E35" s="8">
        <f>'distHeat for VEDA'!AH36</f>
        <v>2010</v>
      </c>
      <c r="G35" t="str">
        <f>'distHeat for VEDA'!AG36</f>
        <v>ELCGEO</v>
      </c>
      <c r="H35">
        <v>5</v>
      </c>
      <c r="J35" s="9">
        <f>'distHeat for VEDA'!AJ36</f>
        <v>2.8140624590979293E-2</v>
      </c>
      <c r="K35" s="9">
        <f>'distHeat for VEDA'!AK36</f>
        <v>0.6875</v>
      </c>
      <c r="L35" s="9">
        <f>'distHeat for VEDA'!AL36</f>
        <v>0</v>
      </c>
      <c r="M35" s="9">
        <f>'distHeat for VEDA'!AM36</f>
        <v>0</v>
      </c>
      <c r="N35" s="9">
        <f>'distHeat for VEDA'!AN36</f>
        <v>2.2607725813501333E-3</v>
      </c>
      <c r="O35" s="9">
        <f>'distHeat for VEDA'!AO36</f>
        <v>5.8260965153347256E-3</v>
      </c>
      <c r="P35" s="9">
        <f>'distHeat for VEDA'!AP36</f>
        <v>0</v>
      </c>
      <c r="Q35" s="9">
        <f>'distHeat for VEDA'!AQ36</f>
        <v>0</v>
      </c>
      <c r="R35" s="9">
        <f>'distHeat for VEDA'!AR36</f>
        <v>0.1</v>
      </c>
      <c r="S35" s="9">
        <f>'distHeat for VEDA'!AS36</f>
        <v>0</v>
      </c>
      <c r="T35" s="9">
        <f>'distHeat for VEDA'!AT36</f>
        <v>1.2530046540172863E-2</v>
      </c>
      <c r="U35" s="9">
        <f>'distHeat for VEDA'!AU36</f>
        <v>0.37</v>
      </c>
      <c r="V35" s="9">
        <f>'distHeat for VEDA'!AV36</f>
        <v>0.25692475463467829</v>
      </c>
      <c r="W35" s="9">
        <f>'distHeat for VEDA'!AW36</f>
        <v>9.142967133439199E-3</v>
      </c>
      <c r="X35" s="9">
        <f>'distHeat for VEDA'!AX36</f>
        <v>0</v>
      </c>
      <c r="Y35" s="9">
        <f>'distHeat for VEDA'!AY36</f>
        <v>0</v>
      </c>
      <c r="Z35" s="9">
        <f>'distHeat for VEDA'!AZ36</f>
        <v>0</v>
      </c>
      <c r="AA35" s="9">
        <f>'distHeat for VEDA'!BA36</f>
        <v>0</v>
      </c>
      <c r="AB35" s="9">
        <f>'distHeat for VEDA'!BB36</f>
        <v>0</v>
      </c>
      <c r="AC35" s="9">
        <f>'distHeat for VEDA'!BC36</f>
        <v>0</v>
      </c>
      <c r="AD35" s="9">
        <f>'distHeat for VEDA'!BD36</f>
        <v>0</v>
      </c>
      <c r="AE35" s="9">
        <f>'distHeat for VEDA'!BE36</f>
        <v>3.8148083925784634E-4</v>
      </c>
      <c r="AF35" s="9">
        <f>'distHeat for VEDA'!BF36</f>
        <v>0</v>
      </c>
      <c r="AG35" s="9">
        <f>'distHeat for VEDA'!BG36</f>
        <v>0</v>
      </c>
      <c r="AH35" s="9">
        <f>'distHeat for VEDA'!BH36</f>
        <v>3.4626616604088452E-2</v>
      </c>
      <c r="AI35" s="9">
        <f>'distHeat for VEDA'!BI36</f>
        <v>1.3346776129434924E-2</v>
      </c>
      <c r="AJ35" s="9">
        <f>'distHeat for VEDA'!BJ36</f>
        <v>0</v>
      </c>
    </row>
    <row r="36" spans="5:36" x14ac:dyDescent="0.25">
      <c r="E36" s="8">
        <f>'distHeat for VEDA'!AH37</f>
        <v>2010</v>
      </c>
      <c r="G36" t="str">
        <f>'distHeat for VEDA'!AG37</f>
        <v>ELCHFO</v>
      </c>
      <c r="H36">
        <v>5</v>
      </c>
      <c r="J36" s="9">
        <f>'distHeat for VEDA'!AJ37</f>
        <v>3.8820973272950969E-2</v>
      </c>
      <c r="K36" s="9">
        <f>'distHeat for VEDA'!AK37</f>
        <v>0</v>
      </c>
      <c r="L36" s="9">
        <f>'distHeat for VEDA'!AL37</f>
        <v>4.6560929648241205E-2</v>
      </c>
      <c r="M36" s="9">
        <f>'distHeat for VEDA'!AM37</f>
        <v>2.6894939744407008E-2</v>
      </c>
      <c r="N36" s="9">
        <f>'distHeat for VEDA'!AN37</f>
        <v>3.926208382944732E-2</v>
      </c>
      <c r="O36" s="9">
        <f>'distHeat for VEDA'!AO37</f>
        <v>9.1596130592503031E-2</v>
      </c>
      <c r="P36" s="9">
        <f>'distHeat for VEDA'!AP37</f>
        <v>0.11343571084595216</v>
      </c>
      <c r="Q36" s="9">
        <f>'distHeat for VEDA'!AQ37</f>
        <v>0.199534834227688</v>
      </c>
      <c r="R36" s="9">
        <f>'distHeat for VEDA'!AR37</f>
        <v>0</v>
      </c>
      <c r="S36" s="9">
        <f>'distHeat for VEDA'!AS37</f>
        <v>0.27828220858895703</v>
      </c>
      <c r="T36" s="9">
        <f>'distHeat for VEDA'!AT37</f>
        <v>1.2274331304659131E-2</v>
      </c>
      <c r="U36" s="9">
        <f>'distHeat for VEDA'!AU37</f>
        <v>0</v>
      </c>
      <c r="V36" s="9">
        <f>'distHeat for VEDA'!AV37</f>
        <v>0</v>
      </c>
      <c r="W36" s="9">
        <f>'distHeat for VEDA'!AW37</f>
        <v>3.926663779413888E-2</v>
      </c>
      <c r="X36" s="9">
        <f>'distHeat for VEDA'!AX37</f>
        <v>0</v>
      </c>
      <c r="Y36" s="9">
        <f>'distHeat for VEDA'!AY37</f>
        <v>3.4932151014375926E-2</v>
      </c>
      <c r="Z36" s="9">
        <f>'distHeat for VEDA'!AZ37</f>
        <v>2.6343970871707006E-2</v>
      </c>
      <c r="AA36" s="9">
        <f>'distHeat for VEDA'!BA37</f>
        <v>0.50835396039603953</v>
      </c>
      <c r="AB36" s="9">
        <f>'distHeat for VEDA'!BB37</f>
        <v>0.35533967965171054</v>
      </c>
      <c r="AC36" s="9">
        <f>'distHeat for VEDA'!BC37</f>
        <v>0.22228134353175924</v>
      </c>
      <c r="AD36" s="9">
        <f>'distHeat for VEDA'!BD37</f>
        <v>1.0221146085552866E-2</v>
      </c>
      <c r="AE36" s="9">
        <f>'distHeat for VEDA'!BE37</f>
        <v>0.13715970175134384</v>
      </c>
      <c r="AF36" s="9">
        <f>'distHeat for VEDA'!BF37</f>
        <v>0.203262509429218</v>
      </c>
      <c r="AG36" s="9">
        <f>'distHeat for VEDA'!BG37</f>
        <v>0.1097898344275156</v>
      </c>
      <c r="AH36" s="9">
        <f>'distHeat for VEDA'!BH37</f>
        <v>7.0921985815602842E-2</v>
      </c>
      <c r="AI36" s="9">
        <f>'distHeat for VEDA'!BI37</f>
        <v>0</v>
      </c>
      <c r="AJ36" s="9">
        <f>'distHeat for VEDA'!BJ37</f>
        <v>2.6409759673281321E-2</v>
      </c>
    </row>
    <row r="37" spans="5:36" x14ac:dyDescent="0.25">
      <c r="E37" s="8">
        <f>'distHeat for VEDA'!AH38</f>
        <v>2010</v>
      </c>
      <c r="G37" t="str">
        <f>'distHeat for VEDA'!AG38</f>
        <v>ELCMUN</v>
      </c>
      <c r="H37">
        <v>5</v>
      </c>
      <c r="J37" s="9">
        <f>'distHeat for VEDA'!AJ38</f>
        <v>4.3716133085521316E-2</v>
      </c>
      <c r="K37" s="9">
        <f>'distHeat for VEDA'!AK38</f>
        <v>0</v>
      </c>
      <c r="L37" s="9">
        <f>'distHeat for VEDA'!AL38</f>
        <v>0</v>
      </c>
      <c r="M37" s="9">
        <f>'distHeat for VEDA'!AM38</f>
        <v>1.3447469872203504E-2</v>
      </c>
      <c r="N37" s="9">
        <f>'distHeat for VEDA'!AN38</f>
        <v>0.10907474114153944</v>
      </c>
      <c r="O37" s="9">
        <f>'distHeat for VEDA'!AO38</f>
        <v>4.1579641640101132E-2</v>
      </c>
      <c r="P37" s="9">
        <f>'distHeat for VEDA'!AP38</f>
        <v>0</v>
      </c>
      <c r="Q37" s="9">
        <f>'distHeat for VEDA'!AQ38</f>
        <v>1.9397108675493668E-2</v>
      </c>
      <c r="R37" s="9">
        <f>'distHeat for VEDA'!AR38</f>
        <v>0.27270574304322082</v>
      </c>
      <c r="S37" s="9">
        <f>'distHeat for VEDA'!AS38</f>
        <v>0</v>
      </c>
      <c r="T37" s="9">
        <f>'distHeat for VEDA'!AT38</f>
        <v>0</v>
      </c>
      <c r="U37" s="9">
        <f>'distHeat for VEDA'!AU38</f>
        <v>7.0068901086067965E-4</v>
      </c>
      <c r="V37" s="9">
        <f>'distHeat for VEDA'!AV38</f>
        <v>0</v>
      </c>
      <c r="W37" s="9">
        <f>'distHeat for VEDA'!AW38</f>
        <v>0</v>
      </c>
      <c r="X37" s="9">
        <f>'distHeat for VEDA'!AX38</f>
        <v>0</v>
      </c>
      <c r="Y37" s="9">
        <f>'distHeat for VEDA'!AY38</f>
        <v>0</v>
      </c>
      <c r="Z37" s="9">
        <f>'distHeat for VEDA'!AZ38</f>
        <v>0</v>
      </c>
      <c r="AA37" s="9">
        <f>'distHeat for VEDA'!BA38</f>
        <v>0</v>
      </c>
      <c r="AB37" s="9">
        <f>'distHeat for VEDA'!BB38</f>
        <v>0.15913447480424964</v>
      </c>
      <c r="AC37" s="9">
        <f>'distHeat for VEDA'!BC38</f>
        <v>9.9501163950781513E-2</v>
      </c>
      <c r="AD37" s="9">
        <f>'distHeat for VEDA'!BD38</f>
        <v>5.6820016142050038E-4</v>
      </c>
      <c r="AE37" s="9">
        <f>'distHeat for VEDA'!BE38</f>
        <v>4.1616091555401422E-4</v>
      </c>
      <c r="AF37" s="9">
        <f>'distHeat for VEDA'!BF38</f>
        <v>1.2195121951219513E-2</v>
      </c>
      <c r="AG37" s="9">
        <f>'distHeat for VEDA'!BG38</f>
        <v>4.4042556119850813E-2</v>
      </c>
      <c r="AH37" s="9">
        <f>'distHeat for VEDA'!BH38</f>
        <v>0</v>
      </c>
      <c r="AI37" s="9">
        <f>'distHeat for VEDA'!BI38</f>
        <v>6.0972682317922125E-3</v>
      </c>
      <c r="AJ37" s="9">
        <f>'distHeat for VEDA'!BJ38</f>
        <v>6.3563537357976853E-3</v>
      </c>
    </row>
    <row r="38" spans="5:36" x14ac:dyDescent="0.25">
      <c r="E38" s="8">
        <f>'distHeat for VEDA'!AH39</f>
        <v>2010</v>
      </c>
      <c r="G38" t="str">
        <f>'distHeat for VEDA'!AG39</f>
        <v>ELCSOL</v>
      </c>
      <c r="H38">
        <v>5</v>
      </c>
      <c r="J38" s="9">
        <f>'distHeat for VEDA'!AJ39</f>
        <v>1.2565116096437266E-3</v>
      </c>
      <c r="K38" s="9">
        <f>'distHeat for VEDA'!AK39</f>
        <v>0</v>
      </c>
      <c r="L38" s="9">
        <f>'distHeat for VEDA'!AL39</f>
        <v>0</v>
      </c>
      <c r="M38" s="9">
        <f>'distHeat for VEDA'!AM39</f>
        <v>0</v>
      </c>
      <c r="N38" s="9">
        <f>'distHeat for VEDA'!AN39</f>
        <v>0</v>
      </c>
      <c r="O38" s="9">
        <f>'distHeat for VEDA'!AO39</f>
        <v>3.9298669891172913E-3</v>
      </c>
      <c r="P38" s="9">
        <f>'distHeat for VEDA'!AP39</f>
        <v>0</v>
      </c>
      <c r="Q38" s="9">
        <f>'distHeat for VEDA'!AQ39</f>
        <v>0</v>
      </c>
      <c r="R38" s="9">
        <f>'distHeat for VEDA'!AR39</f>
        <v>0</v>
      </c>
      <c r="S38" s="9">
        <f>'distHeat for VEDA'!AS39</f>
        <v>0</v>
      </c>
      <c r="T38" s="9">
        <f>'distHeat for VEDA'!AT39</f>
        <v>2.5571523551373189E-4</v>
      </c>
      <c r="U38" s="9">
        <f>'distHeat for VEDA'!AU39</f>
        <v>0</v>
      </c>
      <c r="V38" s="9">
        <f>'distHeat for VEDA'!AV39</f>
        <v>0</v>
      </c>
      <c r="W38" s="9">
        <f>'distHeat for VEDA'!AW39</f>
        <v>0</v>
      </c>
      <c r="X38" s="9">
        <f>'distHeat for VEDA'!AX39</f>
        <v>0</v>
      </c>
      <c r="Y38" s="9">
        <f>'distHeat for VEDA'!AY39</f>
        <v>0</v>
      </c>
      <c r="Z38" s="9">
        <f>'distHeat for VEDA'!AZ39</f>
        <v>0</v>
      </c>
      <c r="AA38" s="9">
        <f>'distHeat for VEDA'!BA39</f>
        <v>0</v>
      </c>
      <c r="AB38" s="9">
        <f>'distHeat for VEDA'!BB39</f>
        <v>0</v>
      </c>
      <c r="AC38" s="9">
        <f>'distHeat for VEDA'!BC39</f>
        <v>0</v>
      </c>
      <c r="AD38" s="9">
        <f>'distHeat for VEDA'!BD39</f>
        <v>0</v>
      </c>
      <c r="AE38" s="9">
        <f>'distHeat for VEDA'!BE39</f>
        <v>0</v>
      </c>
      <c r="AF38" s="9">
        <f>'distHeat for VEDA'!BF39</f>
        <v>0</v>
      </c>
      <c r="AG38" s="9">
        <f>'distHeat for VEDA'!BG39</f>
        <v>0</v>
      </c>
      <c r="AH38" s="9">
        <f>'distHeat for VEDA'!BH39</f>
        <v>0</v>
      </c>
      <c r="AI38" s="9">
        <f>'distHeat for VEDA'!BI39</f>
        <v>4.8009986077104038E-5</v>
      </c>
      <c r="AJ38" s="9">
        <f>'distHeat for VEDA'!BJ39</f>
        <v>0</v>
      </c>
    </row>
    <row r="39" spans="5:36" x14ac:dyDescent="0.25">
      <c r="E39" s="8">
        <f>'distHeat for VEDA'!AH40</f>
        <v>2010</v>
      </c>
      <c r="G39" t="str">
        <f>'distHeat for VEDA'!AG40</f>
        <v>ELCWOO</v>
      </c>
      <c r="H39">
        <v>5</v>
      </c>
      <c r="J39" s="9">
        <f>'distHeat for VEDA'!AJ40</f>
        <v>0.62030051569330646</v>
      </c>
      <c r="K39" s="9">
        <f>'distHeat for VEDA'!AK40</f>
        <v>0</v>
      </c>
      <c r="L39" s="9">
        <f>'distHeat for VEDA'!AL40</f>
        <v>7.0665829145728637E-3</v>
      </c>
      <c r="M39" s="9">
        <f>'distHeat for VEDA'!AM40</f>
        <v>3.4483805360774673E-2</v>
      </c>
      <c r="N39" s="9">
        <f>'distHeat for VEDA'!AN40</f>
        <v>0.1465241877546509</v>
      </c>
      <c r="O39" s="9">
        <f>'distHeat for VEDA'!AO40</f>
        <v>0.57980652962515111</v>
      </c>
      <c r="P39" s="9">
        <f>'distHeat for VEDA'!AP40</f>
        <v>0.20370271282572636</v>
      </c>
      <c r="Q39" s="9">
        <f>'distHeat for VEDA'!AQ40</f>
        <v>0.36615842998951098</v>
      </c>
      <c r="R39" s="9">
        <f>'distHeat for VEDA'!AR40</f>
        <v>0.4747582395895007</v>
      </c>
      <c r="S39" s="9">
        <f>'distHeat for VEDA'!AS40</f>
        <v>0</v>
      </c>
      <c r="T39" s="9">
        <f>'distHeat for VEDA'!AT40</f>
        <v>1.0637753797371247E-2</v>
      </c>
      <c r="U39" s="9">
        <f>'distHeat for VEDA'!AU40</f>
        <v>7.0068901086067965E-4</v>
      </c>
      <c r="V39" s="9">
        <f>'distHeat for VEDA'!AV40</f>
        <v>0.74305343511450384</v>
      </c>
      <c r="W39" s="9">
        <f>'distHeat for VEDA'!AW40</f>
        <v>0.38674750974447819</v>
      </c>
      <c r="X39" s="9">
        <f>'distHeat for VEDA'!AX40</f>
        <v>0.57926829268292679</v>
      </c>
      <c r="Y39" s="9">
        <f>'distHeat for VEDA'!AY40</f>
        <v>0.41589412871154108</v>
      </c>
      <c r="Z39" s="9">
        <f>'distHeat for VEDA'!AZ40</f>
        <v>0.11094452773613195</v>
      </c>
      <c r="AA39" s="9">
        <f>'distHeat for VEDA'!BA40</f>
        <v>0</v>
      </c>
      <c r="AB39" s="9">
        <f>'distHeat for VEDA'!BB40</f>
        <v>0.17944052763247667</v>
      </c>
      <c r="AC39" s="9">
        <f>'distHeat for VEDA'!BC40</f>
        <v>0.42913202527435984</v>
      </c>
      <c r="AD39" s="9">
        <f>'distHeat for VEDA'!BD40</f>
        <v>1.2222760290556901E-2</v>
      </c>
      <c r="AE39" s="9">
        <f>'distHeat for VEDA'!BE40</f>
        <v>6.1314374891624758E-2</v>
      </c>
      <c r="AF39" s="9">
        <f>'distHeat for VEDA'!BF40</f>
        <v>2.6401810409856677E-3</v>
      </c>
      <c r="AG39" s="9">
        <f>'distHeat for VEDA'!BG40</f>
        <v>0.717073372145836</v>
      </c>
      <c r="AH39" s="9">
        <f>'distHeat for VEDA'!BH40</f>
        <v>0.1122236128493951</v>
      </c>
      <c r="AI39" s="9">
        <f>'distHeat for VEDA'!BI40</f>
        <v>0.13269960151711555</v>
      </c>
      <c r="AJ39" s="9">
        <f>'distHeat for VEDA'!BJ40</f>
        <v>1.0545054714906538E-2</v>
      </c>
    </row>
    <row r="40" spans="5:36" x14ac:dyDescent="0.25">
      <c r="E40" s="8">
        <f>'distHeat for VEDA'!AH41</f>
        <v>2011</v>
      </c>
      <c r="G40" t="str">
        <f>'distHeat for VEDA'!AG41</f>
        <v>ELCCOH</v>
      </c>
      <c r="J40" s="9">
        <f>'distHeat for VEDA'!AJ41</f>
        <v>0</v>
      </c>
      <c r="K40" s="9">
        <f>'distHeat for VEDA'!AK41</f>
        <v>0</v>
      </c>
      <c r="L40" s="9">
        <f>'distHeat for VEDA'!AL41</f>
        <v>9.3551475067444087E-2</v>
      </c>
      <c r="M40" s="9">
        <f>'distHeat for VEDA'!AM41</f>
        <v>0.12634494513689143</v>
      </c>
      <c r="N40" s="9">
        <f>'distHeat for VEDA'!AN41</f>
        <v>0.17015144784990588</v>
      </c>
      <c r="O40" s="9">
        <f>'distHeat for VEDA'!AO41</f>
        <v>2.3043656681082103E-3</v>
      </c>
      <c r="P40" s="9">
        <f>'distHeat for VEDA'!AP41</f>
        <v>3.6184401275732095E-2</v>
      </c>
      <c r="Q40" s="9">
        <f>'distHeat for VEDA'!AQ41</f>
        <v>0.15603487044660463</v>
      </c>
      <c r="R40" s="9">
        <f>'distHeat for VEDA'!AR41</f>
        <v>0</v>
      </c>
      <c r="S40" s="9">
        <f>'distHeat for VEDA'!AS41</f>
        <v>0</v>
      </c>
      <c r="T40" s="9">
        <f>'distHeat for VEDA'!AT41</f>
        <v>7.1263061251256934E-2</v>
      </c>
      <c r="U40" s="9">
        <f>'distHeat for VEDA'!AU41</f>
        <v>0</v>
      </c>
      <c r="V40" s="9">
        <f>'distHeat for VEDA'!AV41</f>
        <v>0</v>
      </c>
      <c r="W40" s="9">
        <f>'distHeat for VEDA'!AW41</f>
        <v>1.4745235104581946E-2</v>
      </c>
      <c r="X40" s="9">
        <f>'distHeat for VEDA'!AX41</f>
        <v>0</v>
      </c>
      <c r="Y40" s="9">
        <f>'distHeat for VEDA'!AY41</f>
        <v>1.0946355096653985E-2</v>
      </c>
      <c r="Z40" s="9">
        <f>'distHeat for VEDA'!AZ41</f>
        <v>1.6670525584626068E-2</v>
      </c>
      <c r="AA40" s="9">
        <f>'distHeat for VEDA'!BA41</f>
        <v>0</v>
      </c>
      <c r="AB40" s="9">
        <f>'distHeat for VEDA'!BB41</f>
        <v>0</v>
      </c>
      <c r="AC40" s="9">
        <f>'distHeat for VEDA'!BC41</f>
        <v>0</v>
      </c>
      <c r="AD40" s="9">
        <f>'distHeat for VEDA'!BD41</f>
        <v>0.8925518442298559</v>
      </c>
      <c r="AE40" s="9">
        <f>'distHeat for VEDA'!BE41</f>
        <v>4.9186087363859935E-3</v>
      </c>
      <c r="AF40" s="9">
        <f>'distHeat for VEDA'!BF41</f>
        <v>0.1961950059453032</v>
      </c>
      <c r="AG40" s="9">
        <f>'distHeat for VEDA'!BG41</f>
        <v>3.7880346208009626E-2</v>
      </c>
      <c r="AH40" s="9">
        <f>'distHeat for VEDA'!BH41</f>
        <v>0</v>
      </c>
      <c r="AI40" s="9">
        <f>'distHeat for VEDA'!BI41</f>
        <v>7.8006622144901521E-3</v>
      </c>
      <c r="AJ40" s="9">
        <f>'distHeat for VEDA'!BJ41</f>
        <v>0.14733529423864081</v>
      </c>
    </row>
    <row r="41" spans="5:36" x14ac:dyDescent="0.25">
      <c r="E41" s="8">
        <f>'distHeat for VEDA'!AH42</f>
        <v>2011</v>
      </c>
      <c r="G41" t="str">
        <f>'distHeat for VEDA'!AG42</f>
        <v>ELCGAS</v>
      </c>
      <c r="J41" s="9">
        <f>'distHeat for VEDA'!AJ42</f>
        <v>0.31304601048340125</v>
      </c>
      <c r="K41" s="9">
        <f>'distHeat for VEDA'!AK42</f>
        <v>0.87681970884658456</v>
      </c>
      <c r="L41" s="9">
        <f>'distHeat for VEDA'!AL42</f>
        <v>0.8589330780610912</v>
      </c>
      <c r="M41" s="9">
        <f>'distHeat for VEDA'!AM42</f>
        <v>0.78214552040055396</v>
      </c>
      <c r="N41" s="9">
        <f>'distHeat for VEDA'!AN42</f>
        <v>0.50796370328066498</v>
      </c>
      <c r="O41" s="9">
        <f>'distHeat for VEDA'!AO42</f>
        <v>0.26610688468701665</v>
      </c>
      <c r="P41" s="9">
        <f>'distHeat for VEDA'!AP42</f>
        <v>0.58556103218324151</v>
      </c>
      <c r="Q41" s="9">
        <f>'distHeat for VEDA'!AQ42</f>
        <v>0.24556335835610751</v>
      </c>
      <c r="R41" s="9">
        <f>'distHeat for VEDA'!AR42</f>
        <v>0</v>
      </c>
      <c r="S41" s="9">
        <f>'distHeat for VEDA'!AS42</f>
        <v>0.68778280542986425</v>
      </c>
      <c r="T41" s="9">
        <f>'distHeat for VEDA'!AT42</f>
        <v>0.8858916626590303</v>
      </c>
      <c r="U41" s="9">
        <f>'distHeat for VEDA'!AU42</f>
        <v>0</v>
      </c>
      <c r="V41" s="9">
        <f>'distHeat for VEDA'!AV42</f>
        <v>0</v>
      </c>
      <c r="W41" s="9">
        <f>'distHeat for VEDA'!AW42</f>
        <v>0.53770957348042159</v>
      </c>
      <c r="X41" s="9">
        <f>'distHeat for VEDA'!AX42</f>
        <v>0.48730964467005072</v>
      </c>
      <c r="Y41" s="9">
        <f>'distHeat for VEDA'!AY42</f>
        <v>0.53528452759878886</v>
      </c>
      <c r="Z41" s="9">
        <f>'distHeat for VEDA'!AZ42</f>
        <v>0.8814540402871035</v>
      </c>
      <c r="AA41" s="9">
        <f>'distHeat for VEDA'!BA42</f>
        <v>0.69849246231155782</v>
      </c>
      <c r="AB41" s="9">
        <f>'distHeat for VEDA'!BB42</f>
        <v>0.29323230583778198</v>
      </c>
      <c r="AC41" s="9">
        <f>'distHeat for VEDA'!BC42</f>
        <v>4.3235090806259029E-2</v>
      </c>
      <c r="AD41" s="9">
        <f>'distHeat for VEDA'!BD42</f>
        <v>8.4240937153712211E-2</v>
      </c>
      <c r="AE41" s="9">
        <f>'distHeat for VEDA'!BE42</f>
        <v>0.75110278330795954</v>
      </c>
      <c r="AF41" s="9">
        <f>'distHeat for VEDA'!BF42</f>
        <v>0.62116527942925093</v>
      </c>
      <c r="AG41" s="9">
        <f>'distHeat for VEDA'!BG42</f>
        <v>1.6819886390607445E-2</v>
      </c>
      <c r="AH41" s="9">
        <f>'distHeat for VEDA'!BH42</f>
        <v>0.77790346907993968</v>
      </c>
      <c r="AI41" s="9">
        <f>'distHeat for VEDA'!BI42</f>
        <v>0.81025871261013538</v>
      </c>
      <c r="AJ41" s="9">
        <f>'distHeat for VEDA'!BJ42</f>
        <v>0.7848283522224736</v>
      </c>
    </row>
    <row r="42" spans="5:36" x14ac:dyDescent="0.25">
      <c r="E42" s="8">
        <f>'distHeat for VEDA'!AH43</f>
        <v>2011</v>
      </c>
      <c r="G42" t="str">
        <f>'distHeat for VEDA'!AG43</f>
        <v>ELCGEO</v>
      </c>
      <c r="J42" s="9">
        <f>'distHeat for VEDA'!AJ43</f>
        <v>3.0489225393127543E-2</v>
      </c>
      <c r="K42" s="9">
        <f>'distHeat for VEDA'!AK43</f>
        <v>0.12318029115341546</v>
      </c>
      <c r="L42" s="9">
        <f>'distHeat for VEDA'!AL43</f>
        <v>0</v>
      </c>
      <c r="M42" s="9">
        <f>'distHeat for VEDA'!AM43</f>
        <v>0</v>
      </c>
      <c r="N42" s="9">
        <f>'distHeat for VEDA'!AN43</f>
        <v>5.3408634219599389E-4</v>
      </c>
      <c r="O42" s="9">
        <f>'distHeat for VEDA'!AO43</f>
        <v>5.2400643959720954E-3</v>
      </c>
      <c r="P42" s="9">
        <f>'distHeat for VEDA'!AP43</f>
        <v>0</v>
      </c>
      <c r="Q42" s="9">
        <f>'distHeat for VEDA'!AQ43</f>
        <v>0</v>
      </c>
      <c r="R42" s="9">
        <f>'distHeat for VEDA'!AR43</f>
        <v>0.30695812807881773</v>
      </c>
      <c r="S42" s="9">
        <f>'distHeat for VEDA'!AS43</f>
        <v>0</v>
      </c>
      <c r="T42" s="9">
        <f>'distHeat for VEDA'!AT43</f>
        <v>1.2722423818475931E-2</v>
      </c>
      <c r="U42" s="9">
        <f>'distHeat for VEDA'!AU43</f>
        <v>0.97310271258762571</v>
      </c>
      <c r="V42" s="9">
        <f>'distHeat for VEDA'!AV43</f>
        <v>0.24213771839671117</v>
      </c>
      <c r="W42" s="9">
        <f>'distHeat for VEDA'!AW43</f>
        <v>7.3726175522909731E-3</v>
      </c>
      <c r="X42" s="9">
        <f>'distHeat for VEDA'!AX43</f>
        <v>0</v>
      </c>
      <c r="Y42" s="9">
        <f>'distHeat for VEDA'!AY43</f>
        <v>0</v>
      </c>
      <c r="Z42" s="9">
        <f>'distHeat for VEDA'!AZ43</f>
        <v>0</v>
      </c>
      <c r="AA42" s="9">
        <f>'distHeat for VEDA'!BA43</f>
        <v>0</v>
      </c>
      <c r="AB42" s="9">
        <f>'distHeat for VEDA'!BB43</f>
        <v>0</v>
      </c>
      <c r="AC42" s="9">
        <f>'distHeat for VEDA'!BC43</f>
        <v>0</v>
      </c>
      <c r="AD42" s="9">
        <f>'distHeat for VEDA'!BD43</f>
        <v>0</v>
      </c>
      <c r="AE42" s="9">
        <f>'distHeat for VEDA'!BE43</f>
        <v>3.5132919545614237E-4</v>
      </c>
      <c r="AF42" s="9">
        <f>'distHeat for VEDA'!BF43</f>
        <v>0</v>
      </c>
      <c r="AG42" s="9">
        <f>'distHeat for VEDA'!BG43</f>
        <v>0</v>
      </c>
      <c r="AH42" s="9">
        <f>'distHeat for VEDA'!BH43</f>
        <v>2.7149321266968323E-2</v>
      </c>
      <c r="AI42" s="9">
        <f>'distHeat for VEDA'!BI43</f>
        <v>1.1672933385711881E-2</v>
      </c>
      <c r="AJ42" s="9">
        <f>'distHeat for VEDA'!BJ43</f>
        <v>0</v>
      </c>
    </row>
    <row r="43" spans="5:36" x14ac:dyDescent="0.25">
      <c r="E43" s="8">
        <f>'distHeat for VEDA'!AH44</f>
        <v>2011</v>
      </c>
      <c r="G43" t="str">
        <f>'distHeat for VEDA'!AG44</f>
        <v>ELCHFO</v>
      </c>
      <c r="J43" s="9">
        <f>'distHeat for VEDA'!AJ44</f>
        <v>3.2673267326732675E-2</v>
      </c>
      <c r="K43" s="9">
        <f>'distHeat for VEDA'!AK44</f>
        <v>0</v>
      </c>
      <c r="L43" s="9">
        <f>'distHeat for VEDA'!AL44</f>
        <v>3.9596205726220524E-2</v>
      </c>
      <c r="M43" s="9">
        <f>'distHeat for VEDA'!AM44</f>
        <v>1.8465253364582223E-2</v>
      </c>
      <c r="N43" s="9">
        <f>'distHeat for VEDA'!AN44</f>
        <v>2.8375319923006955E-2</v>
      </c>
      <c r="O43" s="9">
        <f>'distHeat for VEDA'!AO44</f>
        <v>5.9976640676789039E-2</v>
      </c>
      <c r="P43" s="9">
        <f>'distHeat for VEDA'!AP44</f>
        <v>8.8141490287039714E-2</v>
      </c>
      <c r="Q43" s="9">
        <f>'distHeat for VEDA'!AQ44</f>
        <v>0.17250147023212373</v>
      </c>
      <c r="R43" s="9">
        <f>'distHeat for VEDA'!AR44</f>
        <v>0</v>
      </c>
      <c r="S43" s="9">
        <f>'distHeat for VEDA'!AS44</f>
        <v>0.31248336438647856</v>
      </c>
      <c r="T43" s="9">
        <f>'distHeat for VEDA'!AT44</f>
        <v>6.9951471166877976E-3</v>
      </c>
      <c r="U43" s="9">
        <f>'distHeat for VEDA'!AU44</f>
        <v>0</v>
      </c>
      <c r="V43" s="9">
        <f>'distHeat for VEDA'!AV44</f>
        <v>0</v>
      </c>
      <c r="W43" s="9">
        <f>'distHeat for VEDA'!AW44</f>
        <v>2.9272022281688605E-2</v>
      </c>
      <c r="X43" s="9">
        <f>'distHeat for VEDA'!AX44</f>
        <v>0</v>
      </c>
      <c r="Y43" s="9">
        <f>'distHeat for VEDA'!AY44</f>
        <v>3.1208757084077325E-2</v>
      </c>
      <c r="Z43" s="9">
        <f>'distHeat for VEDA'!AZ44</f>
        <v>9.2614031025700389E-3</v>
      </c>
      <c r="AA43" s="9">
        <f>'distHeat for VEDA'!BA44</f>
        <v>0.30150753768844224</v>
      </c>
      <c r="AB43" s="9">
        <f>'distHeat for VEDA'!BB44</f>
        <v>0.36734975030136041</v>
      </c>
      <c r="AC43" s="9">
        <f>'distHeat for VEDA'!BC44</f>
        <v>0.28674668510023249</v>
      </c>
      <c r="AD43" s="9">
        <f>'distHeat for VEDA'!BD44</f>
        <v>8.1526040842171913E-3</v>
      </c>
      <c r="AE43" s="9">
        <f>'distHeat for VEDA'!BE44</f>
        <v>0.13085060701877657</v>
      </c>
      <c r="AF43" s="9">
        <f>'distHeat for VEDA'!BF44</f>
        <v>0.17140309155766945</v>
      </c>
      <c r="AG43" s="9">
        <f>'distHeat for VEDA'!BG44</f>
        <v>6.0618047753920157E-2</v>
      </c>
      <c r="AH43" s="9">
        <f>'distHeat for VEDA'!BH44</f>
        <v>6.4102564102564111E-2</v>
      </c>
      <c r="AI43" s="9">
        <f>'distHeat for VEDA'!BI44</f>
        <v>0</v>
      </c>
      <c r="AJ43" s="9">
        <f>'distHeat for VEDA'!BJ44</f>
        <v>3.0174630273361175E-2</v>
      </c>
    </row>
    <row r="44" spans="5:36" x14ac:dyDescent="0.25">
      <c r="E44" s="8">
        <f>'distHeat for VEDA'!AH45</f>
        <v>2011</v>
      </c>
      <c r="G44" t="str">
        <f>'distHeat for VEDA'!AG45</f>
        <v>ELCMUN</v>
      </c>
      <c r="J44" s="9">
        <f>'distHeat for VEDA'!AJ45</f>
        <v>5.6144437973209081E-2</v>
      </c>
      <c r="K44" s="9">
        <f>'distHeat for VEDA'!AK45</f>
        <v>0</v>
      </c>
      <c r="L44" s="9">
        <f>'distHeat for VEDA'!AL45</f>
        <v>0</v>
      </c>
      <c r="M44" s="9">
        <f>'distHeat for VEDA'!AM45</f>
        <v>1.995667767479848E-2</v>
      </c>
      <c r="N44" s="9">
        <f>'distHeat for VEDA'!AN45</f>
        <v>0.13206739006282125</v>
      </c>
      <c r="O44" s="9">
        <f>'distHeat for VEDA'!AO45</f>
        <v>4.95912118438082E-2</v>
      </c>
      <c r="P44" s="9">
        <f>'distHeat for VEDA'!AP45</f>
        <v>0</v>
      </c>
      <c r="Q44" s="9">
        <f>'distHeat for VEDA'!AQ45</f>
        <v>2.1448092157608883E-2</v>
      </c>
      <c r="R44" s="9">
        <f>'distHeat for VEDA'!AR45</f>
        <v>0.18673029556650245</v>
      </c>
      <c r="S44" s="9">
        <f>'distHeat for VEDA'!AS45</f>
        <v>0</v>
      </c>
      <c r="T44" s="9">
        <f>'distHeat for VEDA'!AT45</f>
        <v>0</v>
      </c>
      <c r="U44" s="9">
        <f>'distHeat for VEDA'!AU45</f>
        <v>0</v>
      </c>
      <c r="V44" s="9">
        <f>'distHeat for VEDA'!AV45</f>
        <v>0</v>
      </c>
      <c r="W44" s="9">
        <f>'distHeat for VEDA'!AW45</f>
        <v>0</v>
      </c>
      <c r="X44" s="9">
        <f>'distHeat for VEDA'!AX45</f>
        <v>0</v>
      </c>
      <c r="Y44" s="9">
        <f>'distHeat for VEDA'!AY45</f>
        <v>0</v>
      </c>
      <c r="Z44" s="9">
        <f>'distHeat for VEDA'!AZ45</f>
        <v>0</v>
      </c>
      <c r="AA44" s="9">
        <f>'distHeat for VEDA'!BA45</f>
        <v>0</v>
      </c>
      <c r="AB44" s="9">
        <f>'distHeat for VEDA'!BB45</f>
        <v>0.15612192181849494</v>
      </c>
      <c r="AC44" s="9">
        <f>'distHeat for VEDA'!BC45</f>
        <v>0.11311506315591026</v>
      </c>
      <c r="AD44" s="9">
        <f>'distHeat for VEDA'!BD45</f>
        <v>9.0232705398132025E-4</v>
      </c>
      <c r="AE44" s="9">
        <f>'distHeat for VEDA'!BE45</f>
        <v>5.4651208182066599E-4</v>
      </c>
      <c r="AF44" s="9">
        <f>'distHeat for VEDA'!BF45</f>
        <v>8.561236623067776E-3</v>
      </c>
      <c r="AG44" s="9">
        <f>'distHeat for VEDA'!BG45</f>
        <v>2.5712432158736691E-2</v>
      </c>
      <c r="AH44" s="9">
        <f>'distHeat for VEDA'!BH45</f>
        <v>0</v>
      </c>
      <c r="AI44" s="9">
        <f>'distHeat for VEDA'!BI45</f>
        <v>1.1392334025478424E-2</v>
      </c>
      <c r="AJ44" s="9">
        <f>'distHeat for VEDA'!BJ45</f>
        <v>8.8137894152251275E-3</v>
      </c>
    </row>
    <row r="45" spans="5:36" x14ac:dyDescent="0.25">
      <c r="E45" s="8">
        <f>'distHeat for VEDA'!AH46</f>
        <v>2011</v>
      </c>
      <c r="G45" t="str">
        <f>'distHeat for VEDA'!AG46</f>
        <v>ELCSOL</v>
      </c>
      <c r="J45" s="9">
        <f>'distHeat for VEDA'!AJ46</f>
        <v>1.659871869539895E-3</v>
      </c>
      <c r="K45" s="9">
        <f>'distHeat for VEDA'!AK46</f>
        <v>0</v>
      </c>
      <c r="L45" s="9">
        <f>'distHeat for VEDA'!AL46</f>
        <v>0</v>
      </c>
      <c r="M45" s="9">
        <f>'distHeat for VEDA'!AM46</f>
        <v>0</v>
      </c>
      <c r="N45" s="9">
        <f>'distHeat for VEDA'!AN46</f>
        <v>0</v>
      </c>
      <c r="O45" s="9">
        <f>'distHeat for VEDA'!AO46</f>
        <v>6.8499636983490641E-3</v>
      </c>
      <c r="P45" s="9">
        <f>'distHeat for VEDA'!AP46</f>
        <v>0</v>
      </c>
      <c r="Q45" s="9">
        <f>'distHeat for VEDA'!AQ46</f>
        <v>0</v>
      </c>
      <c r="R45" s="9">
        <f>'distHeat for VEDA'!AR46</f>
        <v>0</v>
      </c>
      <c r="S45" s="9">
        <f>'distHeat for VEDA'!AS46</f>
        <v>0</v>
      </c>
      <c r="T45" s="9">
        <f>'distHeat for VEDA'!AT46</f>
        <v>2.1859834739649368E-4</v>
      </c>
      <c r="U45" s="9">
        <f>'distHeat for VEDA'!AU46</f>
        <v>0</v>
      </c>
      <c r="V45" s="9">
        <f>'distHeat for VEDA'!AV46</f>
        <v>2.0554984583761563E-4</v>
      </c>
      <c r="W45" s="9">
        <f>'distHeat for VEDA'!AW46</f>
        <v>0</v>
      </c>
      <c r="X45" s="9">
        <f>'distHeat for VEDA'!AX46</f>
        <v>0</v>
      </c>
      <c r="Y45" s="9">
        <f>'distHeat for VEDA'!AY46</f>
        <v>0</v>
      </c>
      <c r="Z45" s="9">
        <f>'distHeat for VEDA'!AZ46</f>
        <v>0</v>
      </c>
      <c r="AA45" s="9">
        <f>'distHeat for VEDA'!BA46</f>
        <v>0</v>
      </c>
      <c r="AB45" s="9">
        <f>'distHeat for VEDA'!BB46</f>
        <v>0</v>
      </c>
      <c r="AC45" s="9">
        <f>'distHeat for VEDA'!BC46</f>
        <v>0</v>
      </c>
      <c r="AD45" s="9">
        <f>'distHeat for VEDA'!BD46</f>
        <v>0</v>
      </c>
      <c r="AE45" s="9">
        <f>'distHeat for VEDA'!BE46</f>
        <v>0</v>
      </c>
      <c r="AF45" s="9">
        <f>'distHeat for VEDA'!BF46</f>
        <v>0</v>
      </c>
      <c r="AG45" s="9">
        <f>'distHeat for VEDA'!BG46</f>
        <v>0</v>
      </c>
      <c r="AH45" s="9">
        <f>'distHeat for VEDA'!BH46</f>
        <v>0</v>
      </c>
      <c r="AI45" s="9">
        <f>'distHeat for VEDA'!BI46</f>
        <v>1.1223974409338347E-4</v>
      </c>
      <c r="AJ45" s="9">
        <f>'distHeat for VEDA'!BJ46</f>
        <v>0</v>
      </c>
    </row>
    <row r="46" spans="5:36" x14ac:dyDescent="0.25">
      <c r="E46" s="8">
        <f>'distHeat for VEDA'!AH47</f>
        <v>2011</v>
      </c>
      <c r="G46" t="str">
        <f>'distHeat for VEDA'!AG47</f>
        <v>ELCWOO</v>
      </c>
      <c r="J46" s="9">
        <f>'distHeat for VEDA'!AJ47</f>
        <v>0.56598718695398942</v>
      </c>
      <c r="K46" s="9">
        <f>'distHeat for VEDA'!AK47</f>
        <v>0</v>
      </c>
      <c r="L46" s="9">
        <f>'distHeat for VEDA'!AL47</f>
        <v>7.9192411452441037E-3</v>
      </c>
      <c r="M46" s="9">
        <f>'distHeat for VEDA'!AM47</f>
        <v>5.1951280139199606E-2</v>
      </c>
      <c r="N46" s="9">
        <f>'distHeat for VEDA'!AN47</f>
        <v>0.16090646614632909</v>
      </c>
      <c r="O46" s="9">
        <f>'distHeat for VEDA'!AO47</f>
        <v>0.60173300924902939</v>
      </c>
      <c r="P46" s="9">
        <f>'distHeat for VEDA'!AP47</f>
        <v>0.29011307625398663</v>
      </c>
      <c r="Q46" s="9">
        <f>'distHeat for VEDA'!AQ47</f>
        <v>0.39424706818417682</v>
      </c>
      <c r="R46" s="9">
        <f>'distHeat for VEDA'!AR47</f>
        <v>0.50631157635467983</v>
      </c>
      <c r="S46" s="9">
        <f>'distHeat for VEDA'!AS47</f>
        <v>0</v>
      </c>
      <c r="T46" s="9">
        <f>'distHeat for VEDA'!AT47</f>
        <v>2.2865387137673238E-2</v>
      </c>
      <c r="U46" s="9">
        <f>'distHeat for VEDA'!AU47</f>
        <v>0</v>
      </c>
      <c r="V46" s="9">
        <f>'distHeat for VEDA'!AV47</f>
        <v>0.75759506680369992</v>
      </c>
      <c r="W46" s="9">
        <f>'distHeat for VEDA'!AW47</f>
        <v>0.41013598383485333</v>
      </c>
      <c r="X46" s="9">
        <f>'distHeat for VEDA'!AX47</f>
        <v>0.51269035532994922</v>
      </c>
      <c r="Y46" s="9">
        <f>'distHeat for VEDA'!AY47</f>
        <v>0.42193929042776179</v>
      </c>
      <c r="Z46" s="9">
        <f>'distHeat for VEDA'!AZ47</f>
        <v>9.26140310257004E-2</v>
      </c>
      <c r="AA46" s="9">
        <f>'distHeat for VEDA'!BA47</f>
        <v>0</v>
      </c>
      <c r="AB46" s="9">
        <f>'distHeat for VEDA'!BB47</f>
        <v>0.18329602204236267</v>
      </c>
      <c r="AC46" s="9">
        <f>'distHeat for VEDA'!BC47</f>
        <v>0.39854207251932378</v>
      </c>
      <c r="AD46" s="9">
        <f>'distHeat for VEDA'!BD47</f>
        <v>1.4152287478233338E-2</v>
      </c>
      <c r="AE46" s="9">
        <f>'distHeat for VEDA'!BE47</f>
        <v>0.11223015965960104</v>
      </c>
      <c r="AF46" s="9">
        <f>'distHeat for VEDA'!BF47</f>
        <v>2.6753864447086801E-3</v>
      </c>
      <c r="AG46" s="9">
        <f>'distHeat for VEDA'!BG47</f>
        <v>0.78301871865061157</v>
      </c>
      <c r="AH46" s="9">
        <f>'distHeat for VEDA'!BH47</f>
        <v>0.13084464555052788</v>
      </c>
      <c r="AI46" s="9">
        <f>'distHeat for VEDA'!BI47</f>
        <v>0.15814579942757731</v>
      </c>
      <c r="AJ46" s="9">
        <f>'distHeat for VEDA'!BJ47</f>
        <v>2.883764938190345E-2</v>
      </c>
    </row>
    <row r="47" spans="5:36" x14ac:dyDescent="0.25">
      <c r="E47" s="8">
        <f>'distHeat for VEDA'!AH48</f>
        <v>2012</v>
      </c>
      <c r="G47" t="str">
        <f>'distHeat for VEDA'!AG48</f>
        <v>ELCCOH</v>
      </c>
      <c r="J47" s="9">
        <f>'distHeat for VEDA'!AJ48</f>
        <v>0</v>
      </c>
      <c r="K47" s="9">
        <f>'distHeat for VEDA'!AK48</f>
        <v>0</v>
      </c>
      <c r="L47" s="9">
        <f>'distHeat for VEDA'!AL48</f>
        <v>3.7538045316198851E-2</v>
      </c>
      <c r="M47" s="9">
        <f>'distHeat for VEDA'!AM48</f>
        <v>9.2698099842936782E-2</v>
      </c>
      <c r="N47" s="9">
        <f>'distHeat for VEDA'!AN48</f>
        <v>0.16995531353903612</v>
      </c>
      <c r="O47" s="9">
        <f>'distHeat for VEDA'!AO48</f>
        <v>2.5613266087507591E-3</v>
      </c>
      <c r="P47" s="9">
        <f>'distHeat for VEDA'!AP48</f>
        <v>3.8260126108795554E-2</v>
      </c>
      <c r="Q47" s="9">
        <f>'distHeat for VEDA'!AQ48</f>
        <v>0.16249168698736419</v>
      </c>
      <c r="R47" s="9">
        <f>'distHeat for VEDA'!AR48</f>
        <v>0.12920908379013313</v>
      </c>
      <c r="S47" s="9">
        <f>'distHeat for VEDA'!AS48</f>
        <v>0</v>
      </c>
      <c r="T47" s="9">
        <f>'distHeat for VEDA'!AT48</f>
        <v>5.9105197748373417E-2</v>
      </c>
      <c r="U47" s="9">
        <f>'distHeat for VEDA'!AU48</f>
        <v>0</v>
      </c>
      <c r="V47" s="9">
        <f>'distHeat for VEDA'!AV48</f>
        <v>0</v>
      </c>
      <c r="W47" s="9">
        <f>'distHeat for VEDA'!AW48</f>
        <v>1.1300565028251414E-2</v>
      </c>
      <c r="X47" s="9">
        <f>'distHeat for VEDA'!AX48</f>
        <v>0</v>
      </c>
      <c r="Y47" s="9">
        <f>'distHeat for VEDA'!AY48</f>
        <v>6.2653660084066934E-3</v>
      </c>
      <c r="Z47" s="9">
        <f>'distHeat for VEDA'!AZ48</f>
        <v>1.7977528089887639E-2</v>
      </c>
      <c r="AA47" s="9">
        <f>'distHeat for VEDA'!BA48</f>
        <v>0</v>
      </c>
      <c r="AB47" s="9">
        <f>'distHeat for VEDA'!BB48</f>
        <v>0</v>
      </c>
      <c r="AC47" s="9">
        <f>'distHeat for VEDA'!BC48</f>
        <v>0</v>
      </c>
      <c r="AD47" s="9">
        <f>'distHeat for VEDA'!BD48</f>
        <v>0.8989047397185308</v>
      </c>
      <c r="AE47" s="9">
        <f>'distHeat for VEDA'!BE48</f>
        <v>4.4735746982937988E-3</v>
      </c>
      <c r="AF47" s="9">
        <f>'distHeat for VEDA'!BF48</f>
        <v>0.1961096727079599</v>
      </c>
      <c r="AG47" s="9">
        <f>'distHeat for VEDA'!BG48</f>
        <v>2.4345161773766506E-2</v>
      </c>
      <c r="AH47" s="9">
        <f>'distHeat for VEDA'!BH48</f>
        <v>0</v>
      </c>
      <c r="AI47" s="9">
        <f>'distHeat for VEDA'!BI48</f>
        <v>7.8708491324830532E-3</v>
      </c>
      <c r="AJ47" s="9">
        <f>'distHeat for VEDA'!BJ48</f>
        <v>0.1142793256985087</v>
      </c>
    </row>
    <row r="48" spans="5:36" x14ac:dyDescent="0.25">
      <c r="E48" s="8">
        <f>'distHeat for VEDA'!AH49</f>
        <v>2012</v>
      </c>
      <c r="G48" t="str">
        <f>'distHeat for VEDA'!AG49</f>
        <v>ELCGAS</v>
      </c>
      <c r="J48" s="9">
        <f>'distHeat for VEDA'!AJ49</f>
        <v>0.30723443223443225</v>
      </c>
      <c r="K48" s="9">
        <f>'distHeat for VEDA'!AK49</f>
        <v>0.19672131147540983</v>
      </c>
      <c r="L48" s="9">
        <f>'distHeat for VEDA'!AL49</f>
        <v>0.91714575583361502</v>
      </c>
      <c r="M48" s="9">
        <f>'distHeat for VEDA'!AM49</f>
        <v>0.84105817498691149</v>
      </c>
      <c r="N48" s="9">
        <f>'distHeat for VEDA'!AN49</f>
        <v>0.45824118543110037</v>
      </c>
      <c r="O48" s="9">
        <f>'distHeat for VEDA'!AO49</f>
        <v>0.33326291885611681</v>
      </c>
      <c r="P48" s="9">
        <f>'distHeat for VEDA'!AP49</f>
        <v>0.67366677353852733</v>
      </c>
      <c r="Q48" s="9">
        <f>'distHeat for VEDA'!AQ49</f>
        <v>0.26585383876450158</v>
      </c>
      <c r="R48" s="9">
        <f>'distHeat for VEDA'!AR49</f>
        <v>0.41205349075356906</v>
      </c>
      <c r="S48" s="9">
        <f>'distHeat for VEDA'!AS49</f>
        <v>0.79107197084725167</v>
      </c>
      <c r="T48" s="9">
        <f>'distHeat for VEDA'!AT49</f>
        <v>0.88632209956868191</v>
      </c>
      <c r="U48" s="9">
        <f>'distHeat for VEDA'!AU49</f>
        <v>0</v>
      </c>
      <c r="V48" s="9">
        <f>'distHeat for VEDA'!AV49</f>
        <v>0</v>
      </c>
      <c r="W48" s="9">
        <f>'distHeat for VEDA'!AW49</f>
        <v>0.4856242812140607</v>
      </c>
      <c r="X48" s="9">
        <f>'distHeat for VEDA'!AX49</f>
        <v>0.42696629213483145</v>
      </c>
      <c r="Y48" s="9">
        <f>'distHeat for VEDA'!AY49</f>
        <v>0.49869141089697838</v>
      </c>
      <c r="Z48" s="9">
        <f>'distHeat for VEDA'!AZ49</f>
        <v>0.91460674157303368</v>
      </c>
      <c r="AA48" s="9">
        <f>'distHeat for VEDA'!BA49</f>
        <v>0.60648148148148151</v>
      </c>
      <c r="AB48" s="9">
        <f>'distHeat for VEDA'!BB49</f>
        <v>0.46051697921946277</v>
      </c>
      <c r="AC48" s="9">
        <f>'distHeat for VEDA'!BC49</f>
        <v>4.5046895324159654E-2</v>
      </c>
      <c r="AD48" s="9">
        <f>'distHeat for VEDA'!BD49</f>
        <v>7.7666600107972994E-2</v>
      </c>
      <c r="AE48" s="9">
        <f>'distHeat for VEDA'!BE49</f>
        <v>0.71275488972118184</v>
      </c>
      <c r="AF48" s="9">
        <f>'distHeat for VEDA'!BF49</f>
        <v>0.65770430857066986</v>
      </c>
      <c r="AG48" s="9">
        <f>'distHeat for VEDA'!BG49</f>
        <v>1.8816711904484373E-2</v>
      </c>
      <c r="AH48" s="9">
        <f>'distHeat for VEDA'!BH49</f>
        <v>0.72681992337164758</v>
      </c>
      <c r="AI48" s="9">
        <f>'distHeat for VEDA'!BI49</f>
        <v>0.79053200045961169</v>
      </c>
      <c r="AJ48" s="9">
        <f>'distHeat for VEDA'!BJ49</f>
        <v>0.80978398242305238</v>
      </c>
    </row>
    <row r="49" spans="5:36" x14ac:dyDescent="0.25">
      <c r="E49" s="8">
        <f>'distHeat for VEDA'!AH50</f>
        <v>2012</v>
      </c>
      <c r="G49" t="str">
        <f>'distHeat for VEDA'!AG50</f>
        <v>ELCGEO</v>
      </c>
      <c r="J49" s="9">
        <f>'distHeat for VEDA'!AJ50</f>
        <v>2.9405779405779407E-2</v>
      </c>
      <c r="K49" s="9">
        <f>'distHeat for VEDA'!AK50</f>
        <v>0.19672131147540983</v>
      </c>
      <c r="L49" s="9">
        <f>'distHeat for VEDA'!AL50</f>
        <v>0</v>
      </c>
      <c r="M49" s="9">
        <f>'distHeat for VEDA'!AM50</f>
        <v>0</v>
      </c>
      <c r="N49" s="9">
        <f>'distHeat for VEDA'!AN50</f>
        <v>8.6538899488357746E-4</v>
      </c>
      <c r="O49" s="9">
        <f>'distHeat for VEDA'!AO50</f>
        <v>7.6047635393836962E-3</v>
      </c>
      <c r="P49" s="9">
        <f>'distHeat for VEDA'!AP50</f>
        <v>0</v>
      </c>
      <c r="Q49" s="9">
        <f>'distHeat for VEDA'!AQ50</f>
        <v>0</v>
      </c>
      <c r="R49" s="9">
        <f>'distHeat for VEDA'!AR50</f>
        <v>9.5882778145894826E-2</v>
      </c>
      <c r="S49" s="9">
        <f>'distHeat for VEDA'!AS50</f>
        <v>0</v>
      </c>
      <c r="T49" s="9">
        <f>'distHeat for VEDA'!AT50</f>
        <v>1.5315447035602017E-2</v>
      </c>
      <c r="U49" s="9">
        <f>'distHeat for VEDA'!AU50</f>
        <v>0.97395425202432928</v>
      </c>
      <c r="V49" s="9">
        <f>'distHeat for VEDA'!AV50</f>
        <v>0.24635209399279895</v>
      </c>
      <c r="W49" s="9">
        <f>'distHeat for VEDA'!AW50</f>
        <v>7.9003950197509883E-3</v>
      </c>
      <c r="X49" s="9">
        <f>'distHeat for VEDA'!AX50</f>
        <v>0</v>
      </c>
      <c r="Y49" s="9">
        <f>'distHeat for VEDA'!AY50</f>
        <v>0</v>
      </c>
      <c r="Z49" s="9">
        <f>'distHeat for VEDA'!AZ50</f>
        <v>0</v>
      </c>
      <c r="AA49" s="9">
        <f>'distHeat for VEDA'!BA50</f>
        <v>0</v>
      </c>
      <c r="AB49" s="9">
        <f>'distHeat for VEDA'!BB50</f>
        <v>0</v>
      </c>
      <c r="AC49" s="9">
        <f>'distHeat for VEDA'!BC50</f>
        <v>0</v>
      </c>
      <c r="AD49" s="9">
        <f>'distHeat for VEDA'!BD50</f>
        <v>0</v>
      </c>
      <c r="AE49" s="9">
        <f>'distHeat for VEDA'!BE50</f>
        <v>3.6412817311693715E-4</v>
      </c>
      <c r="AF49" s="9">
        <f>'distHeat for VEDA'!BF50</f>
        <v>0</v>
      </c>
      <c r="AG49" s="9">
        <f>'distHeat for VEDA'!BG50</f>
        <v>0</v>
      </c>
      <c r="AH49" s="9">
        <f>'distHeat for VEDA'!BH50</f>
        <v>3.2183908045977018E-2</v>
      </c>
      <c r="AI49" s="9">
        <f>'distHeat for VEDA'!BI50</f>
        <v>1.091577616913708E-2</v>
      </c>
      <c r="AJ49" s="9">
        <f>'distHeat for VEDA'!BJ50</f>
        <v>0</v>
      </c>
    </row>
    <row r="50" spans="5:36" x14ac:dyDescent="0.25">
      <c r="E50" s="8">
        <f>'distHeat for VEDA'!AH51</f>
        <v>2012</v>
      </c>
      <c r="G50" t="str">
        <f>'distHeat for VEDA'!AG51</f>
        <v>ELCHFO</v>
      </c>
      <c r="J50" s="9">
        <f>'distHeat for VEDA'!AJ51</f>
        <v>3.6706349206349208E-2</v>
      </c>
      <c r="K50" s="9">
        <f>'distHeat for VEDA'!AK51</f>
        <v>0</v>
      </c>
      <c r="L50" s="9">
        <f>'distHeat for VEDA'!AL51</f>
        <v>3.1225340998760006E-2</v>
      </c>
      <c r="M50" s="9">
        <f>'distHeat for VEDA'!AM51</f>
        <v>1.4874811370145669E-2</v>
      </c>
      <c r="N50" s="9">
        <f>'distHeat for VEDA'!AN51</f>
        <v>3.8810925156503827E-2</v>
      </c>
      <c r="O50" s="9">
        <f>'distHeat for VEDA'!AO51</f>
        <v>4.6843230968287075E-2</v>
      </c>
      <c r="P50" s="9">
        <f>'distHeat for VEDA'!AP51</f>
        <v>7.2779737095222841E-2</v>
      </c>
      <c r="Q50" s="9">
        <f>'distHeat for VEDA'!AQ51</f>
        <v>0.14456513707234167</v>
      </c>
      <c r="R50" s="9">
        <f>'distHeat for VEDA'!AR51</f>
        <v>8.9256671284862352E-2</v>
      </c>
      <c r="S50" s="9">
        <f>'distHeat for VEDA'!AS51</f>
        <v>0.20892802915274822</v>
      </c>
      <c r="T50" s="9">
        <f>'distHeat for VEDA'!AT51</f>
        <v>8.7725710943782429E-3</v>
      </c>
      <c r="U50" s="9">
        <f>'distHeat for VEDA'!AU51</f>
        <v>0</v>
      </c>
      <c r="V50" s="9">
        <f>'distHeat for VEDA'!AV51</f>
        <v>0</v>
      </c>
      <c r="W50" s="9">
        <f>'distHeat for VEDA'!AW51</f>
        <v>3.2801640082004105E-2</v>
      </c>
      <c r="X50" s="9">
        <f>'distHeat for VEDA'!AX51</f>
        <v>0</v>
      </c>
      <c r="Y50" s="9">
        <f>'distHeat for VEDA'!AY51</f>
        <v>2.5933856768974542E-2</v>
      </c>
      <c r="Z50" s="9">
        <f>'distHeat for VEDA'!AZ51</f>
        <v>9.9875156054931337E-3</v>
      </c>
      <c r="AA50" s="9">
        <f>'distHeat for VEDA'!BA51</f>
        <v>0.39351851851851855</v>
      </c>
      <c r="AB50" s="9">
        <f>'distHeat for VEDA'!BB51</f>
        <v>0.53831728332488593</v>
      </c>
      <c r="AC50" s="9">
        <f>'distHeat for VEDA'!BC51</f>
        <v>9.0025330321078942E-2</v>
      </c>
      <c r="AD50" s="9">
        <f>'distHeat for VEDA'!BD51</f>
        <v>9.9172453575311157E-3</v>
      </c>
      <c r="AE50" s="9">
        <f>'distHeat for VEDA'!BE51</f>
        <v>0.17946317103620474</v>
      </c>
      <c r="AF50" s="9">
        <f>'distHeat for VEDA'!BF51</f>
        <v>0.14379605656243774</v>
      </c>
      <c r="AG50" s="9">
        <f>'distHeat for VEDA'!BG51</f>
        <v>5.3519391204436086E-2</v>
      </c>
      <c r="AH50" s="9">
        <f>'distHeat for VEDA'!BH51</f>
        <v>8.1609195402298856E-2</v>
      </c>
      <c r="AI50" s="9">
        <f>'distHeat for VEDA'!BI51</f>
        <v>2.2980581408709642E-3</v>
      </c>
      <c r="AJ50" s="9">
        <f>'distHeat for VEDA'!BJ51</f>
        <v>3.035134451984212E-2</v>
      </c>
    </row>
    <row r="51" spans="5:36" x14ac:dyDescent="0.25">
      <c r="E51" s="8">
        <f>'distHeat for VEDA'!AH52</f>
        <v>2012</v>
      </c>
      <c r="G51" t="str">
        <f>'distHeat for VEDA'!AG52</f>
        <v>ELCMUN</v>
      </c>
      <c r="J51" s="9">
        <f>'distHeat for VEDA'!AJ52</f>
        <v>5.2808302808302815E-2</v>
      </c>
      <c r="K51" s="9">
        <f>'distHeat for VEDA'!AK52</f>
        <v>0.31639344262295083</v>
      </c>
      <c r="L51" s="9">
        <f>'distHeat for VEDA'!AL52</f>
        <v>0</v>
      </c>
      <c r="M51" s="9">
        <f>'distHeat for VEDA'!AM52</f>
        <v>1.4228080441008902E-2</v>
      </c>
      <c r="N51" s="9">
        <f>'distHeat for VEDA'!AN52</f>
        <v>0.13342172784275225</v>
      </c>
      <c r="O51" s="9">
        <f>'distHeat for VEDA'!AO52</f>
        <v>3.6439491959546877E-2</v>
      </c>
      <c r="P51" s="9">
        <f>'distHeat for VEDA'!AP52</f>
        <v>0</v>
      </c>
      <c r="Q51" s="9">
        <f>'distHeat for VEDA'!AQ52</f>
        <v>2.0734500849774625E-2</v>
      </c>
      <c r="R51" s="9">
        <f>'distHeat for VEDA'!AR52</f>
        <v>7.760074694295524E-2</v>
      </c>
      <c r="S51" s="9">
        <f>'distHeat for VEDA'!AS52</f>
        <v>0</v>
      </c>
      <c r="T51" s="9">
        <f>'distHeat for VEDA'!AT52</f>
        <v>0</v>
      </c>
      <c r="U51" s="9">
        <f>'distHeat for VEDA'!AU52</f>
        <v>0</v>
      </c>
      <c r="V51" s="9">
        <f>'distHeat for VEDA'!AV52</f>
        <v>0</v>
      </c>
      <c r="W51" s="9">
        <f>'distHeat for VEDA'!AW52</f>
        <v>0</v>
      </c>
      <c r="X51" s="9">
        <f>'distHeat for VEDA'!AX52</f>
        <v>0</v>
      </c>
      <c r="Y51" s="9">
        <f>'distHeat for VEDA'!AY52</f>
        <v>0</v>
      </c>
      <c r="Z51" s="9">
        <f>'distHeat for VEDA'!AZ52</f>
        <v>0</v>
      </c>
      <c r="AA51" s="9">
        <f>'distHeat for VEDA'!BA52</f>
        <v>0</v>
      </c>
      <c r="AB51" s="9">
        <f>'distHeat for VEDA'!BB52</f>
        <v>0</v>
      </c>
      <c r="AC51" s="9">
        <f>'distHeat for VEDA'!BC52</f>
        <v>0.13349763811871021</v>
      </c>
      <c r="AD51" s="9">
        <f>'distHeat for VEDA'!BD52</f>
        <v>9.4661253226247801E-4</v>
      </c>
      <c r="AE51" s="9">
        <f>'distHeat for VEDA'!BE52</f>
        <v>5.2018310445276742E-4</v>
      </c>
      <c r="AF51" s="9">
        <f>'distHeat for VEDA'!BF52</f>
        <v>0</v>
      </c>
      <c r="AG51" s="9">
        <f>'distHeat for VEDA'!BG52</f>
        <v>2.6393352538590913E-2</v>
      </c>
      <c r="AH51" s="9">
        <f>'distHeat for VEDA'!BH52</f>
        <v>0</v>
      </c>
      <c r="AI51" s="9">
        <f>'distHeat for VEDA'!BI52</f>
        <v>1.1662645064920145E-2</v>
      </c>
      <c r="AJ51" s="9">
        <f>'distHeat for VEDA'!BJ52</f>
        <v>1.0820322373665689E-2</v>
      </c>
    </row>
    <row r="52" spans="5:36" x14ac:dyDescent="0.25">
      <c r="E52" s="8">
        <f>'distHeat for VEDA'!AH53</f>
        <v>2012</v>
      </c>
      <c r="G52" t="str">
        <f>'distHeat for VEDA'!AG53</f>
        <v>ELCSOL</v>
      </c>
      <c r="J52" s="9">
        <f>'distHeat for VEDA'!AJ53</f>
        <v>1.6025641025641027E-3</v>
      </c>
      <c r="K52" s="9">
        <f>'distHeat for VEDA'!AK53</f>
        <v>0</v>
      </c>
      <c r="L52" s="9">
        <f>'distHeat for VEDA'!AL53</f>
        <v>0</v>
      </c>
      <c r="M52" s="9">
        <f>'distHeat for VEDA'!AM53</f>
        <v>0</v>
      </c>
      <c r="N52" s="9">
        <f>'distHeat for VEDA'!AN53</f>
        <v>5.5668297916487428E-5</v>
      </c>
      <c r="O52" s="9">
        <f>'distHeat for VEDA'!AO53</f>
        <v>9.1098729898867192E-3</v>
      </c>
      <c r="P52" s="9">
        <f>'distHeat for VEDA'!AP53</f>
        <v>0</v>
      </c>
      <c r="Q52" s="9">
        <f>'distHeat for VEDA'!AQ53</f>
        <v>0</v>
      </c>
      <c r="R52" s="9">
        <f>'distHeat for VEDA'!AR53</f>
        <v>0</v>
      </c>
      <c r="S52" s="9">
        <f>'distHeat for VEDA'!AS53</f>
        <v>0</v>
      </c>
      <c r="T52" s="9">
        <f>'distHeat for VEDA'!AT53</f>
        <v>1.8276189779954676E-4</v>
      </c>
      <c r="U52" s="9">
        <f>'distHeat for VEDA'!AU53</f>
        <v>0</v>
      </c>
      <c r="V52" s="9">
        <f>'distHeat for VEDA'!AV53</f>
        <v>1.8950161076369148E-4</v>
      </c>
      <c r="W52" s="9">
        <f>'distHeat for VEDA'!AW53</f>
        <v>0</v>
      </c>
      <c r="X52" s="9">
        <f>'distHeat for VEDA'!AX53</f>
        <v>0</v>
      </c>
      <c r="Y52" s="9">
        <f>'distHeat for VEDA'!AY53</f>
        <v>0</v>
      </c>
      <c r="Z52" s="9">
        <f>'distHeat for VEDA'!AZ53</f>
        <v>0</v>
      </c>
      <c r="AA52" s="9">
        <f>'distHeat for VEDA'!BA53</f>
        <v>0</v>
      </c>
      <c r="AB52" s="9">
        <f>'distHeat for VEDA'!BB53</f>
        <v>0</v>
      </c>
      <c r="AC52" s="9">
        <f>'distHeat for VEDA'!BC53</f>
        <v>0</v>
      </c>
      <c r="AD52" s="9">
        <f>'distHeat for VEDA'!BD53</f>
        <v>0</v>
      </c>
      <c r="AE52" s="9">
        <f>'distHeat for VEDA'!BE53</f>
        <v>0</v>
      </c>
      <c r="AF52" s="9">
        <f>'distHeat for VEDA'!BF53</f>
        <v>0</v>
      </c>
      <c r="AG52" s="9">
        <f>'distHeat for VEDA'!BG53</f>
        <v>0</v>
      </c>
      <c r="AH52" s="9">
        <f>'distHeat for VEDA'!BH53</f>
        <v>0</v>
      </c>
      <c r="AI52" s="9">
        <f>'distHeat for VEDA'!BI53</f>
        <v>1.1490290704354821E-4</v>
      </c>
      <c r="AJ52" s="9">
        <f>'distHeat for VEDA'!BJ53</f>
        <v>0</v>
      </c>
    </row>
    <row r="53" spans="5:36" x14ac:dyDescent="0.25">
      <c r="E53" s="8">
        <f>'distHeat for VEDA'!AH54</f>
        <v>2012</v>
      </c>
      <c r="G53" t="str">
        <f>'distHeat for VEDA'!AG54</f>
        <v>ELCWOO</v>
      </c>
      <c r="J53" s="9">
        <f>'distHeat for VEDA'!AJ54</f>
        <v>0.57224257224257224</v>
      </c>
      <c r="K53" s="9">
        <f>'distHeat for VEDA'!AK54</f>
        <v>0.29016393442622951</v>
      </c>
      <c r="L53" s="9">
        <f>'distHeat for VEDA'!AL54</f>
        <v>1.4090857851425994E-2</v>
      </c>
      <c r="M53" s="9">
        <f>'distHeat for VEDA'!AM54</f>
        <v>3.6278525453481571E-2</v>
      </c>
      <c r="N53" s="9">
        <f>'distHeat for VEDA'!AN54</f>
        <v>0.19864270568170894</v>
      </c>
      <c r="O53" s="9">
        <f>'distHeat for VEDA'!AO54</f>
        <v>0.54593224366929838</v>
      </c>
      <c r="P53" s="9">
        <f>'distHeat for VEDA'!AP54</f>
        <v>0.21523992732713476</v>
      </c>
      <c r="Q53" s="9">
        <f>'distHeat for VEDA'!AQ54</f>
        <v>0.3949604670065765</v>
      </c>
      <c r="R53" s="9">
        <f>'distHeat for VEDA'!AR54</f>
        <v>0.19584663574483466</v>
      </c>
      <c r="S53" s="9">
        <f>'distHeat for VEDA'!AS54</f>
        <v>0</v>
      </c>
      <c r="T53" s="9">
        <f>'distHeat for VEDA'!AT54</f>
        <v>3.0301922655164848E-2</v>
      </c>
      <c r="U53" s="9">
        <f>'distHeat for VEDA'!AU54</f>
        <v>0</v>
      </c>
      <c r="V53" s="9">
        <f>'distHeat for VEDA'!AV54</f>
        <v>0.7534584043964373</v>
      </c>
      <c r="W53" s="9">
        <f>'distHeat for VEDA'!AW54</f>
        <v>0.46182309115455777</v>
      </c>
      <c r="X53" s="9">
        <f>'distHeat for VEDA'!AX54</f>
        <v>0.5730337078651685</v>
      </c>
      <c r="Y53" s="9">
        <f>'distHeat for VEDA'!AY54</f>
        <v>0.46823697359029265</v>
      </c>
      <c r="Z53" s="9">
        <f>'distHeat for VEDA'!AZ54</f>
        <v>5.742821473158552E-2</v>
      </c>
      <c r="AA53" s="9">
        <f>'distHeat for VEDA'!BA54</f>
        <v>0</v>
      </c>
      <c r="AB53" s="9">
        <f>'distHeat for VEDA'!BB54</f>
        <v>1.1657374556512923E-3</v>
      </c>
      <c r="AC53" s="9">
        <f>'distHeat for VEDA'!BC54</f>
        <v>0.50051345245430279</v>
      </c>
      <c r="AD53" s="9">
        <f>'distHeat for VEDA'!BD54</f>
        <v>1.2572197694111035E-2</v>
      </c>
      <c r="AE53" s="9">
        <f>'distHeat for VEDA'!BE54</f>
        <v>0.1024240532667499</v>
      </c>
      <c r="AF53" s="9">
        <f>'distHeat for VEDA'!BF54</f>
        <v>2.4231560778065456E-3</v>
      </c>
      <c r="AG53" s="9">
        <f>'distHeat for VEDA'!BG54</f>
        <v>0.7694236757530849</v>
      </c>
      <c r="AH53" s="9">
        <f>'distHeat for VEDA'!BH54</f>
        <v>0.15938697318007664</v>
      </c>
      <c r="AI53" s="9">
        <f>'distHeat for VEDA'!BI54</f>
        <v>0.17264161783293117</v>
      </c>
      <c r="AJ53" s="9">
        <f>'distHeat for VEDA'!BJ54</f>
        <v>3.4765024984931267E-2</v>
      </c>
    </row>
    <row r="54" spans="5:36" x14ac:dyDescent="0.25">
      <c r="E54" s="8">
        <f>'distHeat for VEDA'!AH55</f>
        <v>2013</v>
      </c>
      <c r="G54" t="str">
        <f>'distHeat for VEDA'!AG55</f>
        <v>ELCCOH</v>
      </c>
      <c r="J54" s="9">
        <f>'distHeat for VEDA'!AJ55</f>
        <v>0</v>
      </c>
      <c r="K54" s="9">
        <f>'distHeat for VEDA'!AK55</f>
        <v>0</v>
      </c>
      <c r="L54" s="9">
        <f>'distHeat for VEDA'!AL55</f>
        <v>3.5425255764238814E-2</v>
      </c>
      <c r="M54" s="9">
        <f>'distHeat for VEDA'!AM55</f>
        <v>9.0171616948385644E-2</v>
      </c>
      <c r="N54" s="9">
        <f>'distHeat for VEDA'!AN55</f>
        <v>9.4359749322192113E-2</v>
      </c>
      <c r="O54" s="9">
        <f>'distHeat for VEDA'!AO55</f>
        <v>2.6090197540067092E-3</v>
      </c>
      <c r="P54" s="9">
        <f>'distHeat for VEDA'!AP55</f>
        <v>3.5617131650534567E-2</v>
      </c>
      <c r="Q54" s="9">
        <f>'distHeat for VEDA'!AQ55</f>
        <v>0.18527609439008702</v>
      </c>
      <c r="R54" s="9">
        <f>'distHeat for VEDA'!AR55</f>
        <v>0.14475493664801933</v>
      </c>
      <c r="S54" s="9">
        <f>'distHeat for VEDA'!AS55</f>
        <v>0</v>
      </c>
      <c r="T54" s="9">
        <f>'distHeat for VEDA'!AT55</f>
        <v>3.1975705609146129E-2</v>
      </c>
      <c r="U54" s="9">
        <f>'distHeat for VEDA'!AU55</f>
        <v>0</v>
      </c>
      <c r="V54" s="9">
        <f>'distHeat for VEDA'!AV55</f>
        <v>0</v>
      </c>
      <c r="W54" s="9">
        <f>'distHeat for VEDA'!AW55</f>
        <v>3.0017491395361962E-2</v>
      </c>
      <c r="X54" s="9">
        <f>'distHeat for VEDA'!AX55</f>
        <v>0</v>
      </c>
      <c r="Y54" s="9">
        <f>'distHeat for VEDA'!AY55</f>
        <v>9.0166244012397853E-3</v>
      </c>
      <c r="Z54" s="9">
        <f>'distHeat for VEDA'!AZ55</f>
        <v>8.2085948816996615E-2</v>
      </c>
      <c r="AA54" s="9">
        <f>'distHeat for VEDA'!BA55</f>
        <v>0</v>
      </c>
      <c r="AB54" s="9">
        <f>'distHeat for VEDA'!BB55</f>
        <v>0</v>
      </c>
      <c r="AC54" s="9">
        <f>'distHeat for VEDA'!BC55</f>
        <v>0</v>
      </c>
      <c r="AD54" s="9">
        <f>'distHeat for VEDA'!BD55</f>
        <v>0.89181151735903008</v>
      </c>
      <c r="AE54" s="9">
        <f>'distHeat for VEDA'!BE55</f>
        <v>7.9245912579245913E-3</v>
      </c>
      <c r="AF54" s="9">
        <f>'distHeat for VEDA'!BF55</f>
        <v>0.22866082195352475</v>
      </c>
      <c r="AG54" s="9">
        <f>'distHeat for VEDA'!BG55</f>
        <v>3.3785034618090265E-2</v>
      </c>
      <c r="AH54" s="9">
        <f>'distHeat for VEDA'!BH55</f>
        <v>0</v>
      </c>
      <c r="AI54" s="9">
        <f>'distHeat for VEDA'!BI55</f>
        <v>9.0771558245083227E-3</v>
      </c>
      <c r="AJ54" s="9">
        <f>'distHeat for VEDA'!BJ55</f>
        <v>0.15113153897090328</v>
      </c>
    </row>
    <row r="55" spans="5:36" x14ac:dyDescent="0.25">
      <c r="E55" s="8">
        <f>'distHeat for VEDA'!AH56</f>
        <v>2013</v>
      </c>
      <c r="G55" t="str">
        <f>'distHeat for VEDA'!AG56</f>
        <v>ELCGAS</v>
      </c>
      <c r="J55" s="9">
        <f>'distHeat for VEDA'!AJ56</f>
        <v>0.34882682089622419</v>
      </c>
      <c r="K55" s="9">
        <f>'distHeat for VEDA'!AK56</f>
        <v>0.12908777969018934</v>
      </c>
      <c r="L55" s="9">
        <f>'distHeat for VEDA'!AL56</f>
        <v>0.93250877996640702</v>
      </c>
      <c r="M55" s="9">
        <f>'distHeat for VEDA'!AM56</f>
        <v>0.84389644807860131</v>
      </c>
      <c r="N55" s="9">
        <f>'distHeat for VEDA'!AN56</f>
        <v>0.56603626827859022</v>
      </c>
      <c r="O55" s="9">
        <f>'distHeat for VEDA'!AO56</f>
        <v>0.34178158777487888</v>
      </c>
      <c r="P55" s="9">
        <f>'distHeat for VEDA'!AP56</f>
        <v>0.65477320174606179</v>
      </c>
      <c r="Q55" s="9">
        <f>'distHeat for VEDA'!AQ56</f>
        <v>0.23853133358160949</v>
      </c>
      <c r="R55" s="9">
        <f>'distHeat for VEDA'!AR56</f>
        <v>0.40574640515894739</v>
      </c>
      <c r="S55" s="9">
        <f>'distHeat for VEDA'!AS56</f>
        <v>0.88726830750531749</v>
      </c>
      <c r="T55" s="9">
        <f>'distHeat for VEDA'!AT56</f>
        <v>0.87220435869953561</v>
      </c>
      <c r="U55" s="9">
        <f>'distHeat for VEDA'!AU56</f>
        <v>0</v>
      </c>
      <c r="V55" s="9">
        <f>'distHeat for VEDA'!AV56</f>
        <v>0</v>
      </c>
      <c r="W55" s="9">
        <f>'distHeat for VEDA'!AW56</f>
        <v>0.44213733566551944</v>
      </c>
      <c r="X55" s="9">
        <f>'distHeat for VEDA'!AX56</f>
        <v>0.5</v>
      </c>
      <c r="Y55" s="9">
        <f>'distHeat for VEDA'!AY56</f>
        <v>0.41917911148680381</v>
      </c>
      <c r="Z55" s="9">
        <f>'distHeat for VEDA'!AZ56</f>
        <v>0.84234669241912108</v>
      </c>
      <c r="AA55" s="9">
        <f>'distHeat for VEDA'!BA56</f>
        <v>0.93605115907274195</v>
      </c>
      <c r="AB55" s="9">
        <f>'distHeat for VEDA'!BB56</f>
        <v>0.46417117418984249</v>
      </c>
      <c r="AC55" s="9">
        <f>'distHeat for VEDA'!BC56</f>
        <v>3.636241430299772E-2</v>
      </c>
      <c r="AD55" s="9">
        <f>'distHeat for VEDA'!BD56</f>
        <v>8.6264926921480953E-2</v>
      </c>
      <c r="AE55" s="9">
        <f>'distHeat for VEDA'!BE56</f>
        <v>0.80772439105772442</v>
      </c>
      <c r="AF55" s="9">
        <f>'distHeat for VEDA'!BF56</f>
        <v>0.60642701170029001</v>
      </c>
      <c r="AG55" s="9">
        <f>'distHeat for VEDA'!BG56</f>
        <v>1.6568551223666187E-2</v>
      </c>
      <c r="AH55" s="9">
        <f>'distHeat for VEDA'!BH56</f>
        <v>0.70226130653266339</v>
      </c>
      <c r="AI55" s="9">
        <f>'distHeat for VEDA'!BI56</f>
        <v>0.76366506610537388</v>
      </c>
      <c r="AJ55" s="9">
        <f>'distHeat for VEDA'!BJ56</f>
        <v>0.79964359443773625</v>
      </c>
    </row>
    <row r="56" spans="5:36" x14ac:dyDescent="0.25">
      <c r="E56" s="8">
        <f>'distHeat for VEDA'!AH57</f>
        <v>2013</v>
      </c>
      <c r="G56" t="str">
        <f>'distHeat for VEDA'!AG57</f>
        <v>ELCGEO</v>
      </c>
      <c r="J56" s="9">
        <f>'distHeat for VEDA'!AJ57</f>
        <v>2.7907086095829221E-2</v>
      </c>
      <c r="K56" s="9">
        <f>'distHeat for VEDA'!AK57</f>
        <v>0.23407917383821</v>
      </c>
      <c r="L56" s="9">
        <f>'distHeat for VEDA'!AL57</f>
        <v>0</v>
      </c>
      <c r="M56" s="9">
        <f>'distHeat for VEDA'!AM57</f>
        <v>0</v>
      </c>
      <c r="N56" s="9">
        <f>'distHeat for VEDA'!AN57</f>
        <v>2.294546424285524E-3</v>
      </c>
      <c r="O56" s="9">
        <f>'distHeat for VEDA'!AO57</f>
        <v>6.0965869761993507E-3</v>
      </c>
      <c r="P56" s="9">
        <f>'distHeat for VEDA'!AP57</f>
        <v>0</v>
      </c>
      <c r="Q56" s="9">
        <f>'distHeat for VEDA'!AQ57</f>
        <v>0</v>
      </c>
      <c r="R56" s="9">
        <f>'distHeat for VEDA'!AR57</f>
        <v>0.10357948704255063</v>
      </c>
      <c r="S56" s="9">
        <f>'distHeat for VEDA'!AS57</f>
        <v>0</v>
      </c>
      <c r="T56" s="9">
        <f>'distHeat for VEDA'!AT57</f>
        <v>2.1936405859235442E-2</v>
      </c>
      <c r="U56" s="9">
        <f>'distHeat for VEDA'!AU57</f>
        <v>0.97267139109666811</v>
      </c>
      <c r="V56" s="9">
        <f>'distHeat for VEDA'!AV57</f>
        <v>0.24496328375070608</v>
      </c>
      <c r="W56" s="9">
        <f>'distHeat for VEDA'!AW57</f>
        <v>3.9496699204423632E-3</v>
      </c>
      <c r="X56" s="9">
        <f>'distHeat for VEDA'!AX57</f>
        <v>0</v>
      </c>
      <c r="Y56" s="9">
        <f>'distHeat for VEDA'!AY57</f>
        <v>0</v>
      </c>
      <c r="Z56" s="9">
        <f>'distHeat for VEDA'!AZ57</f>
        <v>0</v>
      </c>
      <c r="AA56" s="9">
        <f>'distHeat for VEDA'!BA57</f>
        <v>0</v>
      </c>
      <c r="AB56" s="9">
        <f>'distHeat for VEDA'!BB57</f>
        <v>0</v>
      </c>
      <c r="AC56" s="9">
        <f>'distHeat for VEDA'!BC57</f>
        <v>0</v>
      </c>
      <c r="AD56" s="9">
        <f>'distHeat for VEDA'!BD57</f>
        <v>0</v>
      </c>
      <c r="AE56" s="9">
        <f>'distHeat for VEDA'!BE57</f>
        <v>7.0904237570904244E-4</v>
      </c>
      <c r="AF56" s="9">
        <f>'distHeat for VEDA'!BF57</f>
        <v>0</v>
      </c>
      <c r="AG56" s="9">
        <f>'distHeat for VEDA'!BG57</f>
        <v>0</v>
      </c>
      <c r="AH56" s="9">
        <f>'distHeat for VEDA'!BH57</f>
        <v>3.2663316582914576E-2</v>
      </c>
      <c r="AI56" s="9">
        <f>'distHeat for VEDA'!BI57</f>
        <v>1.3418404262316648E-2</v>
      </c>
      <c r="AJ56" s="9">
        <f>'distHeat for VEDA'!BJ57</f>
        <v>0</v>
      </c>
    </row>
    <row r="57" spans="5:36" x14ac:dyDescent="0.25">
      <c r="E57" s="8">
        <f>'distHeat for VEDA'!AH58</f>
        <v>2013</v>
      </c>
      <c r="G57" t="str">
        <f>'distHeat for VEDA'!AG58</f>
        <v>ELCHFO</v>
      </c>
      <c r="J57" s="9">
        <f>'distHeat for VEDA'!AJ58</f>
        <v>3.2044952273475341E-2</v>
      </c>
      <c r="K57" s="9">
        <f>'distHeat for VEDA'!AK58</f>
        <v>0</v>
      </c>
      <c r="L57" s="9">
        <f>'distHeat for VEDA'!AL58</f>
        <v>2.3973125668040923E-2</v>
      </c>
      <c r="M57" s="9">
        <f>'distHeat for VEDA'!AM58</f>
        <v>1.1828964803981773E-2</v>
      </c>
      <c r="N57" s="9">
        <f>'distHeat for VEDA'!AN58</f>
        <v>3.1795857593670832E-2</v>
      </c>
      <c r="O57" s="9">
        <f>'distHeat for VEDA'!AO58</f>
        <v>4.0626164740961611E-2</v>
      </c>
      <c r="P57" s="9">
        <f>'distHeat for VEDA'!AP58</f>
        <v>4.0488391219080155E-2</v>
      </c>
      <c r="Q57" s="9">
        <f>'distHeat for VEDA'!AQ58</f>
        <v>9.967159833429258E-2</v>
      </c>
      <c r="R57" s="9">
        <f>'distHeat for VEDA'!AR58</f>
        <v>8.0975713961468118E-2</v>
      </c>
      <c r="S57" s="9">
        <f>'distHeat for VEDA'!AS58</f>
        <v>0.11273169249468247</v>
      </c>
      <c r="T57" s="9">
        <f>'distHeat for VEDA'!AT58</f>
        <v>7.4312254376563058E-3</v>
      </c>
      <c r="U57" s="9">
        <f>'distHeat for VEDA'!AU58</f>
        <v>0</v>
      </c>
      <c r="V57" s="9">
        <f>'distHeat for VEDA'!AV58</f>
        <v>0</v>
      </c>
      <c r="W57" s="9">
        <f>'distHeat for VEDA'!AW58</f>
        <v>2.7986232579134459E-2</v>
      </c>
      <c r="X57" s="9">
        <f>'distHeat for VEDA'!AX58</f>
        <v>0</v>
      </c>
      <c r="Y57" s="9">
        <f>'distHeat for VEDA'!AY58</f>
        <v>7.9834695219310609E-3</v>
      </c>
      <c r="Z57" s="9">
        <f>'distHeat for VEDA'!AZ58</f>
        <v>1.0381458232737806E-2</v>
      </c>
      <c r="AA57" s="9">
        <f>'distHeat for VEDA'!BA58</f>
        <v>6.3948840927258194E-2</v>
      </c>
      <c r="AB57" s="9">
        <f>'distHeat for VEDA'!BB58</f>
        <v>0.53219089560097654</v>
      </c>
      <c r="AC57" s="9">
        <f>'distHeat for VEDA'!BC58</f>
        <v>5.6257561500201635E-2</v>
      </c>
      <c r="AD57" s="9">
        <f>'distHeat for VEDA'!BD58</f>
        <v>5.786343307667482E-3</v>
      </c>
      <c r="AE57" s="9">
        <f>'distHeat for VEDA'!BE58</f>
        <v>0.11140306973640307</v>
      </c>
      <c r="AF57" s="9">
        <f>'distHeat for VEDA'!BF58</f>
        <v>0.16237004204282501</v>
      </c>
      <c r="AG57" s="9">
        <f>'distHeat for VEDA'!BG58</f>
        <v>4.4836906216446371E-2</v>
      </c>
      <c r="AH57" s="9">
        <f>'distHeat for VEDA'!BH58</f>
        <v>0.10469011725293133</v>
      </c>
      <c r="AI57" s="9">
        <f>'distHeat for VEDA'!BI58</f>
        <v>0</v>
      </c>
      <c r="AJ57" s="9">
        <f>'distHeat for VEDA'!BJ58</f>
        <v>2.5892961477038134E-2</v>
      </c>
    </row>
    <row r="58" spans="5:36" x14ac:dyDescent="0.25">
      <c r="E58" s="8">
        <f>'distHeat for VEDA'!AH59</f>
        <v>2013</v>
      </c>
      <c r="G58" t="str">
        <f>'distHeat for VEDA'!AG59</f>
        <v>ELCMUN</v>
      </c>
      <c r="J58" s="9">
        <f>'distHeat for VEDA'!AJ59</f>
        <v>3.5689095782197776E-2</v>
      </c>
      <c r="K58" s="9">
        <f>'distHeat for VEDA'!AK59</f>
        <v>0.33218588640275393</v>
      </c>
      <c r="L58" s="9">
        <f>'distHeat for VEDA'!AL59</f>
        <v>0</v>
      </c>
      <c r="M58" s="9">
        <f>'distHeat for VEDA'!AM59</f>
        <v>1.1570408196244466E-2</v>
      </c>
      <c r="N58" s="9">
        <f>'distHeat for VEDA'!AN59</f>
        <v>0.12078870172007646</v>
      </c>
      <c r="O58" s="9">
        <f>'distHeat for VEDA'!AO59</f>
        <v>3.8123635589159259E-2</v>
      </c>
      <c r="P58" s="9">
        <f>'distHeat for VEDA'!AP59</f>
        <v>0</v>
      </c>
      <c r="Q58" s="9">
        <f>'distHeat for VEDA'!AQ59</f>
        <v>5.5015742966448861E-3</v>
      </c>
      <c r="R58" s="9">
        <f>'distHeat for VEDA'!AR59</f>
        <v>6.2363983497777012E-2</v>
      </c>
      <c r="S58" s="9">
        <f>'distHeat for VEDA'!AS59</f>
        <v>0</v>
      </c>
      <c r="T58" s="9">
        <f>'distHeat for VEDA'!AT59</f>
        <v>0</v>
      </c>
      <c r="U58" s="9">
        <f>'distHeat for VEDA'!AU59</f>
        <v>0</v>
      </c>
      <c r="V58" s="9">
        <f>'distHeat for VEDA'!AV59</f>
        <v>0</v>
      </c>
      <c r="W58" s="9">
        <f>'distHeat for VEDA'!AW59</f>
        <v>0</v>
      </c>
      <c r="X58" s="9">
        <f>'distHeat for VEDA'!AX59</f>
        <v>0</v>
      </c>
      <c r="Y58" s="9">
        <f>'distHeat for VEDA'!AY59</f>
        <v>0</v>
      </c>
      <c r="Z58" s="9">
        <f>'distHeat for VEDA'!AZ59</f>
        <v>0</v>
      </c>
      <c r="AA58" s="9">
        <f>'distHeat for VEDA'!BA59</f>
        <v>0</v>
      </c>
      <c r="AB58" s="9">
        <f>'distHeat for VEDA'!BB59</f>
        <v>0</v>
      </c>
      <c r="AC58" s="9">
        <f>'distHeat for VEDA'!BC59</f>
        <v>0.13980373706143298</v>
      </c>
      <c r="AD58" s="9">
        <f>'distHeat for VEDA'!BD59</f>
        <v>6.8391043078672761E-4</v>
      </c>
      <c r="AE58" s="9">
        <f>'distHeat for VEDA'!BE59</f>
        <v>8.7587587587587598E-4</v>
      </c>
      <c r="AF58" s="9">
        <f>'distHeat for VEDA'!BF59</f>
        <v>0</v>
      </c>
      <c r="AG58" s="9">
        <f>'distHeat for VEDA'!BG59</f>
        <v>2.7694472212966049E-2</v>
      </c>
      <c r="AH58" s="9">
        <f>'distHeat for VEDA'!BH59</f>
        <v>0</v>
      </c>
      <c r="AI58" s="9">
        <f>'distHeat for VEDA'!BI59</f>
        <v>1.433927514306387E-2</v>
      </c>
      <c r="AJ58" s="9">
        <f>'distHeat for VEDA'!BJ59</f>
        <v>9.6794297511003779E-3</v>
      </c>
    </row>
    <row r="59" spans="5:36" x14ac:dyDescent="0.25">
      <c r="E59" s="8">
        <f>'distHeat for VEDA'!AH60</f>
        <v>2013</v>
      </c>
      <c r="G59" t="str">
        <f>'distHeat for VEDA'!AG60</f>
        <v>ELCSOL</v>
      </c>
      <c r="J59" s="9">
        <f>'distHeat for VEDA'!AJ60</f>
        <v>1.4811680067710537E-3</v>
      </c>
      <c r="K59" s="9">
        <f>'distHeat for VEDA'!AK60</f>
        <v>0</v>
      </c>
      <c r="L59" s="9">
        <f>'distHeat for VEDA'!AL60</f>
        <v>0</v>
      </c>
      <c r="M59" s="9">
        <f>'distHeat for VEDA'!AM60</f>
        <v>0</v>
      </c>
      <c r="N59" s="9">
        <f>'distHeat for VEDA'!AN60</f>
        <v>5.5558024801102277E-6</v>
      </c>
      <c r="O59" s="9">
        <f>'distHeat for VEDA'!AO60</f>
        <v>1.2645759011767212E-2</v>
      </c>
      <c r="P59" s="9">
        <f>'distHeat for VEDA'!AP60</f>
        <v>0</v>
      </c>
      <c r="Q59" s="9">
        <f>'distHeat for VEDA'!AQ60</f>
        <v>0</v>
      </c>
      <c r="R59" s="9">
        <f>'distHeat for VEDA'!AR60</f>
        <v>0</v>
      </c>
      <c r="S59" s="9">
        <f>'distHeat for VEDA'!AS60</f>
        <v>0</v>
      </c>
      <c r="T59" s="9">
        <f>'distHeat for VEDA'!AT60</f>
        <v>0</v>
      </c>
      <c r="U59" s="9">
        <f>'distHeat for VEDA'!AU60</f>
        <v>0</v>
      </c>
      <c r="V59" s="9">
        <f>'distHeat for VEDA'!AV60</f>
        <v>3.7657691583505931E-4</v>
      </c>
      <c r="W59" s="9">
        <f>'distHeat for VEDA'!AW60</f>
        <v>0</v>
      </c>
      <c r="X59" s="9">
        <f>'distHeat for VEDA'!AX60</f>
        <v>0</v>
      </c>
      <c r="Y59" s="9">
        <f>'distHeat for VEDA'!AY60</f>
        <v>0</v>
      </c>
      <c r="Z59" s="9">
        <f>'distHeat for VEDA'!AZ60</f>
        <v>0</v>
      </c>
      <c r="AA59" s="9">
        <f>'distHeat for VEDA'!BA60</f>
        <v>0</v>
      </c>
      <c r="AB59" s="9">
        <f>'distHeat for VEDA'!BB60</f>
        <v>0</v>
      </c>
      <c r="AC59" s="9">
        <f>'distHeat for VEDA'!BC60</f>
        <v>0</v>
      </c>
      <c r="AD59" s="9">
        <f>'distHeat for VEDA'!BD60</f>
        <v>0</v>
      </c>
      <c r="AE59" s="9">
        <f>'distHeat for VEDA'!BE60</f>
        <v>0</v>
      </c>
      <c r="AF59" s="9">
        <f>'distHeat for VEDA'!BF60</f>
        <v>0</v>
      </c>
      <c r="AG59" s="9">
        <f>'distHeat for VEDA'!BG60</f>
        <v>0</v>
      </c>
      <c r="AH59" s="9">
        <f>'distHeat for VEDA'!BH60</f>
        <v>0</v>
      </c>
      <c r="AI59" s="9">
        <f>'distHeat for VEDA'!BI60</f>
        <v>6.5776491481944351E-5</v>
      </c>
      <c r="AJ59" s="9">
        <f>'distHeat for VEDA'!BJ60</f>
        <v>0</v>
      </c>
    </row>
    <row r="60" spans="5:36" x14ac:dyDescent="0.25">
      <c r="E60" s="8">
        <f>'distHeat for VEDA'!AH61</f>
        <v>2013</v>
      </c>
      <c r="G60" t="str">
        <f>'distHeat for VEDA'!AG61</f>
        <v>ELCWOO</v>
      </c>
      <c r="J60" s="9">
        <f>'distHeat for VEDA'!AJ61</f>
        <v>0.55404617482484597</v>
      </c>
      <c r="K60" s="9">
        <f>'distHeat for VEDA'!AK61</f>
        <v>0.30464716006884685</v>
      </c>
      <c r="L60" s="9">
        <f>'distHeat for VEDA'!AL61</f>
        <v>8.0928386013131761E-3</v>
      </c>
      <c r="M60" s="9">
        <f>'distHeat for VEDA'!AM61</f>
        <v>4.159529426973918E-2</v>
      </c>
      <c r="N60" s="9">
        <f>'distHeat for VEDA'!AN61</f>
        <v>0.18471987643895285</v>
      </c>
      <c r="O60" s="9">
        <f>'distHeat for VEDA'!AO61</f>
        <v>0.54327245620573994</v>
      </c>
      <c r="P60" s="9">
        <f>'distHeat for VEDA'!AP61</f>
        <v>0.26912127538432334</v>
      </c>
      <c r="Q60" s="9">
        <f>'distHeat for VEDA'!AQ61</f>
        <v>0.45949656363205477</v>
      </c>
      <c r="R60" s="9">
        <f>'distHeat for VEDA'!AR61</f>
        <v>0.20228574480300138</v>
      </c>
      <c r="S60" s="9">
        <f>'distHeat for VEDA'!AS61</f>
        <v>0</v>
      </c>
      <c r="T60" s="9">
        <f>'distHeat for VEDA'!AT61</f>
        <v>6.6452304394426592E-2</v>
      </c>
      <c r="U60" s="9">
        <f>'distHeat for VEDA'!AU61</f>
        <v>0</v>
      </c>
      <c r="V60" s="9">
        <f>'distHeat for VEDA'!AV61</f>
        <v>0.75462248164187529</v>
      </c>
      <c r="W60" s="9">
        <f>'distHeat for VEDA'!AW61</f>
        <v>0.49528860802347235</v>
      </c>
      <c r="X60" s="9">
        <f>'distHeat for VEDA'!AX61</f>
        <v>0.5</v>
      </c>
      <c r="Y60" s="9">
        <f>'distHeat for VEDA'!AY61</f>
        <v>0.56241194702733166</v>
      </c>
      <c r="Z60" s="9">
        <f>'distHeat for VEDA'!AZ61</f>
        <v>6.4944471269917911E-2</v>
      </c>
      <c r="AA60" s="9">
        <f>'distHeat for VEDA'!BA61</f>
        <v>0</v>
      </c>
      <c r="AB60" s="9">
        <f>'distHeat for VEDA'!BB61</f>
        <v>3.6379302091809874E-3</v>
      </c>
      <c r="AC60" s="9">
        <f>'distHeat for VEDA'!BC61</f>
        <v>0.52558139534883719</v>
      </c>
      <c r="AD60" s="9">
        <f>'distHeat for VEDA'!BD61</f>
        <v>1.5445617594172161E-2</v>
      </c>
      <c r="AE60" s="9">
        <f>'distHeat for VEDA'!BE61</f>
        <v>7.1363029696363031E-2</v>
      </c>
      <c r="AF60" s="9">
        <f>'distHeat for VEDA'!BF61</f>
        <v>2.5747156405827331E-3</v>
      </c>
      <c r="AG60" s="9">
        <f>'distHeat for VEDA'!BG61</f>
        <v>0.77988818541967486</v>
      </c>
      <c r="AH60" s="9">
        <f>'distHeat for VEDA'!BH61</f>
        <v>0.16038525963149081</v>
      </c>
      <c r="AI60" s="9">
        <f>'distHeat for VEDA'!BI61</f>
        <v>0.19667170953101365</v>
      </c>
      <c r="AJ60" s="9">
        <f>'distHeat for VEDA'!BJ61</f>
        <v>1.3652475363222063E-2</v>
      </c>
    </row>
    <row r="61" spans="5:36" x14ac:dyDescent="0.25">
      <c r="E61" s="8">
        <f>'distHeat for VEDA'!AH62</f>
        <v>2014</v>
      </c>
      <c r="G61" t="str">
        <f>'distHeat for VEDA'!AG62</f>
        <v>ELCCOH</v>
      </c>
      <c r="J61" s="9">
        <f>'distHeat for VEDA'!AJ62</f>
        <v>0</v>
      </c>
      <c r="K61" s="9">
        <f>'distHeat for VEDA'!AK62</f>
        <v>0</v>
      </c>
      <c r="L61" s="9">
        <f>'distHeat for VEDA'!AL62</f>
        <v>3.5588086824835934E-2</v>
      </c>
      <c r="M61" s="9">
        <f>'distHeat for VEDA'!AM62</f>
        <v>8.7592649783817172E-2</v>
      </c>
      <c r="N61" s="9">
        <f>'distHeat for VEDA'!AN62</f>
        <v>9.6491875468959501E-2</v>
      </c>
      <c r="O61" s="9">
        <f>'distHeat for VEDA'!AO62</f>
        <v>1.9158080049707451E-3</v>
      </c>
      <c r="P61" s="9">
        <f>'distHeat for VEDA'!AP62</f>
        <v>4.2977570374830645E-2</v>
      </c>
      <c r="Q61" s="9">
        <f>'distHeat for VEDA'!AQ62</f>
        <v>0.16220003221130616</v>
      </c>
      <c r="R61" s="9">
        <f>'distHeat for VEDA'!AR62</f>
        <v>0.14588777863182167</v>
      </c>
      <c r="S61" s="9">
        <f>'distHeat for VEDA'!AS62</f>
        <v>0</v>
      </c>
      <c r="T61" s="9">
        <f>'distHeat for VEDA'!AT62</f>
        <v>4.2907515187561073E-3</v>
      </c>
      <c r="U61" s="9">
        <f>'distHeat for VEDA'!AU62</f>
        <v>0</v>
      </c>
      <c r="V61" s="9">
        <f>'distHeat for VEDA'!AV62</f>
        <v>0</v>
      </c>
      <c r="W61" s="9">
        <f>'distHeat for VEDA'!AW62</f>
        <v>1.0453497309761721E-2</v>
      </c>
      <c r="X61" s="9">
        <f>'distHeat for VEDA'!AX62</f>
        <v>0</v>
      </c>
      <c r="Y61" s="9">
        <f>'distHeat for VEDA'!AY62</f>
        <v>7.8226857887874826E-3</v>
      </c>
      <c r="Z61" s="9">
        <f>'distHeat for VEDA'!AZ62</f>
        <v>1.9412240496090589E-2</v>
      </c>
      <c r="AA61" s="9">
        <f>'distHeat for VEDA'!BA62</f>
        <v>0</v>
      </c>
      <c r="AB61" s="9">
        <f>'distHeat for VEDA'!BB62</f>
        <v>0</v>
      </c>
      <c r="AC61" s="9">
        <f>'distHeat for VEDA'!BC62</f>
        <v>0</v>
      </c>
      <c r="AD61" s="9">
        <f>'distHeat for VEDA'!BD62</f>
        <v>0.89700886919838374</v>
      </c>
      <c r="AE61" s="9">
        <f>'distHeat for VEDA'!BE62</f>
        <v>1.2736742424242425E-2</v>
      </c>
      <c r="AF61" s="9">
        <f>'distHeat for VEDA'!BF62</f>
        <v>0.15802901641217015</v>
      </c>
      <c r="AG61" s="9">
        <f>'distHeat for VEDA'!BG62</f>
        <v>3.0892562312267509E-2</v>
      </c>
      <c r="AH61" s="9">
        <f>'distHeat for VEDA'!BH62</f>
        <v>3.6764705882352942E-2</v>
      </c>
      <c r="AI61" s="9">
        <f>'distHeat for VEDA'!BI62</f>
        <v>5.5203766845267092E-3</v>
      </c>
      <c r="AJ61" s="9">
        <f>'distHeat for VEDA'!BJ62</f>
        <v>0.12462800802456811</v>
      </c>
    </row>
    <row r="62" spans="5:36" x14ac:dyDescent="0.25">
      <c r="E62" s="8">
        <f>'distHeat for VEDA'!AH63</f>
        <v>2014</v>
      </c>
      <c r="G62" t="str">
        <f>'distHeat for VEDA'!AG63</f>
        <v>ELCGAS</v>
      </c>
      <c r="J62" s="9">
        <f>'distHeat for VEDA'!AJ63</f>
        <v>0.32825399820729351</v>
      </c>
      <c r="K62" s="9">
        <f>'distHeat for VEDA'!AK63</f>
        <v>0.24409448818897636</v>
      </c>
      <c r="L62" s="9">
        <f>'distHeat for VEDA'!AL63</f>
        <v>0.90118626956082781</v>
      </c>
      <c r="M62" s="9">
        <f>'distHeat for VEDA'!AM63</f>
        <v>0.84596973440395307</v>
      </c>
      <c r="N62" s="9">
        <f>'distHeat for VEDA'!AN63</f>
        <v>0.53211065598976592</v>
      </c>
      <c r="O62" s="9">
        <f>'distHeat for VEDA'!AO63</f>
        <v>0.3758867084347331</v>
      </c>
      <c r="P62" s="9">
        <f>'distHeat for VEDA'!AP63</f>
        <v>0.67175974710221298</v>
      </c>
      <c r="Q62" s="9">
        <f>'distHeat for VEDA'!AQ63</f>
        <v>0.24952488323401514</v>
      </c>
      <c r="R62" s="9">
        <f>'distHeat for VEDA'!AR63</f>
        <v>0.35440430438124521</v>
      </c>
      <c r="S62" s="9">
        <f>'distHeat for VEDA'!AS63</f>
        <v>0.90902421129860611</v>
      </c>
      <c r="T62" s="9">
        <f>'distHeat for VEDA'!AT63</f>
        <v>0.86469263775011673</v>
      </c>
      <c r="U62" s="9">
        <f>'distHeat for VEDA'!AU63</f>
        <v>0</v>
      </c>
      <c r="V62" s="9">
        <f>'distHeat for VEDA'!AV63</f>
        <v>0</v>
      </c>
      <c r="W62" s="9">
        <f>'distHeat for VEDA'!AW63</f>
        <v>0.30719959005892905</v>
      </c>
      <c r="X62" s="9">
        <f>'distHeat for VEDA'!AX63</f>
        <v>0.39408866995073888</v>
      </c>
      <c r="Y62" s="9">
        <f>'distHeat for VEDA'!AY63</f>
        <v>0.35734463276836159</v>
      </c>
      <c r="Z62" s="9">
        <f>'distHeat for VEDA'!AZ63</f>
        <v>0.88460501482879483</v>
      </c>
      <c r="AA62" s="9">
        <f>'distHeat for VEDA'!BA63</f>
        <v>1</v>
      </c>
      <c r="AB62" s="9">
        <f>'distHeat for VEDA'!BB63</f>
        <v>0.3269374532768502</v>
      </c>
      <c r="AC62" s="9">
        <f>'distHeat for VEDA'!BC63</f>
        <v>3.2851690294438386E-2</v>
      </c>
      <c r="AD62" s="9">
        <f>'distHeat for VEDA'!BD63</f>
        <v>8.0170098857254193E-2</v>
      </c>
      <c r="AE62" s="9">
        <f>'distHeat for VEDA'!BE63</f>
        <v>0.76387310606060599</v>
      </c>
      <c r="AF62" s="9">
        <f>'distHeat for VEDA'!BF63</f>
        <v>0.67701153802216218</v>
      </c>
      <c r="AG62" s="9">
        <f>'distHeat for VEDA'!BG63</f>
        <v>1.4521294583358197E-2</v>
      </c>
      <c r="AH62" s="9">
        <f>'distHeat for VEDA'!BH63</f>
        <v>0.67058823529411771</v>
      </c>
      <c r="AI62" s="9">
        <f>'distHeat for VEDA'!BI63</f>
        <v>0.78843968176652057</v>
      </c>
      <c r="AJ62" s="9">
        <f>'distHeat for VEDA'!BJ63</f>
        <v>0.8208068303906747</v>
      </c>
    </row>
    <row r="63" spans="5:36" x14ac:dyDescent="0.25">
      <c r="E63" s="8">
        <f>'distHeat for VEDA'!AH64</f>
        <v>2014</v>
      </c>
      <c r="G63" t="str">
        <f>'distHeat for VEDA'!AG64</f>
        <v>ELCGEO</v>
      </c>
      <c r="J63" s="9">
        <f>'distHeat for VEDA'!AJ64</f>
        <v>2.559324432702741E-2</v>
      </c>
      <c r="K63" s="9">
        <f>'distHeat for VEDA'!AK64</f>
        <v>0.1889763779527559</v>
      </c>
      <c r="L63" s="9">
        <f>'distHeat for VEDA'!AL64</f>
        <v>0</v>
      </c>
      <c r="M63" s="9">
        <f>'distHeat for VEDA'!AM64</f>
        <v>0</v>
      </c>
      <c r="N63" s="9">
        <f>'distHeat for VEDA'!AN64</f>
        <v>3.7455256651536956E-3</v>
      </c>
      <c r="O63" s="9">
        <f>'distHeat for VEDA'!AO64</f>
        <v>4.2976233625019421E-3</v>
      </c>
      <c r="P63" s="9">
        <f>'distHeat for VEDA'!AP64</f>
        <v>0</v>
      </c>
      <c r="Q63" s="9">
        <f>'distHeat for VEDA'!AQ64</f>
        <v>0</v>
      </c>
      <c r="R63" s="9">
        <f>'distHeat for VEDA'!AR64</f>
        <v>0.12115295926210608</v>
      </c>
      <c r="S63" s="9">
        <f>'distHeat for VEDA'!AS64</f>
        <v>0</v>
      </c>
      <c r="T63" s="9">
        <f>'distHeat for VEDA'!AT64</f>
        <v>5.7351629211096482E-2</v>
      </c>
      <c r="U63" s="9">
        <f>'distHeat for VEDA'!AU64</f>
        <v>0.97679187552893687</v>
      </c>
      <c r="V63" s="9">
        <f>'distHeat for VEDA'!AV64</f>
        <v>0.30506783719074221</v>
      </c>
      <c r="W63" s="9">
        <f>'distHeat for VEDA'!AW64</f>
        <v>3.9969254419677169E-3</v>
      </c>
      <c r="X63" s="9">
        <f>'distHeat for VEDA'!AX64</f>
        <v>0</v>
      </c>
      <c r="Y63" s="9">
        <f>'distHeat for VEDA'!AY64</f>
        <v>0</v>
      </c>
      <c r="Z63" s="9">
        <f>'distHeat for VEDA'!AZ64</f>
        <v>0</v>
      </c>
      <c r="AA63" s="9">
        <f>'distHeat for VEDA'!BA64</f>
        <v>0</v>
      </c>
      <c r="AB63" s="9">
        <f>'distHeat for VEDA'!BB64</f>
        <v>0</v>
      </c>
      <c r="AC63" s="9">
        <f>'distHeat for VEDA'!BC64</f>
        <v>0</v>
      </c>
      <c r="AD63" s="9">
        <f>'distHeat for VEDA'!BD64</f>
        <v>0</v>
      </c>
      <c r="AE63" s="9">
        <f>'distHeat for VEDA'!BE64</f>
        <v>1.5956439393939394E-2</v>
      </c>
      <c r="AF63" s="9">
        <f>'distHeat for VEDA'!BF64</f>
        <v>0</v>
      </c>
      <c r="AG63" s="9">
        <f>'distHeat for VEDA'!BG64</f>
        <v>0</v>
      </c>
      <c r="AH63" s="9">
        <f>'distHeat for VEDA'!BH64</f>
        <v>3.0392156862745098E-2</v>
      </c>
      <c r="AI63" s="9">
        <f>'distHeat for VEDA'!BI64</f>
        <v>1.948368241597662E-2</v>
      </c>
      <c r="AJ63" s="9">
        <f>'distHeat for VEDA'!BJ64</f>
        <v>0</v>
      </c>
    </row>
    <row r="64" spans="5:36" x14ac:dyDescent="0.25">
      <c r="E64" s="8">
        <f>'distHeat for VEDA'!AH65</f>
        <v>2014</v>
      </c>
      <c r="G64" t="str">
        <f>'distHeat for VEDA'!AG65</f>
        <v>ELCHFO</v>
      </c>
      <c r="J64" s="9">
        <f>'distHeat for VEDA'!AJ65</f>
        <v>3.4132188517243006E-2</v>
      </c>
      <c r="K64" s="9">
        <f>'distHeat for VEDA'!AK65</f>
        <v>0</v>
      </c>
      <c r="L64" s="9">
        <f>'distHeat for VEDA'!AL65</f>
        <v>3.34427057041898E-2</v>
      </c>
      <c r="M64" s="9">
        <f>'distHeat for VEDA'!AM65</f>
        <v>6.1766522544780727E-3</v>
      </c>
      <c r="N64" s="9">
        <f>'distHeat for VEDA'!AN65</f>
        <v>2.8955558015670936E-2</v>
      </c>
      <c r="O64" s="9">
        <f>'distHeat for VEDA'!AO65</f>
        <v>3.9507067778180506E-2</v>
      </c>
      <c r="P64" s="9">
        <f>'distHeat for VEDA'!AP65</f>
        <v>3.9138943248532294E-2</v>
      </c>
      <c r="Q64" s="9">
        <f>'distHeat for VEDA'!AQ65</f>
        <v>8.5730391367369943E-2</v>
      </c>
      <c r="R64" s="9">
        <f>'distHeat for VEDA'!AR65</f>
        <v>4.0184473481936975E-2</v>
      </c>
      <c r="S64" s="9">
        <f>'distHeat for VEDA'!AS65</f>
        <v>9.0975788701393986E-2</v>
      </c>
      <c r="T64" s="9">
        <f>'distHeat for VEDA'!AT65</f>
        <v>7.2220570117677045E-3</v>
      </c>
      <c r="U64" s="9">
        <f>'distHeat for VEDA'!AU65</f>
        <v>0</v>
      </c>
      <c r="V64" s="9">
        <f>'distHeat for VEDA'!AV65</f>
        <v>0</v>
      </c>
      <c r="W64" s="9">
        <f>'distHeat for VEDA'!AW65</f>
        <v>2.7466051755060211E-2</v>
      </c>
      <c r="X64" s="9">
        <f>'distHeat for VEDA'!AX65</f>
        <v>0</v>
      </c>
      <c r="Y64" s="9">
        <f>'distHeat for VEDA'!AY65</f>
        <v>0</v>
      </c>
      <c r="Z64" s="9">
        <f>'distHeat for VEDA'!AZ65</f>
        <v>0</v>
      </c>
      <c r="AA64" s="9">
        <f>'distHeat for VEDA'!BA65</f>
        <v>0</v>
      </c>
      <c r="AB64" s="9">
        <f>'distHeat for VEDA'!BB65</f>
        <v>0.65803994161831192</v>
      </c>
      <c r="AC64" s="9">
        <f>'distHeat for VEDA'!BC65</f>
        <v>3.3124318429661938E-2</v>
      </c>
      <c r="AD64" s="9">
        <f>'distHeat for VEDA'!BD65</f>
        <v>6.3787071470321642E-3</v>
      </c>
      <c r="AE64" s="9">
        <f>'distHeat for VEDA'!BE65</f>
        <v>0.1249526515151515</v>
      </c>
      <c r="AF64" s="9">
        <f>'distHeat for VEDA'!BF65</f>
        <v>0.1615323102699821</v>
      </c>
      <c r="AG64" s="9">
        <f>'distHeat for VEDA'!BG65</f>
        <v>2.8326470529728868E-2</v>
      </c>
      <c r="AH64" s="9">
        <f>'distHeat for VEDA'!BH65</f>
        <v>0.12156862745098039</v>
      </c>
      <c r="AI64" s="9">
        <f>'distHeat for VEDA'!BI65</f>
        <v>0</v>
      </c>
      <c r="AJ64" s="9">
        <f>'distHeat for VEDA'!BJ65</f>
        <v>2.6621789935061844E-2</v>
      </c>
    </row>
    <row r="65" spans="5:36" x14ac:dyDescent="0.25">
      <c r="E65" s="8">
        <f>'distHeat for VEDA'!AH66</f>
        <v>2014</v>
      </c>
      <c r="G65" t="str">
        <f>'distHeat for VEDA'!AG66</f>
        <v>ELCMUN</v>
      </c>
      <c r="J65" s="9">
        <f>'distHeat for VEDA'!AJ66</f>
        <v>3.8543190074067084E-2</v>
      </c>
      <c r="K65" s="9">
        <f>'distHeat for VEDA'!AK66</f>
        <v>0.29606299212598425</v>
      </c>
      <c r="L65" s="9">
        <f>'distHeat for VEDA'!AL66</f>
        <v>0</v>
      </c>
      <c r="M65" s="9">
        <f>'distHeat for VEDA'!AM66</f>
        <v>1.3588634959851759E-2</v>
      </c>
      <c r="N65" s="9">
        <f>'distHeat for VEDA'!AN66</f>
        <v>0.12341168800816758</v>
      </c>
      <c r="O65" s="9">
        <f>'distHeat for VEDA'!AO66</f>
        <v>3.5002330036762806E-2</v>
      </c>
      <c r="P65" s="9">
        <f>'distHeat for VEDA'!AP66</f>
        <v>0</v>
      </c>
      <c r="Q65" s="9">
        <f>'distHeat for VEDA'!AQ66</f>
        <v>1.0098244483813818E-2</v>
      </c>
      <c r="R65" s="9">
        <f>'distHeat for VEDA'!AR66</f>
        <v>7.1806302843966191E-2</v>
      </c>
      <c r="S65" s="9">
        <f>'distHeat for VEDA'!AS66</f>
        <v>0</v>
      </c>
      <c r="T65" s="9">
        <f>'distHeat for VEDA'!AT66</f>
        <v>0</v>
      </c>
      <c r="U65" s="9">
        <f>'distHeat for VEDA'!AU66</f>
        <v>0</v>
      </c>
      <c r="V65" s="9">
        <f>'distHeat for VEDA'!AV66</f>
        <v>0</v>
      </c>
      <c r="W65" s="9">
        <f>'distHeat for VEDA'!AW66</f>
        <v>0</v>
      </c>
      <c r="X65" s="9">
        <f>'distHeat for VEDA'!AX66</f>
        <v>0</v>
      </c>
      <c r="Y65" s="9">
        <f>'distHeat for VEDA'!AY66</f>
        <v>0</v>
      </c>
      <c r="Z65" s="9">
        <f>'distHeat for VEDA'!AZ66</f>
        <v>0</v>
      </c>
      <c r="AA65" s="9">
        <f>'distHeat for VEDA'!BA66</f>
        <v>0</v>
      </c>
      <c r="AB65" s="9">
        <f>'distHeat for VEDA'!BB66</f>
        <v>0</v>
      </c>
      <c r="AC65" s="9">
        <f>'distHeat for VEDA'!BC66</f>
        <v>0.17332333696837515</v>
      </c>
      <c r="AD65" s="9">
        <f>'distHeat for VEDA'!BD66</f>
        <v>1.6857406670111564E-3</v>
      </c>
      <c r="AE65" s="9">
        <f>'distHeat for VEDA'!BE66</f>
        <v>1.1837121212121212E-3</v>
      </c>
      <c r="AF65" s="9">
        <f>'distHeat for VEDA'!BF66</f>
        <v>0</v>
      </c>
      <c r="AG65" s="9">
        <f>'distHeat for VEDA'!BG66</f>
        <v>2.7053370730639934E-2</v>
      </c>
      <c r="AH65" s="9">
        <f>'distHeat for VEDA'!BH66</f>
        <v>0</v>
      </c>
      <c r="AI65" s="9">
        <f>'distHeat for VEDA'!BI66</f>
        <v>3.2472804026627703E-3</v>
      </c>
      <c r="AJ65" s="9">
        <f>'distHeat for VEDA'!BJ66</f>
        <v>1.2883044772146E-2</v>
      </c>
    </row>
    <row r="66" spans="5:36" x14ac:dyDescent="0.25">
      <c r="E66" s="8">
        <f>'distHeat for VEDA'!AH67</f>
        <v>2014</v>
      </c>
      <c r="G66" t="str">
        <f>'distHeat for VEDA'!AG67</f>
        <v>ELCSOL</v>
      </c>
      <c r="J66" s="9">
        <f>'distHeat for VEDA'!AJ67</f>
        <v>1.604000566117847E-3</v>
      </c>
      <c r="K66" s="9">
        <f>'distHeat for VEDA'!AK67</f>
        <v>0</v>
      </c>
      <c r="L66" s="9">
        <f>'distHeat for VEDA'!AL67</f>
        <v>0</v>
      </c>
      <c r="M66" s="9">
        <f>'distHeat for VEDA'!AM67</f>
        <v>0</v>
      </c>
      <c r="N66" s="9">
        <f>'distHeat for VEDA'!AN67</f>
        <v>6.7653172933810593E-5</v>
      </c>
      <c r="O66" s="9">
        <f>'distHeat for VEDA'!AO67</f>
        <v>1.713871485527883E-2</v>
      </c>
      <c r="P66" s="9">
        <f>'distHeat for VEDA'!AP67</f>
        <v>0</v>
      </c>
      <c r="Q66" s="9">
        <f>'distHeat for VEDA'!AQ67</f>
        <v>0</v>
      </c>
      <c r="R66" s="9">
        <f>'distHeat for VEDA'!AR67</f>
        <v>0</v>
      </c>
      <c r="S66" s="9">
        <f>'distHeat for VEDA'!AS67</f>
        <v>0</v>
      </c>
      <c r="T66" s="9">
        <f>'distHeat for VEDA'!AT67</f>
        <v>0</v>
      </c>
      <c r="U66" s="9">
        <f>'distHeat for VEDA'!AU67</f>
        <v>0</v>
      </c>
      <c r="V66" s="9">
        <f>'distHeat for VEDA'!AV67</f>
        <v>3.9904229848363929E-4</v>
      </c>
      <c r="W66" s="9">
        <f>'distHeat for VEDA'!AW67</f>
        <v>0</v>
      </c>
      <c r="X66" s="9">
        <f>'distHeat for VEDA'!AX67</f>
        <v>0</v>
      </c>
      <c r="Y66" s="9">
        <f>'distHeat for VEDA'!AY67</f>
        <v>0</v>
      </c>
      <c r="Z66" s="9">
        <f>'distHeat for VEDA'!AZ67</f>
        <v>0</v>
      </c>
      <c r="AA66" s="9">
        <f>'distHeat for VEDA'!BA67</f>
        <v>0</v>
      </c>
      <c r="AB66" s="9">
        <f>'distHeat for VEDA'!BB67</f>
        <v>0</v>
      </c>
      <c r="AC66" s="9">
        <f>'distHeat for VEDA'!BC67</f>
        <v>0</v>
      </c>
      <c r="AD66" s="9">
        <f>'distHeat for VEDA'!BD67</f>
        <v>0</v>
      </c>
      <c r="AE66" s="9">
        <f>'distHeat for VEDA'!BE67</f>
        <v>0</v>
      </c>
      <c r="AF66" s="9">
        <f>'distHeat for VEDA'!BF67</f>
        <v>0</v>
      </c>
      <c r="AG66" s="9">
        <f>'distHeat for VEDA'!BG67</f>
        <v>0</v>
      </c>
      <c r="AH66" s="9">
        <f>'distHeat for VEDA'!BH67</f>
        <v>0</v>
      </c>
      <c r="AI66" s="9">
        <f>'distHeat for VEDA'!BI67</f>
        <v>8.1182010066569251E-5</v>
      </c>
      <c r="AJ66" s="9">
        <f>'distHeat for VEDA'!BJ67</f>
        <v>0</v>
      </c>
    </row>
    <row r="67" spans="5:36" x14ac:dyDescent="0.25">
      <c r="E67" s="8">
        <f>'distHeat for VEDA'!AH68</f>
        <v>2014</v>
      </c>
      <c r="G67" t="str">
        <f>'distHeat for VEDA'!AG68</f>
        <v>ELCWOO</v>
      </c>
      <c r="J67" s="9">
        <f>'distHeat for VEDA'!AJ68</f>
        <v>0.57186866065952735</v>
      </c>
      <c r="K67" s="9">
        <f>'distHeat for VEDA'!AK68</f>
        <v>0.27086614173228346</v>
      </c>
      <c r="L67" s="9">
        <f>'distHeat for VEDA'!AL68</f>
        <v>2.9909136799596159E-2</v>
      </c>
      <c r="M67" s="9">
        <f>'distHeat for VEDA'!AM68</f>
        <v>4.4433292155651637E-2</v>
      </c>
      <c r="N67" s="9">
        <f>'distHeat for VEDA'!AN68</f>
        <v>0.2152115084197449</v>
      </c>
      <c r="O67" s="9">
        <f>'distHeat for VEDA'!AO68</f>
        <v>0.51449800652410305</v>
      </c>
      <c r="P67" s="9">
        <f>'distHeat for VEDA'!AP68</f>
        <v>0.24612373927442421</v>
      </c>
      <c r="Q67" s="9">
        <f>'distHeat for VEDA'!AQ68</f>
        <v>0.47836044451602511</v>
      </c>
      <c r="R67" s="9">
        <f>'distHeat for VEDA'!AR68</f>
        <v>0.26551883166794771</v>
      </c>
      <c r="S67" s="9">
        <f>'distHeat for VEDA'!AS68</f>
        <v>0</v>
      </c>
      <c r="T67" s="9">
        <f>'distHeat for VEDA'!AT68</f>
        <v>6.5848166871999653E-2</v>
      </c>
      <c r="U67" s="9">
        <f>'distHeat for VEDA'!AU68</f>
        <v>0</v>
      </c>
      <c r="V67" s="9">
        <f>'distHeat for VEDA'!AV68</f>
        <v>0.69447326416600164</v>
      </c>
      <c r="W67" s="9">
        <f>'distHeat for VEDA'!AW68</f>
        <v>0.65032026646169616</v>
      </c>
      <c r="X67" s="9">
        <f>'distHeat for VEDA'!AX68</f>
        <v>0.60591133004926101</v>
      </c>
      <c r="Y67" s="9">
        <f>'distHeat for VEDA'!AY68</f>
        <v>0.63407214254671884</v>
      </c>
      <c r="Z67" s="9">
        <f>'distHeat for VEDA'!AZ68</f>
        <v>9.5713130223779988E-2</v>
      </c>
      <c r="AA67" s="9">
        <f>'distHeat for VEDA'!BA68</f>
        <v>0</v>
      </c>
      <c r="AB67" s="9">
        <f>'distHeat for VEDA'!BB68</f>
        <v>1.5022605104837848E-2</v>
      </c>
      <c r="AC67" s="9">
        <f>'distHeat for VEDA'!BC68</f>
        <v>0.54799618320610688</v>
      </c>
      <c r="AD67" s="9">
        <f>'distHeat for VEDA'!BD68</f>
        <v>1.4756584130318766E-2</v>
      </c>
      <c r="AE67" s="9">
        <f>'distHeat for VEDA'!BE68</f>
        <v>8.134469696969697E-2</v>
      </c>
      <c r="AF67" s="9">
        <f>'distHeat for VEDA'!BF68</f>
        <v>3.4271352956856175E-3</v>
      </c>
      <c r="AG67" s="9">
        <f>'distHeat for VEDA'!BG68</f>
        <v>0.77002645660519986</v>
      </c>
      <c r="AH67" s="9">
        <f>'distHeat for VEDA'!BH68</f>
        <v>0.14068627450980392</v>
      </c>
      <c r="AI67" s="9">
        <f>'distHeat for VEDA'!BI68</f>
        <v>0.17860042214645236</v>
      </c>
      <c r="AJ67" s="9">
        <f>'distHeat for VEDA'!BJ68</f>
        <v>1.5050819095429609E-2</v>
      </c>
    </row>
    <row r="68" spans="5:36" x14ac:dyDescent="0.25">
      <c r="E68" s="8">
        <f>'distHeat for VEDA'!AH69</f>
        <v>2030</v>
      </c>
      <c r="G68" t="str">
        <f>'distHeat for VEDA'!AG69</f>
        <v>ELCCOH</v>
      </c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</row>
    <row r="69" spans="5:36" x14ac:dyDescent="0.25">
      <c r="E69" s="8">
        <f>'distHeat for VEDA'!AH70</f>
        <v>2030</v>
      </c>
      <c r="G69" t="str">
        <f>'distHeat for VEDA'!AG70</f>
        <v>ELCGAS</v>
      </c>
      <c r="J69" s="9">
        <f>'distHeat for VEDA'!AJ70</f>
        <v>1</v>
      </c>
      <c r="K69" s="9">
        <f>'distHeat for VEDA'!AK70</f>
        <v>1</v>
      </c>
      <c r="L69" s="9">
        <f>'distHeat for VEDA'!AL70</f>
        <v>1</v>
      </c>
      <c r="M69" s="9">
        <f>'distHeat for VEDA'!AM70</f>
        <v>1</v>
      </c>
      <c r="N69" s="9">
        <f>'distHeat for VEDA'!AN70</f>
        <v>1</v>
      </c>
      <c r="O69" s="9">
        <f>'distHeat for VEDA'!AO70</f>
        <v>1</v>
      </c>
      <c r="P69" s="9">
        <f>'distHeat for VEDA'!AP70</f>
        <v>1</v>
      </c>
      <c r="Q69" s="9">
        <f>'distHeat for VEDA'!AQ70</f>
        <v>1</v>
      </c>
      <c r="R69" s="9">
        <f>'distHeat for VEDA'!AR70</f>
        <v>1</v>
      </c>
      <c r="S69" s="9">
        <f>'distHeat for VEDA'!AS70</f>
        <v>1</v>
      </c>
      <c r="T69" s="9">
        <f>'distHeat for VEDA'!AT70</f>
        <v>1</v>
      </c>
      <c r="U69" s="9">
        <f>'distHeat for VEDA'!AU70</f>
        <v>1</v>
      </c>
      <c r="V69" s="9">
        <f>'distHeat for VEDA'!AV70</f>
        <v>1</v>
      </c>
      <c r="W69" s="9">
        <f>'distHeat for VEDA'!AW70</f>
        <v>1</v>
      </c>
      <c r="X69" s="9">
        <f>'distHeat for VEDA'!AX70</f>
        <v>1</v>
      </c>
      <c r="Y69" s="9">
        <f>'distHeat for VEDA'!AY70</f>
        <v>1</v>
      </c>
      <c r="Z69" s="9">
        <f>'distHeat for VEDA'!AZ70</f>
        <v>1</v>
      </c>
      <c r="AA69" s="9">
        <f>'distHeat for VEDA'!BA70</f>
        <v>1</v>
      </c>
      <c r="AB69" s="9">
        <f>'distHeat for VEDA'!BB70</f>
        <v>1</v>
      </c>
      <c r="AC69" s="9">
        <f>'distHeat for VEDA'!BC70</f>
        <v>1</v>
      </c>
      <c r="AD69" s="9">
        <f>'distHeat for VEDA'!BD70</f>
        <v>1</v>
      </c>
      <c r="AE69" s="9">
        <f>'distHeat for VEDA'!BE70</f>
        <v>1</v>
      </c>
      <c r="AF69" s="9">
        <f>'distHeat for VEDA'!BF70</f>
        <v>1</v>
      </c>
      <c r="AG69" s="9">
        <f>'distHeat for VEDA'!BG70</f>
        <v>1</v>
      </c>
      <c r="AH69" s="9">
        <f>'distHeat for VEDA'!BH70</f>
        <v>1</v>
      </c>
      <c r="AI69" s="9">
        <f>'distHeat for VEDA'!BI70</f>
        <v>1</v>
      </c>
      <c r="AJ69" s="9">
        <f>'distHeat for VEDA'!BJ70</f>
        <v>1</v>
      </c>
    </row>
    <row r="70" spans="5:36" x14ac:dyDescent="0.25">
      <c r="E70" s="8">
        <f>'distHeat for VEDA'!AH71</f>
        <v>2030</v>
      </c>
      <c r="G70" t="str">
        <f>'distHeat for VEDA'!AG71</f>
        <v>ELCGEO</v>
      </c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</row>
    <row r="71" spans="5:36" x14ac:dyDescent="0.25">
      <c r="E71" s="8">
        <f>'distHeat for VEDA'!AH72</f>
        <v>2030</v>
      </c>
      <c r="G71" t="str">
        <f>'distHeat for VEDA'!AG72</f>
        <v>ELCHFO</v>
      </c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</row>
    <row r="72" spans="5:36" x14ac:dyDescent="0.25">
      <c r="E72" s="8">
        <f>'distHeat for VEDA'!AH73</f>
        <v>2030</v>
      </c>
      <c r="G72" t="str">
        <f>'distHeat for VEDA'!AG73</f>
        <v>ELCMUN</v>
      </c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</row>
    <row r="73" spans="5:36" x14ac:dyDescent="0.25">
      <c r="E73" s="8">
        <f>'distHeat for VEDA'!AH74</f>
        <v>2030</v>
      </c>
      <c r="G73" t="str">
        <f>'distHeat for VEDA'!AG74</f>
        <v>ELCSOL</v>
      </c>
      <c r="J73" s="9">
        <v>0.15</v>
      </c>
      <c r="K73" s="9">
        <v>0.15</v>
      </c>
      <c r="L73" s="9">
        <v>0.15</v>
      </c>
      <c r="M73" s="9">
        <v>0.15</v>
      </c>
      <c r="N73" s="9">
        <v>0.15</v>
      </c>
      <c r="O73" s="9">
        <v>0.15</v>
      </c>
      <c r="P73" s="9">
        <v>0.15</v>
      </c>
      <c r="Q73" s="9">
        <v>0.15</v>
      </c>
      <c r="R73" s="9">
        <v>0.15</v>
      </c>
      <c r="S73" s="9">
        <v>0.15</v>
      </c>
      <c r="T73" s="9">
        <v>0.15</v>
      </c>
      <c r="U73" s="9">
        <v>0.15</v>
      </c>
      <c r="V73" s="9">
        <v>0.15</v>
      </c>
      <c r="W73" s="9">
        <v>0.15</v>
      </c>
      <c r="X73" s="9">
        <v>0.15</v>
      </c>
      <c r="Y73" s="9">
        <v>0.15</v>
      </c>
      <c r="Z73" s="9">
        <v>0.15</v>
      </c>
      <c r="AA73" s="9">
        <v>0.15</v>
      </c>
      <c r="AB73" s="9">
        <v>0.15</v>
      </c>
      <c r="AC73" s="9">
        <v>0.15</v>
      </c>
      <c r="AD73" s="9">
        <v>0.15</v>
      </c>
      <c r="AE73" s="9">
        <v>0.15</v>
      </c>
      <c r="AF73" s="9">
        <v>0.15</v>
      </c>
      <c r="AG73" s="9">
        <v>0.15</v>
      </c>
      <c r="AH73" s="9">
        <v>0.15</v>
      </c>
      <c r="AI73" s="9">
        <v>0.15</v>
      </c>
      <c r="AJ73" s="9">
        <v>0.15</v>
      </c>
    </row>
    <row r="74" spans="5:36" x14ac:dyDescent="0.25">
      <c r="E74" s="8">
        <f>'distHeat for VEDA'!AH75</f>
        <v>2030</v>
      </c>
      <c r="G74" t="str">
        <f>'distHeat for VEDA'!AG75</f>
        <v>ELCWOO</v>
      </c>
      <c r="J74" s="9">
        <f>'distHeat for VEDA'!AJ75</f>
        <v>1</v>
      </c>
      <c r="K74" s="9">
        <f>'distHeat for VEDA'!AK75</f>
        <v>1</v>
      </c>
      <c r="L74" s="9">
        <f>'distHeat for VEDA'!AL75</f>
        <v>1</v>
      </c>
      <c r="M74" s="9">
        <f>'distHeat for VEDA'!AM75</f>
        <v>1</v>
      </c>
      <c r="N74" s="9">
        <f>'distHeat for VEDA'!AN75</f>
        <v>1</v>
      </c>
      <c r="O74" s="9">
        <f>'distHeat for VEDA'!AO75</f>
        <v>1</v>
      </c>
      <c r="P74" s="9">
        <f>'distHeat for VEDA'!AP75</f>
        <v>1</v>
      </c>
      <c r="Q74" s="9">
        <f>'distHeat for VEDA'!AQ75</f>
        <v>1</v>
      </c>
      <c r="R74" s="9">
        <f>'distHeat for VEDA'!AR75</f>
        <v>1</v>
      </c>
      <c r="S74" s="9">
        <f>'distHeat for VEDA'!AS75</f>
        <v>1</v>
      </c>
      <c r="T74" s="9">
        <f>'distHeat for VEDA'!AT75</f>
        <v>1</v>
      </c>
      <c r="U74" s="9">
        <f>'distHeat for VEDA'!AU75</f>
        <v>1</v>
      </c>
      <c r="V74" s="9">
        <f>'distHeat for VEDA'!AV75</f>
        <v>1</v>
      </c>
      <c r="W74" s="9">
        <f>'distHeat for VEDA'!AW75</f>
        <v>1</v>
      </c>
      <c r="X74" s="9">
        <f>'distHeat for VEDA'!AX75</f>
        <v>1</v>
      </c>
      <c r="Y74" s="9">
        <f>'distHeat for VEDA'!AY75</f>
        <v>1</v>
      </c>
      <c r="Z74" s="9">
        <f>'distHeat for VEDA'!AZ75</f>
        <v>1</v>
      </c>
      <c r="AA74" s="9">
        <f>'distHeat for VEDA'!BA75</f>
        <v>1</v>
      </c>
      <c r="AB74" s="9">
        <f>'distHeat for VEDA'!BB75</f>
        <v>1</v>
      </c>
      <c r="AC74" s="9">
        <f>'distHeat for VEDA'!BC75</f>
        <v>1</v>
      </c>
      <c r="AD74" s="9">
        <f>'distHeat for VEDA'!BD75</f>
        <v>1</v>
      </c>
      <c r="AE74" s="9">
        <f>'distHeat for VEDA'!BE75</f>
        <v>1</v>
      </c>
      <c r="AF74" s="9">
        <f>'distHeat for VEDA'!BF75</f>
        <v>1</v>
      </c>
      <c r="AG74" s="9">
        <f>'distHeat for VEDA'!BG75</f>
        <v>1</v>
      </c>
      <c r="AH74" s="9">
        <f>'distHeat for VEDA'!BH75</f>
        <v>1</v>
      </c>
      <c r="AI74" s="9">
        <f>'distHeat for VEDA'!BI75</f>
        <v>1</v>
      </c>
      <c r="AJ74" s="9">
        <f>'distHeat for VEDA'!BJ75</f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4:BJ136"/>
  <sheetViews>
    <sheetView topLeftCell="AB1" workbookViewId="0">
      <selection activeCell="AZ14" sqref="AZ14"/>
    </sheetView>
  </sheetViews>
  <sheetFormatPr defaultColWidth="9" defaultRowHeight="15" x14ac:dyDescent="0.25"/>
  <cols>
    <col min="4" max="4" width="14" bestFit="1" customWidth="1"/>
    <col min="5" max="5" width="3.28515625" bestFit="1" customWidth="1"/>
    <col min="6" max="6" width="3.140625" bestFit="1" customWidth="1"/>
    <col min="7" max="7" width="3.42578125" bestFit="1" customWidth="1"/>
    <col min="8" max="8" width="3.140625" bestFit="1" customWidth="1"/>
    <col min="9" max="9" width="4" bestFit="1" customWidth="1"/>
    <col min="10" max="10" width="3.42578125" bestFit="1" customWidth="1"/>
    <col min="11" max="12" width="3" bestFit="1" customWidth="1"/>
    <col min="13" max="13" width="3.140625" bestFit="1" customWidth="1"/>
    <col min="14" max="14" width="3.42578125" bestFit="1" customWidth="1"/>
    <col min="15" max="15" width="3.5703125" bestFit="1" customWidth="1"/>
    <col min="16" max="16" width="3" bestFit="1" customWidth="1"/>
    <col min="17" max="17" width="2.5703125" bestFit="1" customWidth="1"/>
    <col min="18" max="18" width="3" bestFit="1" customWidth="1"/>
    <col min="19" max="20" width="3.140625" bestFit="1" customWidth="1"/>
    <col min="21" max="21" width="4" bestFit="1" customWidth="1"/>
    <col min="22" max="22" width="3.85546875" bestFit="1" customWidth="1"/>
    <col min="23" max="23" width="3.28515625" bestFit="1" customWidth="1"/>
    <col min="24" max="24" width="3.85546875" bestFit="1" customWidth="1"/>
    <col min="25" max="25" width="4" bestFit="1" customWidth="1"/>
    <col min="26" max="26" width="3.5703125" bestFit="1" customWidth="1"/>
    <col min="27" max="27" width="3.140625" bestFit="1" customWidth="1"/>
    <col min="28" max="28" width="3" bestFit="1" customWidth="1"/>
    <col min="29" max="29" width="2.5703125" bestFit="1" customWidth="1"/>
    <col min="30" max="30" width="3.140625" bestFit="1" customWidth="1"/>
    <col min="31" max="31" width="4" bestFit="1" customWidth="1"/>
    <col min="33" max="33" width="32" bestFit="1" customWidth="1"/>
    <col min="34" max="34" width="8.7109375" bestFit="1" customWidth="1"/>
    <col min="35" max="62" width="5.5703125" bestFit="1" customWidth="1"/>
  </cols>
  <sheetData>
    <row r="4" spans="3:62" x14ac:dyDescent="0.25">
      <c r="C4" t="s">
        <v>159</v>
      </c>
      <c r="D4" t="s">
        <v>118</v>
      </c>
    </row>
    <row r="5" spans="3:62" x14ac:dyDescent="0.25">
      <c r="C5" t="s">
        <v>120</v>
      </c>
      <c r="D5" t="s">
        <v>121</v>
      </c>
      <c r="E5" t="s">
        <v>122</v>
      </c>
      <c r="F5" t="s">
        <v>123</v>
      </c>
      <c r="G5" t="s">
        <v>124</v>
      </c>
      <c r="H5" t="s">
        <v>125</v>
      </c>
      <c r="I5" t="s">
        <v>126</v>
      </c>
      <c r="J5" t="s">
        <v>127</v>
      </c>
      <c r="K5" t="s">
        <v>128</v>
      </c>
      <c r="L5" t="s">
        <v>129</v>
      </c>
      <c r="M5" t="s">
        <v>130</v>
      </c>
      <c r="N5" t="s">
        <v>131</v>
      </c>
      <c r="O5" t="s">
        <v>132</v>
      </c>
      <c r="P5" t="s">
        <v>133</v>
      </c>
      <c r="Q5" t="s">
        <v>134</v>
      </c>
      <c r="R5" t="s">
        <v>135</v>
      </c>
      <c r="S5" t="s">
        <v>136</v>
      </c>
      <c r="T5" t="s">
        <v>137</v>
      </c>
      <c r="U5" t="s">
        <v>138</v>
      </c>
      <c r="V5" t="s">
        <v>139</v>
      </c>
      <c r="W5" t="s">
        <v>140</v>
      </c>
      <c r="X5" t="s">
        <v>141</v>
      </c>
      <c r="Y5" t="s">
        <v>142</v>
      </c>
      <c r="Z5" t="s">
        <v>143</v>
      </c>
      <c r="AA5" t="s">
        <v>144</v>
      </c>
      <c r="AB5" t="s">
        <v>145</v>
      </c>
      <c r="AC5" t="s">
        <v>146</v>
      </c>
      <c r="AD5" t="s">
        <v>147</v>
      </c>
      <c r="AE5" t="s">
        <v>148</v>
      </c>
    </row>
    <row r="6" spans="3:62" x14ac:dyDescent="0.25">
      <c r="C6" t="s">
        <v>169</v>
      </c>
    </row>
    <row r="7" spans="3:62" x14ac:dyDescent="0.25">
      <c r="C7" t="s">
        <v>170</v>
      </c>
      <c r="AG7" s="7" t="s">
        <v>171</v>
      </c>
    </row>
    <row r="8" spans="3:62" x14ac:dyDescent="0.25">
      <c r="C8" t="s">
        <v>172</v>
      </c>
      <c r="AI8" t="str">
        <f t="shared" ref="AI8:BJ8" si="0">D5</f>
        <v>AL</v>
      </c>
      <c r="AJ8" t="str">
        <f t="shared" si="0"/>
        <v>AT</v>
      </c>
      <c r="AK8" t="str">
        <f t="shared" si="0"/>
        <v>BE</v>
      </c>
      <c r="AL8" t="str">
        <f t="shared" si="0"/>
        <v>BG</v>
      </c>
      <c r="AM8" t="str">
        <f t="shared" si="0"/>
        <v>CZ</v>
      </c>
      <c r="AN8" t="str">
        <f t="shared" si="0"/>
        <v>DE</v>
      </c>
      <c r="AO8" t="str">
        <f t="shared" si="0"/>
        <v>DK</v>
      </c>
      <c r="AP8" t="str">
        <f t="shared" si="0"/>
        <v>EE</v>
      </c>
      <c r="AQ8" t="str">
        <f t="shared" si="0"/>
        <v>FI</v>
      </c>
      <c r="AR8" t="str">
        <f t="shared" si="0"/>
        <v>FR</v>
      </c>
      <c r="AS8" t="str">
        <f t="shared" si="0"/>
        <v>HR</v>
      </c>
      <c r="AT8" t="str">
        <f t="shared" si="0"/>
        <v>HU</v>
      </c>
      <c r="AU8" t="str">
        <f t="shared" si="0"/>
        <v>IS</v>
      </c>
      <c r="AV8" t="str">
        <f t="shared" si="0"/>
        <v>IT</v>
      </c>
      <c r="AW8" t="str">
        <f t="shared" si="0"/>
        <v>LT</v>
      </c>
      <c r="AX8" t="str">
        <f t="shared" si="0"/>
        <v>LU</v>
      </c>
      <c r="AY8" t="str">
        <f t="shared" si="0"/>
        <v>LV</v>
      </c>
      <c r="AZ8" t="str">
        <f t="shared" si="0"/>
        <v>MD</v>
      </c>
      <c r="BA8" t="str">
        <f t="shared" si="0"/>
        <v>MK</v>
      </c>
      <c r="BB8" t="str">
        <f t="shared" si="0"/>
        <v>NL</v>
      </c>
      <c r="BC8" t="str">
        <f t="shared" si="0"/>
        <v>NO</v>
      </c>
      <c r="BD8" t="str">
        <f t="shared" si="0"/>
        <v>PL</v>
      </c>
      <c r="BE8" t="str">
        <f t="shared" si="0"/>
        <v>RO</v>
      </c>
      <c r="BF8" t="str">
        <f t="shared" si="0"/>
        <v>RS</v>
      </c>
      <c r="BG8" t="str">
        <f t="shared" si="0"/>
        <v>SE</v>
      </c>
      <c r="BH8" t="str">
        <f t="shared" si="0"/>
        <v>SI</v>
      </c>
      <c r="BI8" t="str">
        <f t="shared" si="0"/>
        <v>SK</v>
      </c>
      <c r="BJ8" t="str">
        <f t="shared" si="0"/>
        <v>UK</v>
      </c>
    </row>
    <row r="9" spans="3:62" x14ac:dyDescent="0.25">
      <c r="C9">
        <v>2010</v>
      </c>
      <c r="D9" s="8">
        <v>0</v>
      </c>
      <c r="E9" s="8">
        <v>38.201000000000001</v>
      </c>
      <c r="F9" s="8">
        <v>0.25600000000000001</v>
      </c>
      <c r="G9" s="8">
        <v>12.736000000000001</v>
      </c>
      <c r="H9" s="8">
        <v>32.942999999999998</v>
      </c>
      <c r="I9" s="8">
        <v>199.047</v>
      </c>
      <c r="J9" s="8">
        <v>36.387999999999998</v>
      </c>
      <c r="K9" s="8">
        <v>18.689</v>
      </c>
      <c r="L9" s="8">
        <v>65.783000000000001</v>
      </c>
      <c r="M9" s="8">
        <v>25.335000000000001</v>
      </c>
      <c r="N9" s="8">
        <v>4.0750000000000002</v>
      </c>
      <c r="O9" s="8">
        <v>19.553000000000001</v>
      </c>
      <c r="P9" s="8">
        <v>25.689</v>
      </c>
      <c r="Q9" s="8">
        <v>4.585</v>
      </c>
      <c r="R9" s="8">
        <v>20.780999999999999</v>
      </c>
      <c r="S9" s="8">
        <v>0.16400000000000001</v>
      </c>
      <c r="T9" s="8">
        <v>14.885999999999999</v>
      </c>
      <c r="U9" s="8">
        <v>4.6689999999999996</v>
      </c>
      <c r="V9" s="8">
        <v>3.2320000000000002</v>
      </c>
      <c r="W9" s="8">
        <v>30.779</v>
      </c>
      <c r="X9" s="8">
        <v>15.035</v>
      </c>
      <c r="Y9" s="8">
        <v>154.875</v>
      </c>
      <c r="Z9" s="8">
        <v>28.835000000000001</v>
      </c>
      <c r="AA9" s="8">
        <v>31.815999999999999</v>
      </c>
      <c r="AB9" s="8">
        <v>72.656999999999996</v>
      </c>
      <c r="AC9" s="8">
        <v>2.3969999999999998</v>
      </c>
      <c r="AD9" s="8">
        <v>20.829000000000001</v>
      </c>
      <c r="AE9" s="8">
        <v>95.495000000000005</v>
      </c>
      <c r="AH9">
        <f>C9</f>
        <v>2010</v>
      </c>
      <c r="AI9" s="9" t="str">
        <f t="shared" ref="AI9:AR13" si="1">IFERROR(D58/D9,"")</f>
        <v/>
      </c>
      <c r="AJ9" s="9">
        <f t="shared" si="1"/>
        <v>0.81262270621187926</v>
      </c>
      <c r="AK9" s="9">
        <f t="shared" si="1"/>
        <v>0.63671875</v>
      </c>
      <c r="AL9" s="9">
        <f t="shared" si="1"/>
        <v>1.1085113065326633</v>
      </c>
      <c r="AM9" s="9">
        <f t="shared" si="1"/>
        <v>0.88021734511125282</v>
      </c>
      <c r="AN9" s="9">
        <f t="shared" si="1"/>
        <v>0.76395524675076731</v>
      </c>
      <c r="AO9" s="9">
        <f t="shared" si="1"/>
        <v>0.99439375618335712</v>
      </c>
      <c r="AP9" s="9">
        <f t="shared" si="1"/>
        <v>0.80657071004334102</v>
      </c>
      <c r="AQ9" s="9">
        <f t="shared" si="1"/>
        <v>0.93013392517823745</v>
      </c>
      <c r="AR9" s="9">
        <f t="shared" si="1"/>
        <v>0.54742451154529304</v>
      </c>
      <c r="AS9" s="9">
        <f t="shared" ref="AS9:BB13" si="2">IFERROR(N58/N9,"")</f>
        <v>0.75877300613496934</v>
      </c>
      <c r="AT9" s="9">
        <f t="shared" si="2"/>
        <v>0.77921546565744382</v>
      </c>
      <c r="AU9" s="9">
        <f t="shared" si="2"/>
        <v>0.61501031569932652</v>
      </c>
      <c r="AV9" s="9">
        <f t="shared" si="2"/>
        <v>0.61853871319520171</v>
      </c>
      <c r="AW9" s="9">
        <f t="shared" si="2"/>
        <v>0.98330205476156118</v>
      </c>
      <c r="AX9" s="9">
        <f t="shared" si="2"/>
        <v>0.85365853658536595</v>
      </c>
      <c r="AY9" s="9">
        <f t="shared" si="2"/>
        <v>0.79544538492543326</v>
      </c>
      <c r="AZ9" s="9">
        <f t="shared" si="2"/>
        <v>0.89676590276290435</v>
      </c>
      <c r="BA9" s="9">
        <f t="shared" si="2"/>
        <v>0.91986386138613851</v>
      </c>
      <c r="BB9" s="9">
        <f t="shared" si="2"/>
        <v>0.8220215081711556</v>
      </c>
      <c r="BC9" s="9">
        <f t="shared" ref="BC9:BJ13" si="3">IFERROR(X58/X9,"")</f>
        <v>1.091652810109744</v>
      </c>
      <c r="BD9" s="9">
        <f t="shared" si="3"/>
        <v>0.83927683615819215</v>
      </c>
      <c r="BE9" s="9">
        <f t="shared" si="3"/>
        <v>0.70712675567886252</v>
      </c>
      <c r="BF9" s="9">
        <f t="shared" si="3"/>
        <v>0.85057832537088263</v>
      </c>
      <c r="BG9" s="9">
        <f t="shared" si="3"/>
        <v>0.99326974689293546</v>
      </c>
      <c r="BH9" s="9">
        <f t="shared" si="3"/>
        <v>0.88402169378389672</v>
      </c>
      <c r="BI9" s="9">
        <f t="shared" si="3"/>
        <v>0.87397378654760194</v>
      </c>
      <c r="BJ9" s="9">
        <f t="shared" si="3"/>
        <v>0.59654432169223515</v>
      </c>
    </row>
    <row r="10" spans="3:62" x14ac:dyDescent="0.25">
      <c r="C10">
        <v>2011</v>
      </c>
      <c r="D10" s="8">
        <v>0</v>
      </c>
      <c r="E10" s="8">
        <v>34.340000000000003</v>
      </c>
      <c r="F10" s="8">
        <v>0.89300000000000002</v>
      </c>
      <c r="G10" s="8">
        <v>11.491</v>
      </c>
      <c r="H10" s="8">
        <v>28.161000000000001</v>
      </c>
      <c r="I10" s="8">
        <v>189.108</v>
      </c>
      <c r="J10" s="8">
        <v>31.678999999999998</v>
      </c>
      <c r="K10" s="8">
        <v>17.245000000000001</v>
      </c>
      <c r="L10" s="8">
        <v>57.814</v>
      </c>
      <c r="M10" s="8">
        <v>19.488</v>
      </c>
      <c r="N10" s="8">
        <v>3.7570000000000001</v>
      </c>
      <c r="O10" s="8">
        <v>22.873000000000001</v>
      </c>
      <c r="P10" s="8">
        <v>26.248000000000001</v>
      </c>
      <c r="Q10" s="8">
        <v>4.8650000000000002</v>
      </c>
      <c r="R10" s="8">
        <v>18.311</v>
      </c>
      <c r="S10" s="8">
        <v>0.19700000000000001</v>
      </c>
      <c r="T10" s="8">
        <v>12.881</v>
      </c>
      <c r="U10" s="8">
        <v>4.319</v>
      </c>
      <c r="V10" s="8">
        <v>2.3879999999999999</v>
      </c>
      <c r="W10" s="8">
        <v>29.035</v>
      </c>
      <c r="X10" s="8">
        <v>15.913</v>
      </c>
      <c r="Y10" s="8">
        <v>126.34</v>
      </c>
      <c r="Z10" s="8">
        <v>25.617000000000001</v>
      </c>
      <c r="AA10" s="8">
        <v>33.64</v>
      </c>
      <c r="AB10" s="8">
        <v>63.198999999999998</v>
      </c>
      <c r="AC10" s="8">
        <v>2.6520000000000001</v>
      </c>
      <c r="AD10" s="8">
        <v>17.818999999999999</v>
      </c>
      <c r="AE10" s="8">
        <v>97.233999999999995</v>
      </c>
      <c r="AH10">
        <f>C10</f>
        <v>2011</v>
      </c>
      <c r="AI10" s="9" t="str">
        <f t="shared" si="1"/>
        <v/>
      </c>
      <c r="AJ10" s="9">
        <f t="shared" si="1"/>
        <v>0.83471170646476411</v>
      </c>
      <c r="AK10" s="9">
        <f t="shared" si="1"/>
        <v>0.90593505039193734</v>
      </c>
      <c r="AL10" s="9">
        <f t="shared" si="1"/>
        <v>1.1898007136019495</v>
      </c>
      <c r="AM10" s="9">
        <f t="shared" si="1"/>
        <v>0.8733354639394908</v>
      </c>
      <c r="AN10" s="9">
        <f t="shared" si="1"/>
        <v>0.69930410136006937</v>
      </c>
      <c r="AO10" s="9">
        <f t="shared" si="1"/>
        <v>1.0136683607437105</v>
      </c>
      <c r="AP10" s="9">
        <f t="shared" si="1"/>
        <v>0.80510292838503916</v>
      </c>
      <c r="AQ10" s="9">
        <f t="shared" si="1"/>
        <v>0.91460545888539113</v>
      </c>
      <c r="AR10" s="9">
        <f t="shared" si="1"/>
        <v>0.58872126436781613</v>
      </c>
      <c r="AS10" s="9">
        <f t="shared" si="2"/>
        <v>0.80436518498802223</v>
      </c>
      <c r="AT10" s="9">
        <f t="shared" si="2"/>
        <v>0.80103178419971133</v>
      </c>
      <c r="AU10" s="9">
        <f t="shared" si="2"/>
        <v>0.59882657726302957</v>
      </c>
      <c r="AV10" s="9">
        <f t="shared" si="2"/>
        <v>0.67194244604316544</v>
      </c>
      <c r="AW10" s="9">
        <f t="shared" si="2"/>
        <v>1.112282234722298</v>
      </c>
      <c r="AX10" s="9">
        <f t="shared" si="2"/>
        <v>0.86802030456852797</v>
      </c>
      <c r="AY10" s="9">
        <f t="shared" si="2"/>
        <v>0.79155345081903572</v>
      </c>
      <c r="AZ10" s="9">
        <f t="shared" si="2"/>
        <v>0.91294281083584161</v>
      </c>
      <c r="BA10" s="9">
        <f t="shared" si="2"/>
        <v>0.96147403685092125</v>
      </c>
      <c r="BB10" s="9">
        <f t="shared" si="2"/>
        <v>0.82297227484070945</v>
      </c>
      <c r="BC10" s="9">
        <f t="shared" si="3"/>
        <v>0.90718280651040029</v>
      </c>
      <c r="BD10" s="9">
        <f t="shared" si="3"/>
        <v>0.84097672946018676</v>
      </c>
      <c r="BE10" s="9">
        <f t="shared" si="3"/>
        <v>0.70710856072139594</v>
      </c>
      <c r="BF10" s="9">
        <f t="shared" si="3"/>
        <v>0.85995838287752668</v>
      </c>
      <c r="BG10" s="9">
        <f t="shared" si="3"/>
        <v>0.89229259956644891</v>
      </c>
      <c r="BH10" s="9">
        <f t="shared" si="3"/>
        <v>0.8706636500754148</v>
      </c>
      <c r="BI10" s="9">
        <f t="shared" si="3"/>
        <v>0.86413378977495936</v>
      </c>
      <c r="BJ10" s="9">
        <f t="shared" si="3"/>
        <v>0.59775387210235109</v>
      </c>
    </row>
    <row r="11" spans="3:62" x14ac:dyDescent="0.25">
      <c r="C11">
        <v>2012</v>
      </c>
      <c r="D11" s="8">
        <v>0</v>
      </c>
      <c r="E11" s="8">
        <v>39.311999999999998</v>
      </c>
      <c r="F11" s="8">
        <v>0.61</v>
      </c>
      <c r="G11" s="8">
        <v>8.8710000000000004</v>
      </c>
      <c r="H11" s="8">
        <v>32.470999999999997</v>
      </c>
      <c r="I11" s="8">
        <v>197.59899999999999</v>
      </c>
      <c r="J11" s="8">
        <v>37.871000000000002</v>
      </c>
      <c r="K11" s="8">
        <v>18.713999999999999</v>
      </c>
      <c r="L11" s="8">
        <v>67.665000000000006</v>
      </c>
      <c r="M11" s="8">
        <v>66.403999999999996</v>
      </c>
      <c r="N11" s="8">
        <v>3.2930000000000001</v>
      </c>
      <c r="O11" s="8">
        <v>27.358000000000001</v>
      </c>
      <c r="P11" s="8">
        <v>26.798999999999999</v>
      </c>
      <c r="Q11" s="8">
        <v>5.2770000000000001</v>
      </c>
      <c r="R11" s="8">
        <v>19.998999999999999</v>
      </c>
      <c r="S11" s="8">
        <v>0.17799999999999999</v>
      </c>
      <c r="T11" s="8">
        <v>12.609</v>
      </c>
      <c r="U11" s="8">
        <v>4.0049999999999999</v>
      </c>
      <c r="V11" s="8">
        <v>1.728</v>
      </c>
      <c r="W11" s="8">
        <v>19.73</v>
      </c>
      <c r="X11" s="8">
        <v>14.606999999999999</v>
      </c>
      <c r="Y11" s="8">
        <v>135.21899999999999</v>
      </c>
      <c r="Z11" s="8">
        <v>19.224</v>
      </c>
      <c r="AA11" s="8">
        <v>30.126000000000001</v>
      </c>
      <c r="AB11" s="8">
        <v>60.052999999999997</v>
      </c>
      <c r="AC11" s="8">
        <v>2.61</v>
      </c>
      <c r="AD11" s="8">
        <v>17.405999999999999</v>
      </c>
      <c r="AE11" s="8">
        <v>102.86199999999999</v>
      </c>
      <c r="AH11">
        <f>C11</f>
        <v>2012</v>
      </c>
      <c r="AI11" s="9" t="str">
        <f t="shared" si="1"/>
        <v/>
      </c>
      <c r="AJ11" s="9">
        <f t="shared" si="1"/>
        <v>0.8351648351648352</v>
      </c>
      <c r="AK11" s="9">
        <f t="shared" si="1"/>
        <v>0.74590163934426235</v>
      </c>
      <c r="AL11" s="9">
        <f t="shared" si="1"/>
        <v>1.1673993912749407</v>
      </c>
      <c r="AM11" s="9">
        <f t="shared" si="1"/>
        <v>0.84718672045825516</v>
      </c>
      <c r="AN11" s="9">
        <f t="shared" si="1"/>
        <v>0.68527168659760418</v>
      </c>
      <c r="AO11" s="9">
        <f t="shared" si="1"/>
        <v>1.0084233318370255</v>
      </c>
      <c r="AP11" s="9">
        <f t="shared" si="1"/>
        <v>0.79400448861814688</v>
      </c>
      <c r="AQ11" s="9">
        <f t="shared" si="1"/>
        <v>0.93427916943767086</v>
      </c>
      <c r="AR11" s="9">
        <f t="shared" si="1"/>
        <v>0.78201614360580696</v>
      </c>
      <c r="AS11" s="9">
        <f t="shared" si="2"/>
        <v>0.80807774066201032</v>
      </c>
      <c r="AT11" s="9">
        <f t="shared" si="2"/>
        <v>0.87791505226990274</v>
      </c>
      <c r="AU11" s="9">
        <f t="shared" si="2"/>
        <v>0.66636814806522637</v>
      </c>
      <c r="AV11" s="9">
        <f t="shared" si="2"/>
        <v>0.70911502747773358</v>
      </c>
      <c r="AW11" s="9">
        <f t="shared" si="2"/>
        <v>1.0639531976598831</v>
      </c>
      <c r="AX11" s="9">
        <f t="shared" si="2"/>
        <v>0.89887640449438211</v>
      </c>
      <c r="AY11" s="9">
        <f t="shared" si="2"/>
        <v>0.79022920136410502</v>
      </c>
      <c r="AZ11" s="9">
        <f t="shared" si="2"/>
        <v>0.93583021223470675</v>
      </c>
      <c r="BA11" s="9">
        <f t="shared" si="2"/>
        <v>0.91956018518518523</v>
      </c>
      <c r="BB11" s="9">
        <f t="shared" si="2"/>
        <v>0.87795235681702988</v>
      </c>
      <c r="BC11" s="9">
        <f t="shared" si="3"/>
        <v>0.9095639077154789</v>
      </c>
      <c r="BD11" s="9">
        <f t="shared" si="3"/>
        <v>0.84211538319319035</v>
      </c>
      <c r="BE11" s="9">
        <f t="shared" si="3"/>
        <v>0.88077403245942565</v>
      </c>
      <c r="BF11" s="9">
        <f t="shared" si="3"/>
        <v>0.87044413463453485</v>
      </c>
      <c r="BG11" s="9">
        <f t="shared" si="3"/>
        <v>1.0104907331856861</v>
      </c>
      <c r="BH11" s="9">
        <f t="shared" si="3"/>
        <v>0.88927203065134108</v>
      </c>
      <c r="BI11" s="9">
        <f t="shared" si="3"/>
        <v>0.85367114788004139</v>
      </c>
      <c r="BJ11" s="9">
        <f t="shared" si="3"/>
        <v>0.62395248002177672</v>
      </c>
    </row>
    <row r="12" spans="3:62" x14ac:dyDescent="0.25">
      <c r="C12">
        <v>2013</v>
      </c>
      <c r="D12" s="8">
        <v>0</v>
      </c>
      <c r="E12" s="8">
        <v>42.533999999999999</v>
      </c>
      <c r="F12" s="8">
        <v>0.58099999999999996</v>
      </c>
      <c r="G12" s="8">
        <v>6.5490000000000004</v>
      </c>
      <c r="H12" s="8">
        <v>30.940999999999999</v>
      </c>
      <c r="I12" s="8">
        <v>179.99199999999999</v>
      </c>
      <c r="J12" s="8">
        <v>37.561999999999998</v>
      </c>
      <c r="K12" s="8">
        <v>15.807</v>
      </c>
      <c r="L12" s="8">
        <v>59.073999999999998</v>
      </c>
      <c r="M12" s="8">
        <v>74.899000000000001</v>
      </c>
      <c r="N12" s="8">
        <v>3.2909999999999999</v>
      </c>
      <c r="O12" s="8">
        <v>27.99</v>
      </c>
      <c r="P12" s="8">
        <v>25.541</v>
      </c>
      <c r="Q12" s="8">
        <v>5.3109999999999999</v>
      </c>
      <c r="R12" s="8">
        <v>17.722999999999999</v>
      </c>
      <c r="S12" s="8">
        <v>0.23200000000000001</v>
      </c>
      <c r="T12" s="8">
        <v>10.647</v>
      </c>
      <c r="U12" s="8">
        <v>4.1420000000000003</v>
      </c>
      <c r="V12" s="8">
        <v>1.2509999999999999</v>
      </c>
      <c r="W12" s="8">
        <v>20.890999999999998</v>
      </c>
      <c r="X12" s="8">
        <v>14.878</v>
      </c>
      <c r="Y12" s="8">
        <v>130.13399999999999</v>
      </c>
      <c r="Z12" s="8">
        <v>23.975999999999999</v>
      </c>
      <c r="AA12" s="8">
        <v>30.683</v>
      </c>
      <c r="AB12" s="8">
        <v>54.018000000000001</v>
      </c>
      <c r="AC12" s="8">
        <v>2.3879999999999999</v>
      </c>
      <c r="AD12" s="8">
        <v>15.202999999999999</v>
      </c>
      <c r="AE12" s="8">
        <v>102.69199999999999</v>
      </c>
      <c r="AH12">
        <f>C12</f>
        <v>2013</v>
      </c>
      <c r="AI12" s="9" t="str">
        <f t="shared" si="1"/>
        <v/>
      </c>
      <c r="AJ12" s="9">
        <f t="shared" si="1"/>
        <v>0.85627968213664363</v>
      </c>
      <c r="AK12" s="9">
        <f t="shared" si="1"/>
        <v>0.70395869191049909</v>
      </c>
      <c r="AL12" s="9">
        <f t="shared" si="1"/>
        <v>1.2320965032829441</v>
      </c>
      <c r="AM12" s="9">
        <f t="shared" si="1"/>
        <v>0.86199541062021268</v>
      </c>
      <c r="AN12" s="9">
        <f t="shared" si="1"/>
        <v>0.77465665140672912</v>
      </c>
      <c r="AO12" s="9">
        <f t="shared" si="1"/>
        <v>1.0165326659922262</v>
      </c>
      <c r="AP12" s="9">
        <f t="shared" si="1"/>
        <v>0.78787878787878785</v>
      </c>
      <c r="AQ12" s="9">
        <f t="shared" si="1"/>
        <v>0.94710024714764529</v>
      </c>
      <c r="AR12" s="9">
        <f t="shared" si="1"/>
        <v>0.79685977115849338</v>
      </c>
      <c r="AS12" s="9">
        <f t="shared" si="2"/>
        <v>0.79641446368884838</v>
      </c>
      <c r="AT12" s="9">
        <f t="shared" si="2"/>
        <v>0.88892461593426231</v>
      </c>
      <c r="AU12" s="9">
        <f t="shared" si="2"/>
        <v>0.69543087584667784</v>
      </c>
      <c r="AV12" s="9">
        <f t="shared" si="2"/>
        <v>0.70739973639615894</v>
      </c>
      <c r="AW12" s="9">
        <f t="shared" si="2"/>
        <v>1.0739716752242849</v>
      </c>
      <c r="AX12" s="9">
        <f t="shared" si="2"/>
        <v>0.87931034482758608</v>
      </c>
      <c r="AY12" s="9">
        <f t="shared" si="2"/>
        <v>0.7616229923922232</v>
      </c>
      <c r="AZ12" s="9">
        <f t="shared" si="2"/>
        <v>0.89908256880733939</v>
      </c>
      <c r="BA12" s="9">
        <f t="shared" si="2"/>
        <v>0.94964028776978426</v>
      </c>
      <c r="BB12" s="9">
        <f t="shared" si="2"/>
        <v>0.89253745632090387</v>
      </c>
      <c r="BC12" s="9">
        <f t="shared" si="3"/>
        <v>1.0829412555451001</v>
      </c>
      <c r="BD12" s="9">
        <f t="shared" si="3"/>
        <v>0.85213702798653701</v>
      </c>
      <c r="BE12" s="9">
        <f t="shared" si="3"/>
        <v>0.65928428428428432</v>
      </c>
      <c r="BF12" s="9">
        <f t="shared" si="3"/>
        <v>0.83414268487436039</v>
      </c>
      <c r="BG12" s="9">
        <f t="shared" si="3"/>
        <v>0.97295345995779192</v>
      </c>
      <c r="BH12" s="9">
        <f t="shared" si="3"/>
        <v>0.91247906197654938</v>
      </c>
      <c r="BI12" s="9">
        <f t="shared" si="3"/>
        <v>0.84588568045780432</v>
      </c>
      <c r="BJ12" s="9">
        <f t="shared" si="3"/>
        <v>0.62437190823043665</v>
      </c>
    </row>
    <row r="13" spans="3:62" x14ac:dyDescent="0.25">
      <c r="C13">
        <v>2014</v>
      </c>
      <c r="D13" s="8">
        <v>0.57699999999999996</v>
      </c>
      <c r="E13" s="8">
        <v>42.393999999999998</v>
      </c>
      <c r="F13" s="8">
        <v>0.63500000000000001</v>
      </c>
      <c r="G13" s="8">
        <v>7.9240000000000004</v>
      </c>
      <c r="H13" s="8">
        <v>25.904</v>
      </c>
      <c r="I13" s="8">
        <v>162.59399999999999</v>
      </c>
      <c r="J13" s="8">
        <v>38.625999999999998</v>
      </c>
      <c r="K13" s="8">
        <v>13.286</v>
      </c>
      <c r="L13" s="8">
        <v>62.09</v>
      </c>
      <c r="M13" s="8">
        <v>65.05</v>
      </c>
      <c r="N13" s="8">
        <v>2.726</v>
      </c>
      <c r="O13" s="8">
        <v>23.539000000000001</v>
      </c>
      <c r="P13" s="8">
        <v>30.722000000000001</v>
      </c>
      <c r="Q13" s="8">
        <v>5.0119999999999996</v>
      </c>
      <c r="R13" s="8">
        <v>19.515000000000001</v>
      </c>
      <c r="S13" s="8">
        <v>0.20300000000000001</v>
      </c>
      <c r="T13" s="8">
        <v>9.2040000000000006</v>
      </c>
      <c r="U13" s="8">
        <v>3.7090000000000001</v>
      </c>
      <c r="V13" s="8">
        <v>1.6879999999999999</v>
      </c>
      <c r="W13" s="8">
        <v>28.091000000000001</v>
      </c>
      <c r="X13" s="8">
        <v>14.672000000000001</v>
      </c>
      <c r="Y13" s="8">
        <v>118.04900000000001</v>
      </c>
      <c r="Z13" s="8">
        <v>21.12</v>
      </c>
      <c r="AA13" s="8">
        <v>26.260999999999999</v>
      </c>
      <c r="AB13" s="8">
        <v>50.271000000000001</v>
      </c>
      <c r="AC13" s="8">
        <v>2.04</v>
      </c>
      <c r="AD13" s="8">
        <v>12.318</v>
      </c>
      <c r="AE13" s="8">
        <v>105.17700000000001</v>
      </c>
      <c r="AH13">
        <f>C13</f>
        <v>2014</v>
      </c>
      <c r="AI13" s="9">
        <f t="shared" si="1"/>
        <v>0</v>
      </c>
      <c r="AJ13" s="9">
        <f t="shared" si="1"/>
        <v>0.85101665329999543</v>
      </c>
      <c r="AK13" s="9">
        <f t="shared" si="1"/>
        <v>0.77952755905511806</v>
      </c>
      <c r="AL13" s="9">
        <f t="shared" si="1"/>
        <v>1.1193841494194849</v>
      </c>
      <c r="AM13" s="9">
        <f t="shared" si="1"/>
        <v>0.92595738109944414</v>
      </c>
      <c r="AN13" s="9">
        <f t="shared" si="1"/>
        <v>0.73753644045905753</v>
      </c>
      <c r="AO13" s="9">
        <f t="shared" si="1"/>
        <v>1.0118572981929272</v>
      </c>
      <c r="AP13" s="9">
        <f t="shared" si="1"/>
        <v>0.78307993376486529</v>
      </c>
      <c r="AQ13" s="9">
        <f t="shared" si="1"/>
        <v>0.96223224351747449</v>
      </c>
      <c r="AR13" s="9">
        <f t="shared" si="1"/>
        <v>0.780891621829362</v>
      </c>
      <c r="AS13" s="9">
        <f t="shared" si="2"/>
        <v>0.77512839325018346</v>
      </c>
      <c r="AT13" s="9">
        <f t="shared" si="2"/>
        <v>0.94502740133395635</v>
      </c>
      <c r="AU13" s="9">
        <f t="shared" si="2"/>
        <v>0.77175965106438382</v>
      </c>
      <c r="AV13" s="9">
        <f t="shared" si="2"/>
        <v>0.69992019154030338</v>
      </c>
      <c r="AW13" s="9">
        <f t="shared" si="2"/>
        <v>1.1168844478606199</v>
      </c>
      <c r="AX13" s="9">
        <f t="shared" si="2"/>
        <v>0.86699507389162556</v>
      </c>
      <c r="AY13" s="9">
        <f t="shared" si="2"/>
        <v>0.76749239461103869</v>
      </c>
      <c r="AZ13" s="9">
        <f t="shared" si="2"/>
        <v>0.94499865192774324</v>
      </c>
      <c r="BA13" s="9">
        <f t="shared" si="2"/>
        <v>0.93483412322274884</v>
      </c>
      <c r="BB13" s="9">
        <f t="shared" si="2"/>
        <v>0.7405218753337367</v>
      </c>
      <c r="BC13" s="9">
        <f t="shared" si="3"/>
        <v>1.1544438386041438</v>
      </c>
      <c r="BD13" s="9">
        <f t="shared" si="3"/>
        <v>0.85218849799659457</v>
      </c>
      <c r="BE13" s="9">
        <f t="shared" si="3"/>
        <v>0.64483901515151509</v>
      </c>
      <c r="BF13" s="9">
        <f t="shared" si="3"/>
        <v>0.85849739156924731</v>
      </c>
      <c r="BG13" s="9">
        <f t="shared" si="3"/>
        <v>1.0236915915736708</v>
      </c>
      <c r="BH13" s="9">
        <f t="shared" si="3"/>
        <v>0.88823529411764712</v>
      </c>
      <c r="BI13" s="9">
        <f t="shared" si="3"/>
        <v>0.88179899334307521</v>
      </c>
      <c r="BJ13" s="9">
        <f t="shared" si="3"/>
        <v>0.64675737090808827</v>
      </c>
    </row>
    <row r="14" spans="3:62" x14ac:dyDescent="0.25">
      <c r="C14" t="s">
        <v>173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G14" s="10">
        <v>0.92</v>
      </c>
      <c r="AI14" s="9">
        <f>IFERROR(MIN($AG$14,AVERAGE(AI9:AI13)),$AG$14)</f>
        <v>0</v>
      </c>
      <c r="AJ14" s="9">
        <f t="shared" ref="AJ14:BJ14" si="4">IFERROR(MIN($AG$14,AVERAGE(AJ9:AJ13)),$AG$14)</f>
        <v>0.8379591166556235</v>
      </c>
      <c r="AK14" s="9">
        <f t="shared" si="4"/>
        <v>0.75440833814036334</v>
      </c>
      <c r="AL14" s="9">
        <f t="shared" si="4"/>
        <v>0.92</v>
      </c>
      <c r="AM14" s="9">
        <f t="shared" si="4"/>
        <v>0.87773846424573121</v>
      </c>
      <c r="AN14" s="9">
        <f t="shared" si="4"/>
        <v>0.73214482531484548</v>
      </c>
      <c r="AO14" s="9">
        <f t="shared" si="4"/>
        <v>0.92</v>
      </c>
      <c r="AP14" s="9">
        <f t="shared" si="4"/>
        <v>0.79532736973803608</v>
      </c>
      <c r="AQ14" s="9">
        <f t="shared" si="4"/>
        <v>0.92</v>
      </c>
      <c r="AR14" s="9">
        <f t="shared" si="4"/>
        <v>0.6991826625013543</v>
      </c>
      <c r="AS14" s="9">
        <f t="shared" si="4"/>
        <v>0.78855175774480668</v>
      </c>
      <c r="AT14" s="9">
        <f t="shared" si="4"/>
        <v>0.8584228638790552</v>
      </c>
      <c r="AU14" s="9">
        <f t="shared" si="4"/>
        <v>0.66947911358772882</v>
      </c>
      <c r="AV14" s="9">
        <f t="shared" si="4"/>
        <v>0.68138322293051257</v>
      </c>
      <c r="AW14" s="9">
        <f t="shared" si="4"/>
        <v>0.92</v>
      </c>
      <c r="AX14" s="9">
        <f t="shared" si="4"/>
        <v>0.87337213287349746</v>
      </c>
      <c r="AY14" s="9">
        <f t="shared" si="4"/>
        <v>0.78126868482236722</v>
      </c>
      <c r="AZ14" s="9">
        <f t="shared" si="4"/>
        <v>0.91792402931370698</v>
      </c>
      <c r="BA14" s="9">
        <f t="shared" si="4"/>
        <v>0.92</v>
      </c>
      <c r="BB14" s="9">
        <f t="shared" si="4"/>
        <v>0.83120109429670708</v>
      </c>
      <c r="BC14" s="9">
        <f t="shared" si="4"/>
        <v>0.92</v>
      </c>
      <c r="BD14" s="9">
        <f t="shared" si="4"/>
        <v>0.8453388949589401</v>
      </c>
      <c r="BE14" s="9">
        <f t="shared" si="4"/>
        <v>0.71982652965909666</v>
      </c>
      <c r="BF14" s="9">
        <f t="shared" si="4"/>
        <v>0.85472418386531035</v>
      </c>
      <c r="BG14" s="9">
        <f t="shared" si="4"/>
        <v>0.92</v>
      </c>
      <c r="BH14" s="9">
        <f t="shared" si="4"/>
        <v>0.88893434612096978</v>
      </c>
      <c r="BI14" s="9">
        <f t="shared" si="4"/>
        <v>0.86389267960069627</v>
      </c>
      <c r="BJ14" s="9">
        <f t="shared" si="4"/>
        <v>0.61787599059097764</v>
      </c>
    </row>
    <row r="15" spans="3:62" x14ac:dyDescent="0.25">
      <c r="C15">
        <v>2010</v>
      </c>
      <c r="D15" s="8">
        <v>0</v>
      </c>
      <c r="E15" s="8">
        <v>0</v>
      </c>
      <c r="F15" s="8">
        <v>0</v>
      </c>
      <c r="G15" s="8">
        <v>0</v>
      </c>
      <c r="H15" s="8">
        <v>2.9000000000000001E-2</v>
      </c>
      <c r="I15" s="8">
        <v>0</v>
      </c>
      <c r="J15" s="8">
        <v>0.151</v>
      </c>
      <c r="K15" s="8">
        <v>0</v>
      </c>
      <c r="L15" s="8">
        <v>0.60799999999999998</v>
      </c>
      <c r="M15" s="8">
        <v>0</v>
      </c>
      <c r="N15" s="8">
        <v>0</v>
      </c>
      <c r="O15" s="8">
        <v>0</v>
      </c>
      <c r="P15" s="8">
        <v>0.67</v>
      </c>
      <c r="Q15" s="8">
        <v>0</v>
      </c>
      <c r="R15" s="8">
        <v>1.4E-2</v>
      </c>
      <c r="S15" s="8">
        <v>0</v>
      </c>
      <c r="T15" s="8">
        <v>7.0000000000000001E-3</v>
      </c>
      <c r="U15" s="8">
        <v>0</v>
      </c>
      <c r="V15" s="8">
        <v>0</v>
      </c>
      <c r="W15" s="8">
        <v>0</v>
      </c>
      <c r="X15" s="8">
        <v>3.0459999999999998</v>
      </c>
      <c r="Y15" s="8">
        <v>0</v>
      </c>
      <c r="Z15" s="8">
        <v>0</v>
      </c>
      <c r="AA15" s="8">
        <v>0</v>
      </c>
      <c r="AB15" s="8">
        <v>5.8070000000000004</v>
      </c>
      <c r="AC15" s="8">
        <v>0</v>
      </c>
      <c r="AD15" s="8">
        <v>1.0999999999999999E-2</v>
      </c>
      <c r="AE15" s="8">
        <v>0</v>
      </c>
    </row>
    <row r="16" spans="3:62" x14ac:dyDescent="0.25">
      <c r="C16">
        <v>2011</v>
      </c>
      <c r="D16" s="8">
        <v>0</v>
      </c>
      <c r="E16" s="8">
        <v>0</v>
      </c>
      <c r="F16" s="8">
        <v>0</v>
      </c>
      <c r="G16" s="8">
        <v>0</v>
      </c>
      <c r="H16" s="8">
        <v>3.2000000000000001E-2</v>
      </c>
      <c r="I16" s="8">
        <v>0</v>
      </c>
      <c r="J16" s="8">
        <v>0.25900000000000001</v>
      </c>
      <c r="K16" s="8">
        <v>0</v>
      </c>
      <c r="L16" s="8">
        <v>0.59</v>
      </c>
      <c r="M16" s="8">
        <v>0</v>
      </c>
      <c r="N16" s="8">
        <v>0</v>
      </c>
      <c r="O16" s="8">
        <v>0</v>
      </c>
      <c r="P16" s="8">
        <v>0.70599999999999996</v>
      </c>
      <c r="Q16" s="8">
        <v>0</v>
      </c>
      <c r="R16" s="8">
        <v>1.4E-2</v>
      </c>
      <c r="S16" s="8">
        <v>0</v>
      </c>
      <c r="T16" s="8">
        <v>7.0000000000000001E-3</v>
      </c>
      <c r="U16" s="8">
        <v>0</v>
      </c>
      <c r="V16" s="8">
        <v>0</v>
      </c>
      <c r="W16" s="8">
        <v>0</v>
      </c>
      <c r="X16" s="8">
        <v>2.52</v>
      </c>
      <c r="Y16" s="8">
        <v>0</v>
      </c>
      <c r="Z16" s="8">
        <v>0</v>
      </c>
      <c r="AA16" s="8">
        <v>0</v>
      </c>
      <c r="AB16" s="8">
        <v>4.7990000000000004</v>
      </c>
      <c r="AC16" s="8">
        <v>0</v>
      </c>
      <c r="AD16" s="8">
        <v>1.0999999999999999E-2</v>
      </c>
      <c r="AE16" s="8">
        <v>0</v>
      </c>
      <c r="AG16" s="5" t="s">
        <v>174</v>
      </c>
      <c r="AH16" s="5" t="s">
        <v>30</v>
      </c>
    </row>
    <row r="17" spans="1:34" x14ac:dyDescent="0.25">
      <c r="C17">
        <v>2012</v>
      </c>
      <c r="D17" s="8">
        <v>0</v>
      </c>
      <c r="E17" s="8">
        <v>0</v>
      </c>
      <c r="F17" s="8">
        <v>0</v>
      </c>
      <c r="G17" s="8">
        <v>0</v>
      </c>
      <c r="H17" s="8">
        <v>2.9000000000000001E-2</v>
      </c>
      <c r="I17" s="8">
        <v>0</v>
      </c>
      <c r="J17" s="8">
        <v>0.69099999999999995</v>
      </c>
      <c r="K17" s="8">
        <v>0</v>
      </c>
      <c r="L17" s="8">
        <v>0.77</v>
      </c>
      <c r="M17" s="8">
        <v>1.0999999999999999E-2</v>
      </c>
      <c r="N17" s="8">
        <v>0</v>
      </c>
      <c r="O17" s="8">
        <v>0</v>
      </c>
      <c r="P17" s="8">
        <v>0.69799999999999995</v>
      </c>
      <c r="Q17" s="8">
        <v>0</v>
      </c>
      <c r="R17" s="8">
        <v>1.0999999999999999E-2</v>
      </c>
      <c r="S17" s="8">
        <v>0</v>
      </c>
      <c r="T17" s="8">
        <v>1.0999999999999999E-2</v>
      </c>
      <c r="U17" s="8">
        <v>0</v>
      </c>
      <c r="V17" s="8">
        <v>0</v>
      </c>
      <c r="W17" s="8">
        <v>0</v>
      </c>
      <c r="X17" s="8">
        <v>3.3730000000000002</v>
      </c>
      <c r="Y17" s="8">
        <v>0</v>
      </c>
      <c r="Z17" s="8">
        <v>0</v>
      </c>
      <c r="AA17" s="8">
        <v>0</v>
      </c>
      <c r="AB17" s="8">
        <v>6.4550000000000001</v>
      </c>
      <c r="AC17" s="8">
        <v>0</v>
      </c>
      <c r="AD17" s="8">
        <v>6.8000000000000005E-2</v>
      </c>
      <c r="AE17" s="8">
        <v>0</v>
      </c>
      <c r="AG17" s="5" t="s">
        <v>175</v>
      </c>
      <c r="AH17" s="5" t="s">
        <v>21</v>
      </c>
    </row>
    <row r="18" spans="1:34" x14ac:dyDescent="0.25">
      <c r="C18">
        <v>2013</v>
      </c>
      <c r="D18" s="8">
        <v>0</v>
      </c>
      <c r="E18" s="8">
        <v>0</v>
      </c>
      <c r="F18" s="8">
        <v>0</v>
      </c>
      <c r="G18" s="8">
        <v>0</v>
      </c>
      <c r="H18" s="8">
        <v>2.9000000000000001E-2</v>
      </c>
      <c r="I18" s="8">
        <v>0</v>
      </c>
      <c r="J18" s="8">
        <v>0.55800000000000005</v>
      </c>
      <c r="K18" s="8">
        <v>0</v>
      </c>
      <c r="L18" s="8">
        <v>0.68</v>
      </c>
      <c r="M18" s="8">
        <v>2.1999999999999999E-2</v>
      </c>
      <c r="N18" s="8">
        <v>0</v>
      </c>
      <c r="O18" s="8">
        <v>0</v>
      </c>
      <c r="P18" s="8">
        <v>0.69799999999999995</v>
      </c>
      <c r="Q18" s="8">
        <v>0</v>
      </c>
      <c r="R18" s="8">
        <v>1.0999999999999999E-2</v>
      </c>
      <c r="S18" s="8">
        <v>0</v>
      </c>
      <c r="T18" s="8">
        <v>1.4E-2</v>
      </c>
      <c r="U18" s="8">
        <v>0</v>
      </c>
      <c r="V18" s="8">
        <v>0</v>
      </c>
      <c r="W18" s="8">
        <v>0</v>
      </c>
      <c r="X18" s="8">
        <v>3.6</v>
      </c>
      <c r="Y18" s="8">
        <v>0</v>
      </c>
      <c r="Z18" s="8">
        <v>0</v>
      </c>
      <c r="AA18" s="8">
        <v>0</v>
      </c>
      <c r="AB18" s="8">
        <v>5.2519999999999998</v>
      </c>
      <c r="AC18" s="8">
        <v>0</v>
      </c>
      <c r="AD18" s="8">
        <v>4.2999999999999997E-2</v>
      </c>
      <c r="AE18" s="8">
        <v>0</v>
      </c>
      <c r="AG18" s="5" t="s">
        <v>176</v>
      </c>
      <c r="AH18" s="5" t="s">
        <v>24</v>
      </c>
    </row>
    <row r="19" spans="1:34" x14ac:dyDescent="0.25">
      <c r="C19">
        <v>2014</v>
      </c>
      <c r="D19" s="8">
        <v>0</v>
      </c>
      <c r="E19" s="8">
        <v>0</v>
      </c>
      <c r="F19" s="8">
        <v>0</v>
      </c>
      <c r="G19" s="8">
        <v>0</v>
      </c>
      <c r="H19" s="8">
        <v>5.8000000000000003E-2</v>
      </c>
      <c r="I19" s="8">
        <v>0</v>
      </c>
      <c r="J19" s="8">
        <v>0.45400000000000001</v>
      </c>
      <c r="K19" s="8">
        <v>0</v>
      </c>
      <c r="L19" s="8">
        <v>0.875</v>
      </c>
      <c r="M19" s="8">
        <v>6.8000000000000005E-2</v>
      </c>
      <c r="N19" s="8">
        <v>0</v>
      </c>
      <c r="O19" s="8">
        <v>1.4E-2</v>
      </c>
      <c r="P19" s="8">
        <v>0.71299999999999997</v>
      </c>
      <c r="Q19" s="8">
        <v>0</v>
      </c>
      <c r="R19" s="8">
        <v>1.0999999999999999E-2</v>
      </c>
      <c r="S19" s="8">
        <v>0</v>
      </c>
      <c r="T19" s="8">
        <v>7.0000000000000001E-3</v>
      </c>
      <c r="U19" s="8">
        <v>0</v>
      </c>
      <c r="V19" s="8">
        <v>0</v>
      </c>
      <c r="W19" s="8">
        <v>0</v>
      </c>
      <c r="X19" s="8">
        <v>3.121</v>
      </c>
      <c r="Y19" s="8">
        <v>0</v>
      </c>
      <c r="Z19" s="8">
        <v>0</v>
      </c>
      <c r="AA19" s="8">
        <v>0</v>
      </c>
      <c r="AB19" s="8">
        <v>6.4939999999999998</v>
      </c>
      <c r="AC19" s="8">
        <v>0</v>
      </c>
      <c r="AD19" s="8">
        <v>5.8000000000000003E-2</v>
      </c>
      <c r="AE19" s="8">
        <v>0</v>
      </c>
      <c r="AG19" s="5" t="s">
        <v>177</v>
      </c>
      <c r="AH19" s="5" t="s">
        <v>109</v>
      </c>
    </row>
    <row r="20" spans="1:34" x14ac:dyDescent="0.25">
      <c r="A20" t="str">
        <f t="shared" ref="A20:A51" si="5">IFERROR(VLOOKUP(B20,$AG$16:$AH$24,2,FALSE),"")</f>
        <v>ELCGAS</v>
      </c>
      <c r="B20" t="str">
        <f>IF(ISNUMBER(C20),B19,C20)</f>
        <v>Gas</v>
      </c>
      <c r="C20" t="s">
        <v>174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G20" s="5" t="s">
        <v>178</v>
      </c>
      <c r="AH20" s="5" t="s">
        <v>52</v>
      </c>
    </row>
    <row r="21" spans="1:34" x14ac:dyDescent="0.25">
      <c r="A21" t="str">
        <f t="shared" si="5"/>
        <v>ELCGAS</v>
      </c>
      <c r="B21" t="str">
        <f t="shared" ref="B21:B84" si="6">IF(ISNUMBER(C21),B20,C21)</f>
        <v>Gas</v>
      </c>
      <c r="C21">
        <v>2010</v>
      </c>
      <c r="D21" s="8">
        <v>0</v>
      </c>
      <c r="E21" s="8">
        <v>10.228999999999999</v>
      </c>
      <c r="F21" s="8">
        <v>0.08</v>
      </c>
      <c r="G21" s="8">
        <v>11.406000000000001</v>
      </c>
      <c r="H21" s="8">
        <v>25.991</v>
      </c>
      <c r="I21" s="8">
        <v>110.53100000000001</v>
      </c>
      <c r="J21" s="8">
        <v>9.8149999999999995</v>
      </c>
      <c r="K21" s="8">
        <v>11.750999999999999</v>
      </c>
      <c r="L21" s="8">
        <v>16.335999999999999</v>
      </c>
      <c r="M21" s="8">
        <v>0</v>
      </c>
      <c r="N21" s="8">
        <v>2.9409999999999998</v>
      </c>
      <c r="O21" s="8">
        <v>17.263000000000002</v>
      </c>
      <c r="P21" s="8">
        <v>0</v>
      </c>
      <c r="Q21" s="8">
        <v>0</v>
      </c>
      <c r="R21" s="8">
        <v>11.454000000000001</v>
      </c>
      <c r="S21" s="8">
        <v>6.9000000000000006E-2</v>
      </c>
      <c r="T21" s="8">
        <v>8</v>
      </c>
      <c r="U21" s="8">
        <v>3.9540000000000002</v>
      </c>
      <c r="V21" s="8">
        <v>1.5880000000000001</v>
      </c>
      <c r="W21" s="8">
        <v>9.42</v>
      </c>
      <c r="X21" s="8">
        <v>0.7</v>
      </c>
      <c r="Y21" s="8">
        <v>12.023</v>
      </c>
      <c r="Z21" s="8">
        <v>22.954000000000001</v>
      </c>
      <c r="AA21" s="8">
        <v>18.891999999999999</v>
      </c>
      <c r="AB21" s="8">
        <v>1.722</v>
      </c>
      <c r="AC21" s="8">
        <v>1.875</v>
      </c>
      <c r="AD21" s="8">
        <v>17.484000000000002</v>
      </c>
      <c r="AE21" s="8">
        <v>78.811999999999998</v>
      </c>
      <c r="AG21" s="5" t="s">
        <v>179</v>
      </c>
      <c r="AH21" s="5" t="s">
        <v>42</v>
      </c>
    </row>
    <row r="22" spans="1:34" x14ac:dyDescent="0.25">
      <c r="A22" t="str">
        <f t="shared" si="5"/>
        <v>ELCGAS</v>
      </c>
      <c r="B22" t="str">
        <f t="shared" si="6"/>
        <v>Gas</v>
      </c>
      <c r="C22">
        <v>2011</v>
      </c>
      <c r="D22" s="8">
        <v>0</v>
      </c>
      <c r="E22" s="8">
        <v>10.75</v>
      </c>
      <c r="F22" s="8">
        <v>0.78300000000000003</v>
      </c>
      <c r="G22" s="8">
        <v>9.8699999999999992</v>
      </c>
      <c r="H22" s="8">
        <v>22.026</v>
      </c>
      <c r="I22" s="8">
        <v>96.06</v>
      </c>
      <c r="J22" s="8">
        <v>8.43</v>
      </c>
      <c r="K22" s="8">
        <v>10.098000000000001</v>
      </c>
      <c r="L22" s="8">
        <v>14.196999999999999</v>
      </c>
      <c r="M22" s="8">
        <v>0</v>
      </c>
      <c r="N22" s="8">
        <v>2.5840000000000001</v>
      </c>
      <c r="O22" s="8">
        <v>20.263000000000002</v>
      </c>
      <c r="P22" s="8">
        <v>0</v>
      </c>
      <c r="Q22" s="8">
        <v>0</v>
      </c>
      <c r="R22" s="8">
        <v>9.8460000000000001</v>
      </c>
      <c r="S22" s="8">
        <v>9.6000000000000002E-2</v>
      </c>
      <c r="T22" s="8">
        <v>6.8949999999999996</v>
      </c>
      <c r="U22" s="8">
        <v>3.8069999999999999</v>
      </c>
      <c r="V22" s="8">
        <v>1.6679999999999999</v>
      </c>
      <c r="W22" s="8">
        <v>8.5139999999999993</v>
      </c>
      <c r="X22" s="8">
        <v>0.68799999999999994</v>
      </c>
      <c r="Y22" s="8">
        <v>10.643000000000001</v>
      </c>
      <c r="Z22" s="8">
        <v>19.241</v>
      </c>
      <c r="AA22" s="8">
        <v>20.896000000000001</v>
      </c>
      <c r="AB22" s="8">
        <v>1.0629999999999999</v>
      </c>
      <c r="AC22" s="8">
        <v>2.0630000000000002</v>
      </c>
      <c r="AD22" s="8">
        <v>14.438000000000001</v>
      </c>
      <c r="AE22" s="8">
        <v>76.311999999999998</v>
      </c>
      <c r="AG22" s="5" t="s">
        <v>180</v>
      </c>
      <c r="AH22" s="5" t="s">
        <v>34</v>
      </c>
    </row>
    <row r="23" spans="1:34" x14ac:dyDescent="0.25">
      <c r="A23" t="str">
        <f t="shared" si="5"/>
        <v>ELCGAS</v>
      </c>
      <c r="B23" t="str">
        <f t="shared" si="6"/>
        <v>Gas</v>
      </c>
      <c r="C23">
        <v>2012</v>
      </c>
      <c r="D23" s="8">
        <v>0</v>
      </c>
      <c r="E23" s="8">
        <v>12.077999999999999</v>
      </c>
      <c r="F23" s="8">
        <v>0.12</v>
      </c>
      <c r="G23" s="8">
        <v>8.1359999999999992</v>
      </c>
      <c r="H23" s="8">
        <v>27.31</v>
      </c>
      <c r="I23" s="8">
        <v>90.548000000000002</v>
      </c>
      <c r="J23" s="8">
        <v>12.621</v>
      </c>
      <c r="K23" s="8">
        <v>12.606999999999999</v>
      </c>
      <c r="L23" s="8">
        <v>17.989000000000001</v>
      </c>
      <c r="M23" s="8">
        <v>27.361999999999998</v>
      </c>
      <c r="N23" s="8">
        <v>2.605</v>
      </c>
      <c r="O23" s="8">
        <v>24.248000000000001</v>
      </c>
      <c r="P23" s="8">
        <v>0</v>
      </c>
      <c r="Q23" s="8">
        <v>0</v>
      </c>
      <c r="R23" s="8">
        <v>9.7119999999999997</v>
      </c>
      <c r="S23" s="8">
        <v>7.5999999999999998E-2</v>
      </c>
      <c r="T23" s="8">
        <v>6.2880000000000003</v>
      </c>
      <c r="U23" s="8">
        <v>3.6629999999999998</v>
      </c>
      <c r="V23" s="8">
        <v>1.048</v>
      </c>
      <c r="W23" s="8">
        <v>9.0860000000000003</v>
      </c>
      <c r="X23" s="8">
        <v>0.65800000000000003</v>
      </c>
      <c r="Y23" s="8">
        <v>10.502000000000001</v>
      </c>
      <c r="Z23" s="8">
        <v>13.702</v>
      </c>
      <c r="AA23" s="8">
        <v>19.814</v>
      </c>
      <c r="AB23" s="8">
        <v>1.1299999999999999</v>
      </c>
      <c r="AC23" s="8">
        <v>1.897</v>
      </c>
      <c r="AD23" s="8">
        <v>13.76</v>
      </c>
      <c r="AE23" s="8">
        <v>83.296000000000006</v>
      </c>
    </row>
    <row r="24" spans="1:34" x14ac:dyDescent="0.25">
      <c r="A24" t="str">
        <f t="shared" si="5"/>
        <v>ELCGAS</v>
      </c>
      <c r="B24" t="str">
        <f t="shared" si="6"/>
        <v>Gas</v>
      </c>
      <c r="C24">
        <v>2013</v>
      </c>
      <c r="D24" s="8">
        <v>0</v>
      </c>
      <c r="E24" s="8">
        <v>14.837</v>
      </c>
      <c r="F24" s="8">
        <v>7.4999999999999997E-2</v>
      </c>
      <c r="G24" s="8">
        <v>6.1070000000000002</v>
      </c>
      <c r="H24" s="8">
        <v>26.111000000000001</v>
      </c>
      <c r="I24" s="8">
        <v>101.88200000000001</v>
      </c>
      <c r="J24" s="8">
        <v>12.837999999999999</v>
      </c>
      <c r="K24" s="8">
        <v>10.35</v>
      </c>
      <c r="L24" s="8">
        <v>14.090999999999999</v>
      </c>
      <c r="M24" s="8">
        <v>30.39</v>
      </c>
      <c r="N24" s="8">
        <v>2.92</v>
      </c>
      <c r="O24" s="8">
        <v>24.413</v>
      </c>
      <c r="P24" s="8">
        <v>0</v>
      </c>
      <c r="Q24" s="8">
        <v>0</v>
      </c>
      <c r="R24" s="8">
        <v>7.8360000000000003</v>
      </c>
      <c r="S24" s="8">
        <v>0.11600000000000001</v>
      </c>
      <c r="T24" s="8">
        <v>4.4630000000000001</v>
      </c>
      <c r="U24" s="8">
        <v>3.4889999999999999</v>
      </c>
      <c r="V24" s="8">
        <v>1.171</v>
      </c>
      <c r="W24" s="8">
        <v>9.6969999999999992</v>
      </c>
      <c r="X24" s="8">
        <v>0.54100000000000004</v>
      </c>
      <c r="Y24" s="8">
        <v>11.226000000000001</v>
      </c>
      <c r="Z24" s="8">
        <v>19.366</v>
      </c>
      <c r="AA24" s="8">
        <v>18.606999999999999</v>
      </c>
      <c r="AB24" s="8">
        <v>0.89500000000000002</v>
      </c>
      <c r="AC24" s="8">
        <v>1.677</v>
      </c>
      <c r="AD24" s="8">
        <v>11.61</v>
      </c>
      <c r="AE24" s="8">
        <v>82.117000000000004</v>
      </c>
    </row>
    <row r="25" spans="1:34" x14ac:dyDescent="0.25">
      <c r="A25" t="str">
        <f t="shared" si="5"/>
        <v>ELCGAS</v>
      </c>
      <c r="B25" t="str">
        <f t="shared" si="6"/>
        <v>Gas</v>
      </c>
      <c r="C25">
        <v>2014</v>
      </c>
      <c r="D25" s="8">
        <v>0</v>
      </c>
      <c r="E25" s="8">
        <v>13.916</v>
      </c>
      <c r="F25" s="8">
        <v>0.155</v>
      </c>
      <c r="G25" s="8">
        <v>7.141</v>
      </c>
      <c r="H25" s="8">
        <v>21.914000000000001</v>
      </c>
      <c r="I25" s="8">
        <v>86.518000000000001</v>
      </c>
      <c r="J25" s="8">
        <v>14.519</v>
      </c>
      <c r="K25" s="8">
        <v>8.9250000000000007</v>
      </c>
      <c r="L25" s="8">
        <v>15.493</v>
      </c>
      <c r="M25" s="8">
        <v>23.053999999999998</v>
      </c>
      <c r="N25" s="8">
        <v>2.4780000000000002</v>
      </c>
      <c r="O25" s="8">
        <v>20.353999999999999</v>
      </c>
      <c r="P25" s="8">
        <v>0</v>
      </c>
      <c r="Q25" s="8">
        <v>0</v>
      </c>
      <c r="R25" s="8">
        <v>5.9950000000000001</v>
      </c>
      <c r="S25" s="8">
        <v>0.08</v>
      </c>
      <c r="T25" s="8">
        <v>3.2890000000000001</v>
      </c>
      <c r="U25" s="8">
        <v>3.2810000000000001</v>
      </c>
      <c r="V25" s="8">
        <v>1.6879999999999999</v>
      </c>
      <c r="W25" s="8">
        <v>9.1839999999999993</v>
      </c>
      <c r="X25" s="8">
        <v>0.48199999999999998</v>
      </c>
      <c r="Y25" s="8">
        <v>9.4640000000000004</v>
      </c>
      <c r="Z25" s="8">
        <v>16.132999999999999</v>
      </c>
      <c r="AA25" s="8">
        <v>17.779</v>
      </c>
      <c r="AB25" s="8">
        <v>0.73</v>
      </c>
      <c r="AC25" s="8">
        <v>1.3680000000000001</v>
      </c>
      <c r="AD25" s="8">
        <v>9.7119999999999997</v>
      </c>
      <c r="AE25" s="8">
        <v>86.33</v>
      </c>
      <c r="AG25" s="5" t="s">
        <v>181</v>
      </c>
    </row>
    <row r="26" spans="1:34" x14ac:dyDescent="0.25">
      <c r="A26" t="str">
        <f t="shared" si="5"/>
        <v/>
      </c>
      <c r="B26" t="str">
        <f t="shared" si="6"/>
        <v>Renewable energies</v>
      </c>
      <c r="C26" t="s">
        <v>182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G26" s="5" t="s">
        <v>183</v>
      </c>
    </row>
    <row r="27" spans="1:34" x14ac:dyDescent="0.25">
      <c r="A27" t="str">
        <f t="shared" si="5"/>
        <v/>
      </c>
      <c r="B27" t="str">
        <f t="shared" si="6"/>
        <v>Renewable energies</v>
      </c>
      <c r="C27">
        <v>2010</v>
      </c>
      <c r="D27" s="8">
        <v>0</v>
      </c>
      <c r="E27" s="8">
        <v>24.818999999999999</v>
      </c>
      <c r="F27" s="8">
        <v>0.17599999999999999</v>
      </c>
      <c r="G27" s="8">
        <v>0.09</v>
      </c>
      <c r="H27" s="8">
        <v>1.1359999999999999</v>
      </c>
      <c r="I27" s="8">
        <v>29.614999999999998</v>
      </c>
      <c r="J27" s="8">
        <v>21.452999999999999</v>
      </c>
      <c r="K27" s="8">
        <v>3.8069999999999999</v>
      </c>
      <c r="L27" s="8">
        <v>24.087</v>
      </c>
      <c r="M27" s="8">
        <v>18.425999999999998</v>
      </c>
      <c r="N27" s="8">
        <v>0</v>
      </c>
      <c r="O27" s="8">
        <v>0.45800000000000002</v>
      </c>
      <c r="P27" s="8">
        <v>25.001000000000001</v>
      </c>
      <c r="Q27" s="8">
        <v>4.585</v>
      </c>
      <c r="R27" s="8">
        <v>8.2270000000000003</v>
      </c>
      <c r="S27" s="8">
        <v>9.5000000000000001E-2</v>
      </c>
      <c r="T27" s="8">
        <v>6.1909999999999998</v>
      </c>
      <c r="U27" s="8">
        <v>0.51800000000000002</v>
      </c>
      <c r="V27" s="8">
        <v>0</v>
      </c>
      <c r="W27" s="8">
        <v>5.5229999999999997</v>
      </c>
      <c r="X27" s="8">
        <v>6.452</v>
      </c>
      <c r="Y27" s="8">
        <v>1.893</v>
      </c>
      <c r="Z27" s="8">
        <v>1.7789999999999999</v>
      </c>
      <c r="AA27" s="8">
        <v>8.4000000000000005E-2</v>
      </c>
      <c r="AB27" s="8">
        <v>52.1</v>
      </c>
      <c r="AC27" s="8">
        <v>0.35199999999999998</v>
      </c>
      <c r="AD27" s="8">
        <v>3.0430000000000001</v>
      </c>
      <c r="AE27" s="8">
        <v>1.0069999999999999</v>
      </c>
      <c r="AG27" s="5" t="s">
        <v>184</v>
      </c>
    </row>
    <row r="28" spans="1:34" x14ac:dyDescent="0.25">
      <c r="A28" t="str">
        <f t="shared" si="5"/>
        <v/>
      </c>
      <c r="B28" t="str">
        <f t="shared" si="6"/>
        <v>Renewable energies</v>
      </c>
      <c r="C28">
        <v>2011</v>
      </c>
      <c r="D28" s="8">
        <v>0</v>
      </c>
      <c r="E28" s="8">
        <v>20.54</v>
      </c>
      <c r="F28" s="8">
        <v>0.11</v>
      </c>
      <c r="G28" s="8">
        <v>9.0999999999999998E-2</v>
      </c>
      <c r="H28" s="8">
        <v>1.4630000000000001</v>
      </c>
      <c r="I28" s="8">
        <v>30.53</v>
      </c>
      <c r="J28" s="8">
        <v>19.445</v>
      </c>
      <c r="K28" s="8">
        <v>5.0030000000000001</v>
      </c>
      <c r="L28" s="8">
        <v>22.792999999999999</v>
      </c>
      <c r="M28" s="8">
        <v>15.849</v>
      </c>
      <c r="N28" s="8">
        <v>0</v>
      </c>
      <c r="O28" s="8">
        <v>0.81899999999999995</v>
      </c>
      <c r="P28" s="8">
        <v>25.542000000000002</v>
      </c>
      <c r="Q28" s="8">
        <v>4.8650000000000002</v>
      </c>
      <c r="R28" s="8">
        <v>7.6449999999999996</v>
      </c>
      <c r="S28" s="8">
        <v>0.10100000000000001</v>
      </c>
      <c r="T28" s="8">
        <v>5.4349999999999996</v>
      </c>
      <c r="U28" s="8">
        <v>0.4</v>
      </c>
      <c r="V28" s="8">
        <v>0</v>
      </c>
      <c r="W28" s="8">
        <v>5.3220000000000001</v>
      </c>
      <c r="X28" s="8">
        <v>6.3419999999999996</v>
      </c>
      <c r="Y28" s="8">
        <v>1.788</v>
      </c>
      <c r="Z28" s="8">
        <v>2.8839999999999999</v>
      </c>
      <c r="AA28" s="8">
        <v>0.09</v>
      </c>
      <c r="AB28" s="8">
        <v>49.485999999999997</v>
      </c>
      <c r="AC28" s="8">
        <v>0.41899999999999998</v>
      </c>
      <c r="AD28" s="8">
        <v>3.028</v>
      </c>
      <c r="AE28" s="8">
        <v>2.8039999999999998</v>
      </c>
      <c r="AG28" s="5" t="s">
        <v>185</v>
      </c>
    </row>
    <row r="29" spans="1:34" x14ac:dyDescent="0.25">
      <c r="A29" t="str">
        <f t="shared" si="5"/>
        <v/>
      </c>
      <c r="B29" t="str">
        <f t="shared" si="6"/>
        <v>Renewable energies</v>
      </c>
      <c r="C29">
        <v>2012</v>
      </c>
      <c r="D29" s="8">
        <v>0</v>
      </c>
      <c r="E29" s="8">
        <v>23.715</v>
      </c>
      <c r="F29" s="8">
        <v>0.29699999999999999</v>
      </c>
      <c r="G29" s="8">
        <v>0.125</v>
      </c>
      <c r="H29" s="8">
        <v>1.1779999999999999</v>
      </c>
      <c r="I29" s="8">
        <v>39.433999999999997</v>
      </c>
      <c r="J29" s="8">
        <v>21.308</v>
      </c>
      <c r="K29" s="8">
        <v>4.0279999999999996</v>
      </c>
      <c r="L29" s="8">
        <v>26.725000000000001</v>
      </c>
      <c r="M29" s="8">
        <v>19.372</v>
      </c>
      <c r="N29" s="8">
        <v>0</v>
      </c>
      <c r="O29" s="8">
        <v>1.2529999999999999</v>
      </c>
      <c r="P29" s="8">
        <v>26.100999999999999</v>
      </c>
      <c r="Q29" s="8">
        <v>5.2770000000000001</v>
      </c>
      <c r="R29" s="8">
        <v>9.3940000000000001</v>
      </c>
      <c r="S29" s="8">
        <v>0.10199999999999999</v>
      </c>
      <c r="T29" s="8">
        <v>5.9039999999999999</v>
      </c>
      <c r="U29" s="8">
        <v>0.23</v>
      </c>
      <c r="V29" s="8">
        <v>0</v>
      </c>
      <c r="W29" s="8">
        <v>2.3E-2</v>
      </c>
      <c r="X29" s="8">
        <v>7.3109999999999999</v>
      </c>
      <c r="Y29" s="8">
        <v>1.7</v>
      </c>
      <c r="Z29" s="8">
        <v>1.976</v>
      </c>
      <c r="AA29" s="8">
        <v>7.2999999999999995E-2</v>
      </c>
      <c r="AB29" s="8">
        <v>46.206000000000003</v>
      </c>
      <c r="AC29" s="8">
        <v>0.5</v>
      </c>
      <c r="AD29" s="8">
        <v>3.1970000000000001</v>
      </c>
      <c r="AE29" s="8">
        <v>3.5760000000000001</v>
      </c>
      <c r="AG29" s="5" t="s">
        <v>186</v>
      </c>
    </row>
    <row r="30" spans="1:34" x14ac:dyDescent="0.25">
      <c r="A30" t="str">
        <f t="shared" si="5"/>
        <v/>
      </c>
      <c r="B30" t="str">
        <f t="shared" si="6"/>
        <v>Renewable energies</v>
      </c>
      <c r="C30">
        <v>2013</v>
      </c>
      <c r="D30" s="8">
        <v>0</v>
      </c>
      <c r="E30" s="8">
        <v>24.815999999999999</v>
      </c>
      <c r="F30" s="8">
        <v>0.313</v>
      </c>
      <c r="G30" s="8">
        <v>5.2999999999999999E-2</v>
      </c>
      <c r="H30" s="8">
        <v>1.2869999999999999</v>
      </c>
      <c r="I30" s="8">
        <v>33.661999999999999</v>
      </c>
      <c r="J30" s="8">
        <v>21.11</v>
      </c>
      <c r="K30" s="8">
        <v>4.2539999999999996</v>
      </c>
      <c r="L30" s="8">
        <v>27.143999999999998</v>
      </c>
      <c r="M30" s="8">
        <v>22.908999999999999</v>
      </c>
      <c r="N30" s="8">
        <v>0</v>
      </c>
      <c r="O30" s="8">
        <v>2.4740000000000002</v>
      </c>
      <c r="P30" s="8">
        <v>24.843</v>
      </c>
      <c r="Q30" s="8">
        <v>5.3109999999999999</v>
      </c>
      <c r="R30" s="8">
        <v>8.8480000000000008</v>
      </c>
      <c r="S30" s="8">
        <v>0.11600000000000001</v>
      </c>
      <c r="T30" s="8">
        <v>5.9880000000000004</v>
      </c>
      <c r="U30" s="8">
        <v>0.26900000000000002</v>
      </c>
      <c r="V30" s="8">
        <v>0</v>
      </c>
      <c r="W30" s="8">
        <v>7.5999999999999998E-2</v>
      </c>
      <c r="X30" s="8">
        <v>7.82</v>
      </c>
      <c r="Y30" s="8">
        <v>2.0099999999999998</v>
      </c>
      <c r="Z30" s="8">
        <v>1.728</v>
      </c>
      <c r="AA30" s="8">
        <v>7.9000000000000001E-2</v>
      </c>
      <c r="AB30" s="8">
        <v>42.128</v>
      </c>
      <c r="AC30" s="8">
        <v>0.46100000000000002</v>
      </c>
      <c r="AD30" s="8">
        <v>3.1949999999999998</v>
      </c>
      <c r="AE30" s="8">
        <v>1.4019999999999999</v>
      </c>
      <c r="AG30" s="5" t="s">
        <v>187</v>
      </c>
    </row>
    <row r="31" spans="1:34" x14ac:dyDescent="0.25">
      <c r="A31" t="str">
        <f t="shared" si="5"/>
        <v/>
      </c>
      <c r="B31" t="str">
        <f t="shared" si="6"/>
        <v>Renewable energies</v>
      </c>
      <c r="C31">
        <v>2014</v>
      </c>
      <c r="D31" s="8">
        <v>0</v>
      </c>
      <c r="E31" s="8">
        <v>25.396999999999998</v>
      </c>
      <c r="F31" s="8">
        <v>0.29199999999999998</v>
      </c>
      <c r="G31" s="8">
        <v>0.23699999999999999</v>
      </c>
      <c r="H31" s="8">
        <v>1.151</v>
      </c>
      <c r="I31" s="8">
        <v>35.612000000000002</v>
      </c>
      <c r="J31" s="8">
        <v>20.701000000000001</v>
      </c>
      <c r="K31" s="8">
        <v>3.27</v>
      </c>
      <c r="L31" s="8">
        <v>29.701000000000001</v>
      </c>
      <c r="M31" s="8">
        <v>25.152999999999999</v>
      </c>
      <c r="N31" s="8">
        <v>0</v>
      </c>
      <c r="O31" s="8">
        <v>2.9</v>
      </c>
      <c r="P31" s="8">
        <v>30.009</v>
      </c>
      <c r="Q31" s="8">
        <v>5.0119999999999996</v>
      </c>
      <c r="R31" s="8">
        <v>12.769</v>
      </c>
      <c r="S31" s="8">
        <v>0.123</v>
      </c>
      <c r="T31" s="8">
        <v>5.8360000000000003</v>
      </c>
      <c r="U31" s="8">
        <v>0.35499999999999998</v>
      </c>
      <c r="V31" s="8">
        <v>0</v>
      </c>
      <c r="W31" s="8">
        <v>0.42199999999999999</v>
      </c>
      <c r="X31" s="8">
        <v>8.0399999999999991</v>
      </c>
      <c r="Y31" s="8">
        <v>1.742</v>
      </c>
      <c r="Z31" s="8">
        <v>2.0550000000000002</v>
      </c>
      <c r="AA31" s="8">
        <v>0.09</v>
      </c>
      <c r="AB31" s="8">
        <v>38.71</v>
      </c>
      <c r="AC31" s="8">
        <v>0.34899999999999998</v>
      </c>
      <c r="AD31" s="8">
        <v>2.4409999999999998</v>
      </c>
      <c r="AE31" s="8">
        <v>1.583</v>
      </c>
      <c r="AG31" s="5" t="s">
        <v>188</v>
      </c>
    </row>
    <row r="32" spans="1:34" x14ac:dyDescent="0.25">
      <c r="A32" t="str">
        <f t="shared" si="5"/>
        <v>ELCCOH</v>
      </c>
      <c r="B32" t="str">
        <f t="shared" si="6"/>
        <v>Solid fuels</v>
      </c>
      <c r="C32" t="s">
        <v>175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62" x14ac:dyDescent="0.25">
      <c r="A33" t="str">
        <f t="shared" si="5"/>
        <v>ELCCOH</v>
      </c>
      <c r="B33" t="str">
        <f t="shared" si="6"/>
        <v>Solid fuels</v>
      </c>
      <c r="C33">
        <v>2010</v>
      </c>
      <c r="D33" s="8">
        <v>0</v>
      </c>
      <c r="E33" s="8">
        <v>0</v>
      </c>
      <c r="F33" s="8">
        <v>0</v>
      </c>
      <c r="G33" s="8">
        <v>0.64700000000000002</v>
      </c>
      <c r="H33" s="8">
        <v>4.4580000000000002</v>
      </c>
      <c r="I33" s="8">
        <v>29.375</v>
      </c>
      <c r="J33" s="8">
        <v>0.122</v>
      </c>
      <c r="K33" s="8">
        <v>1.01</v>
      </c>
      <c r="L33" s="8">
        <v>10.35</v>
      </c>
      <c r="M33" s="8">
        <v>0</v>
      </c>
      <c r="N33" s="8">
        <v>0</v>
      </c>
      <c r="O33" s="8">
        <v>1.5920000000000001</v>
      </c>
      <c r="P33" s="8">
        <v>0</v>
      </c>
      <c r="Q33" s="8">
        <v>0</v>
      </c>
      <c r="R33" s="8">
        <v>0.26900000000000002</v>
      </c>
      <c r="S33" s="8">
        <v>0</v>
      </c>
      <c r="T33" s="8">
        <v>0.16700000000000001</v>
      </c>
      <c r="U33" s="8">
        <v>7.3999999999999996E-2</v>
      </c>
      <c r="V33" s="8">
        <v>0</v>
      </c>
      <c r="W33" s="8">
        <v>0</v>
      </c>
      <c r="X33" s="8">
        <v>0</v>
      </c>
      <c r="Y33" s="8">
        <v>139.28800000000001</v>
      </c>
      <c r="Z33" s="8">
        <v>0.13400000000000001</v>
      </c>
      <c r="AA33" s="8">
        <v>5.9850000000000003</v>
      </c>
      <c r="AB33" s="8">
        <v>1.85</v>
      </c>
      <c r="AC33" s="8">
        <v>0</v>
      </c>
      <c r="AD33" s="8">
        <v>0.16400000000000001</v>
      </c>
      <c r="AE33" s="8">
        <v>12.547000000000001</v>
      </c>
      <c r="AG33" s="7" t="s">
        <v>189</v>
      </c>
      <c r="AI33" t="str">
        <f t="shared" ref="AI33:BJ33" si="7">D5</f>
        <v>AL</v>
      </c>
      <c r="AJ33" t="str">
        <f t="shared" si="7"/>
        <v>AT</v>
      </c>
      <c r="AK33" t="str">
        <f t="shared" si="7"/>
        <v>BE</v>
      </c>
      <c r="AL33" t="str">
        <f t="shared" si="7"/>
        <v>BG</v>
      </c>
      <c r="AM33" t="str">
        <f t="shared" si="7"/>
        <v>CZ</v>
      </c>
      <c r="AN33" t="str">
        <f t="shared" si="7"/>
        <v>DE</v>
      </c>
      <c r="AO33" t="str">
        <f t="shared" si="7"/>
        <v>DK</v>
      </c>
      <c r="AP33" t="str">
        <f t="shared" si="7"/>
        <v>EE</v>
      </c>
      <c r="AQ33" t="str">
        <f t="shared" si="7"/>
        <v>FI</v>
      </c>
      <c r="AR33" t="str">
        <f t="shared" si="7"/>
        <v>FR</v>
      </c>
      <c r="AS33" t="str">
        <f t="shared" si="7"/>
        <v>HR</v>
      </c>
      <c r="AT33" t="str">
        <f t="shared" si="7"/>
        <v>HU</v>
      </c>
      <c r="AU33" t="str">
        <f t="shared" si="7"/>
        <v>IS</v>
      </c>
      <c r="AV33" t="str">
        <f t="shared" si="7"/>
        <v>IT</v>
      </c>
      <c r="AW33" t="str">
        <f t="shared" si="7"/>
        <v>LT</v>
      </c>
      <c r="AX33" t="str">
        <f t="shared" si="7"/>
        <v>LU</v>
      </c>
      <c r="AY33" t="str">
        <f t="shared" si="7"/>
        <v>LV</v>
      </c>
      <c r="AZ33" t="str">
        <f t="shared" si="7"/>
        <v>MD</v>
      </c>
      <c r="BA33" t="str">
        <f t="shared" si="7"/>
        <v>MK</v>
      </c>
      <c r="BB33" t="str">
        <f t="shared" si="7"/>
        <v>NL</v>
      </c>
      <c r="BC33" t="str">
        <f t="shared" si="7"/>
        <v>NO</v>
      </c>
      <c r="BD33" t="str">
        <f t="shared" si="7"/>
        <v>PL</v>
      </c>
      <c r="BE33" t="str">
        <f t="shared" si="7"/>
        <v>RO</v>
      </c>
      <c r="BF33" t="str">
        <f t="shared" si="7"/>
        <v>RS</v>
      </c>
      <c r="BG33" t="str">
        <f t="shared" si="7"/>
        <v>SE</v>
      </c>
      <c r="BH33" t="str">
        <f t="shared" si="7"/>
        <v>SI</v>
      </c>
      <c r="BI33" t="str">
        <f t="shared" si="7"/>
        <v>SK</v>
      </c>
      <c r="BJ33" t="str">
        <f t="shared" si="7"/>
        <v>UK</v>
      </c>
    </row>
    <row r="34" spans="1:62" x14ac:dyDescent="0.25">
      <c r="A34" t="str">
        <f t="shared" si="5"/>
        <v>ELCCOH</v>
      </c>
      <c r="B34" t="str">
        <f t="shared" si="6"/>
        <v>Solid fuels</v>
      </c>
      <c r="C34">
        <v>2011</v>
      </c>
      <c r="D34" s="8">
        <v>0</v>
      </c>
      <c r="E34" s="8">
        <v>0</v>
      </c>
      <c r="F34" s="8">
        <v>0</v>
      </c>
      <c r="G34" s="8">
        <v>1.075</v>
      </c>
      <c r="H34" s="8">
        <v>3.5579999999999998</v>
      </c>
      <c r="I34" s="8">
        <v>32.177</v>
      </c>
      <c r="J34" s="8">
        <v>7.2999999999999995E-2</v>
      </c>
      <c r="K34" s="8">
        <v>0.624</v>
      </c>
      <c r="L34" s="8">
        <v>9.0210000000000008</v>
      </c>
      <c r="M34" s="8">
        <v>0</v>
      </c>
      <c r="N34" s="8">
        <v>0</v>
      </c>
      <c r="O34" s="8">
        <v>1.63</v>
      </c>
      <c r="P34" s="8">
        <v>0</v>
      </c>
      <c r="Q34" s="8">
        <v>0</v>
      </c>
      <c r="R34" s="8">
        <v>0.27</v>
      </c>
      <c r="S34" s="8">
        <v>0</v>
      </c>
      <c r="T34" s="8">
        <v>0.14099999999999999</v>
      </c>
      <c r="U34" s="8">
        <v>7.1999999999999995E-2</v>
      </c>
      <c r="V34" s="8">
        <v>0</v>
      </c>
      <c r="W34" s="8">
        <v>0</v>
      </c>
      <c r="X34" s="8">
        <v>0</v>
      </c>
      <c r="Y34" s="8">
        <v>112.765</v>
      </c>
      <c r="Z34" s="8">
        <v>0.126</v>
      </c>
      <c r="AA34" s="8">
        <v>6.6</v>
      </c>
      <c r="AB34" s="8">
        <v>2.3940000000000001</v>
      </c>
      <c r="AC34" s="8">
        <v>0</v>
      </c>
      <c r="AD34" s="8">
        <v>0.13900000000000001</v>
      </c>
      <c r="AE34" s="8">
        <v>14.326000000000001</v>
      </c>
      <c r="AG34" t="s">
        <v>21</v>
      </c>
      <c r="AH34" s="8">
        <v>2010</v>
      </c>
      <c r="AI34" s="11" t="str">
        <f t="shared" ref="AI34:AI68" si="8">IFERROR(SUMIFS(D$9:D$136,$C$9:$C$136,$AH34,$A$9:$A$136,$AG34)/SUMIF($C$9:$C$13,$AH34,D$9:D$13),"")</f>
        <v/>
      </c>
      <c r="AJ34" s="11">
        <f t="shared" ref="AJ34:AJ68" si="9">IFERROR(SUMIFS(E$9:E$136,$C$9:$C$136,$AH34,$A$9:$A$136,$AG34)/SUMIF($C$9:$C$13,$AH34,E$9:E$13),"")</f>
        <v>0</v>
      </c>
      <c r="AK34" s="11">
        <f t="shared" ref="AK34:AK68" si="10">IFERROR(SUMIFS(F$9:F$136,$C$9:$C$136,$AH34,$A$9:$A$136,$AG34)/SUMIF($C$9:$C$13,$AH34,F$9:F$13),"")</f>
        <v>0</v>
      </c>
      <c r="AL34" s="11">
        <f t="shared" ref="AL34:AL68" si="11">IFERROR(SUMIFS(G$9:G$136,$C$9:$C$136,$AH34,$A$9:$A$136,$AG34)/SUMIF($C$9:$C$13,$AH34,G$9:G$13),"")</f>
        <v>5.0800879396984924E-2</v>
      </c>
      <c r="AM34" s="11">
        <f t="shared" ref="AM34:AM68" si="12">IFERROR(SUMIFS(H$9:H$136,$C$9:$C$136,$AH34,$A$9:$A$136,$AG34)/SUMIF($C$9:$C$13,$AH34,H$9:H$13),"")</f>
        <v>0.13532465167106822</v>
      </c>
      <c r="AN34" s="11">
        <f t="shared" ref="AN34:AN68" si="13">IFERROR(SUMIFS(I$9:I$136,$C$9:$C$136,$AH34,$A$9:$A$136,$AG34)/SUMIF($C$9:$C$13,$AH34,I$9:I$13),"")</f>
        <v>0.14757821017146705</v>
      </c>
      <c r="AO34" s="11">
        <f t="shared" ref="AO34:AO68" si="14">IFERROR(SUMIFS(J$9:J$136,$C$9:$C$136,$AH34,$A$9:$A$136,$AG34)/SUMIF($C$9:$C$13,$AH34,J$9:J$13),"")</f>
        <v>3.3527536550511158E-3</v>
      </c>
      <c r="AP34" s="11">
        <f t="shared" ref="AP34:AP68" si="15">IFERROR(SUMIFS(K$9:K$136,$C$9:$C$136,$AH34,$A$9:$A$136,$AG34)/SUMIF($C$9:$C$13,$AH34,K$9:K$13),"")</f>
        <v>5.4042484884156458E-2</v>
      </c>
      <c r="AQ34" s="11">
        <f t="shared" ref="AQ34:AQ68" si="16">IFERROR(SUMIFS(L$9:L$136,$C$9:$C$136,$AH34,$A$9:$A$136,$AG34)/SUMIF($C$9:$C$13,$AH34,L$9:L$13),"")</f>
        <v>0.15733548181141024</v>
      </c>
      <c r="AR34" s="11">
        <f t="shared" ref="AR34:AR68" si="17">IFERROR(SUMIFS(M$9:M$136,$C$9:$C$136,$AH34,$A$9:$A$136,$AG34)/SUMIF($C$9:$C$13,$AH34,M$9:M$13),"")</f>
        <v>0</v>
      </c>
      <c r="AS34" s="11">
        <f t="shared" ref="AS34:AS68" si="18">IFERROR(SUMIFS(N$9:N$136,$C$9:$C$136,$AH34,$A$9:$A$136,$AG34)/SUMIF($C$9:$C$13,$AH34,N$9:N$13),"")</f>
        <v>0</v>
      </c>
      <c r="AT34" s="11">
        <f t="shared" ref="AT34:AT68" si="19">IFERROR(SUMIFS(O$9:O$136,$C$9:$C$136,$AH34,$A$9:$A$136,$AG34)/SUMIF($C$9:$C$13,$AH34,O$9:O$13),"")</f>
        <v>8.1419730987572242E-2</v>
      </c>
      <c r="AU34" s="11">
        <f t="shared" ref="AU34:AU68" si="20">IFERROR(SUMIFS(P$9:P$136,$C$9:$C$136,$AH34,$A$9:$A$136,$AG34)/SUMIF($C$9:$C$13,$AH34,P$9:P$13),"")</f>
        <v>0</v>
      </c>
      <c r="AV34" s="11">
        <f t="shared" ref="AV34:AV68" si="21">IFERROR(SUMIFS(Q$9:Q$136,$C$9:$C$136,$AH34,$A$9:$A$136,$AG34)/SUMIF($C$9:$C$13,$AH34,Q$9:Q$13),"")</f>
        <v>0</v>
      </c>
      <c r="AW34" s="11">
        <f t="shared" ref="AW34:AW68" si="22">IFERROR(SUMIFS(R$9:R$136,$C$9:$C$136,$AH34,$A$9:$A$136,$AG34)/SUMIF($C$9:$C$13,$AH34,R$9:R$13),"")</f>
        <v>1.2944516625763921E-2</v>
      </c>
      <c r="AX34" s="11">
        <f t="shared" ref="AX34:AX68" si="23">IFERROR(SUMIFS(S$9:S$136,$C$9:$C$136,$AH34,$A$9:$A$136,$AG34)/SUMIF($C$9:$C$13,$AH34,S$9:S$13),"")</f>
        <v>0</v>
      </c>
      <c r="AY34" s="11">
        <f t="shared" ref="AY34:AY68" si="24">IFERROR(SUMIFS(T$9:T$136,$C$9:$C$136,$AH34,$A$9:$A$136,$AG34)/SUMIF($C$9:$C$13,$AH34,T$9:T$13),"")</f>
        <v>1.1218594652693807E-2</v>
      </c>
      <c r="AZ34" s="11">
        <f t="shared" ref="AZ34:AZ68" si="25">IFERROR(SUMIFS(U$9:U$136,$C$9:$C$136,$AH34,$A$9:$A$136,$AG34)/SUMIF($C$9:$C$13,$AH34,U$9:U$13),"")</f>
        <v>1.5849218248018847E-2</v>
      </c>
      <c r="BA34" s="11">
        <f t="shared" ref="BA34:BA68" si="26">IFERROR(SUMIFS(V$9:V$136,$C$9:$C$136,$AH34,$A$9:$A$136,$AG34)/SUMIF($C$9:$C$13,$AH34,V$9:V$13),"")</f>
        <v>0</v>
      </c>
      <c r="BB34" s="11">
        <f t="shared" ref="BB34:BB68" si="27">IFERROR(SUMIFS(W$9:W$136,$C$9:$C$136,$AH34,$A$9:$A$136,$AG34)/SUMIF($C$9:$C$13,$AH34,W$9:W$13),"")</f>
        <v>0</v>
      </c>
      <c r="BC34" s="11">
        <f t="shared" ref="BC34:BC68" si="28">IFERROR(SUMIFS(X$9:X$136,$C$9:$C$136,$AH34,$A$9:$A$136,$AG34)/SUMIF($C$9:$C$13,$AH34,X$9:X$13),"")</f>
        <v>0</v>
      </c>
      <c r="BD34" s="11">
        <f t="shared" ref="BD34:BD68" si="29">IFERROR(SUMIFS(Y$9:Y$136,$C$9:$C$136,$AH34,$A$9:$A$136,$AG34)/SUMIF($C$9:$C$13,$AH34,Y$9:Y$13),"")</f>
        <v>0.89935754640839394</v>
      </c>
      <c r="BE34" s="11">
        <f t="shared" ref="BE34:BE68" si="30">IFERROR(SUMIFS(Z$9:Z$136,$C$9:$C$136,$AH34,$A$9:$A$136,$AG34)/SUMIF($C$9:$C$13,$AH34,Z$9:Z$13),"")</f>
        <v>4.6471302236864923E-3</v>
      </c>
      <c r="BF34" s="11">
        <f t="shared" ref="BF34:BF68" si="31">IFERROR(SUMIFS(AA$9:AA$136,$C$9:$C$136,$AH34,$A$9:$A$136,$AG34)/SUMIF($C$9:$C$13,$AH34,AA$9:AA$13),"")</f>
        <v>0.18811289917022883</v>
      </c>
      <c r="BG34" s="11">
        <f t="shared" ref="BG34:BG68" si="32">IFERROR(SUMIFS(AB$9:AB$136,$C$9:$C$136,$AH34,$A$9:$A$136,$AG34)/SUMIF($C$9:$C$13,$AH34,AB$9:AB$13),"")</f>
        <v>2.546210275678875E-2</v>
      </c>
      <c r="BH34" s="11">
        <f t="shared" ref="BH34:BH68" si="33">IFERROR(SUMIFS(AC$9:AC$136,$C$9:$C$136,$AH34,$A$9:$A$136,$AG34)/SUMIF($C$9:$C$13,$AH34,AC$9:AC$13),"")</f>
        <v>0</v>
      </c>
      <c r="BI34" s="11">
        <f t="shared" ref="BI34:BI68" si="34">IFERROR(SUMIFS(AD$9:AD$136,$C$9:$C$136,$AH34,$A$9:$A$136,$AG34)/SUMIF($C$9:$C$13,$AH34,AD$9:AD$13),"")</f>
        <v>7.873637716645062E-3</v>
      </c>
      <c r="BJ34" s="11">
        <f t="shared" ref="BJ34:BJ68" si="35">IFERROR(SUMIFS(AE$9:AE$136,$C$9:$C$136,$AH34,$A$9:$A$136,$AG34)/SUMIF($C$9:$C$13,$AH34,AE$9:AE$13),"")</f>
        <v>0.13138907796219698</v>
      </c>
    </row>
    <row r="35" spans="1:62" x14ac:dyDescent="0.25">
      <c r="A35" t="str">
        <f t="shared" si="5"/>
        <v>ELCCOH</v>
      </c>
      <c r="B35" t="str">
        <f t="shared" si="6"/>
        <v>Solid fuels</v>
      </c>
      <c r="C35">
        <v>2012</v>
      </c>
      <c r="D35" s="8">
        <v>0</v>
      </c>
      <c r="E35" s="8">
        <v>0</v>
      </c>
      <c r="F35" s="8">
        <v>0</v>
      </c>
      <c r="G35" s="8">
        <v>0.33300000000000002</v>
      </c>
      <c r="H35" s="8">
        <v>3.01</v>
      </c>
      <c r="I35" s="8">
        <v>33.582999999999998</v>
      </c>
      <c r="J35" s="8">
        <v>9.7000000000000003E-2</v>
      </c>
      <c r="K35" s="8">
        <v>0.71599999999999997</v>
      </c>
      <c r="L35" s="8">
        <v>10.994999999999999</v>
      </c>
      <c r="M35" s="8">
        <v>8.58</v>
      </c>
      <c r="N35" s="8">
        <v>0</v>
      </c>
      <c r="O35" s="8">
        <v>1.617</v>
      </c>
      <c r="P35" s="8">
        <v>0</v>
      </c>
      <c r="Q35" s="8">
        <v>0</v>
      </c>
      <c r="R35" s="8">
        <v>0.22600000000000001</v>
      </c>
      <c r="S35" s="8">
        <v>0</v>
      </c>
      <c r="T35" s="8">
        <v>7.9000000000000001E-2</v>
      </c>
      <c r="U35" s="8">
        <v>7.1999999999999995E-2</v>
      </c>
      <c r="V35" s="8">
        <v>0</v>
      </c>
      <c r="W35" s="8">
        <v>0</v>
      </c>
      <c r="X35" s="8">
        <v>0</v>
      </c>
      <c r="Y35" s="8">
        <v>121.54900000000001</v>
      </c>
      <c r="Z35" s="8">
        <v>8.5999999999999993E-2</v>
      </c>
      <c r="AA35" s="8">
        <v>5.9080000000000004</v>
      </c>
      <c r="AB35" s="8">
        <v>1.462</v>
      </c>
      <c r="AC35" s="8">
        <v>0</v>
      </c>
      <c r="AD35" s="8">
        <v>0.13700000000000001</v>
      </c>
      <c r="AE35" s="8">
        <v>11.755000000000001</v>
      </c>
      <c r="AG35" t="s">
        <v>30</v>
      </c>
      <c r="AH35" s="8">
        <v>2010</v>
      </c>
      <c r="AI35" s="11" t="str">
        <f t="shared" si="8"/>
        <v/>
      </c>
      <c r="AJ35" s="11">
        <f t="shared" si="9"/>
        <v>0.26776785948011828</v>
      </c>
      <c r="AK35" s="11">
        <f t="shared" si="10"/>
        <v>0.3125</v>
      </c>
      <c r="AL35" s="11">
        <f t="shared" si="11"/>
        <v>0.89557160804020097</v>
      </c>
      <c r="AM35" s="11">
        <f t="shared" si="12"/>
        <v>0.78896882494004805</v>
      </c>
      <c r="AN35" s="11">
        <f t="shared" si="13"/>
        <v>0.55530100930935911</v>
      </c>
      <c r="AO35" s="11">
        <f t="shared" si="14"/>
        <v>0.26973177970759593</v>
      </c>
      <c r="AP35" s="11">
        <f t="shared" si="15"/>
        <v>0.62876558403338856</v>
      </c>
      <c r="AQ35" s="11">
        <f t="shared" si="16"/>
        <v>0.24833163583296594</v>
      </c>
      <c r="AR35" s="11">
        <f t="shared" si="17"/>
        <v>0</v>
      </c>
      <c r="AS35" s="11">
        <f t="shared" si="18"/>
        <v>0.72171779141104286</v>
      </c>
      <c r="AT35" s="11">
        <f t="shared" si="19"/>
        <v>0.8828824221347108</v>
      </c>
      <c r="AU35" s="11">
        <f t="shared" si="20"/>
        <v>0</v>
      </c>
      <c r="AV35" s="11">
        <f t="shared" si="21"/>
        <v>0</v>
      </c>
      <c r="AW35" s="11">
        <f t="shared" si="22"/>
        <v>0.55117655550743472</v>
      </c>
      <c r="AX35" s="11">
        <f t="shared" si="23"/>
        <v>0.42073170731707321</v>
      </c>
      <c r="AY35" s="11">
        <f t="shared" si="24"/>
        <v>0.53741770791347576</v>
      </c>
      <c r="AZ35" s="11">
        <f t="shared" si="25"/>
        <v>0.84686228314414236</v>
      </c>
      <c r="BA35" s="11">
        <f t="shared" si="26"/>
        <v>0.49133663366336633</v>
      </c>
      <c r="BB35" s="11">
        <f t="shared" si="27"/>
        <v>0.30605282822703789</v>
      </c>
      <c r="BC35" s="11">
        <f t="shared" si="28"/>
        <v>4.6558031260392416E-2</v>
      </c>
      <c r="BD35" s="11">
        <f t="shared" si="29"/>
        <v>7.7630347054075871E-2</v>
      </c>
      <c r="BE35" s="11">
        <f t="shared" si="30"/>
        <v>0.79604647130223682</v>
      </c>
      <c r="BF35" s="11">
        <f t="shared" si="31"/>
        <v>0.59378928840834799</v>
      </c>
      <c r="BG35" s="11">
        <f t="shared" si="32"/>
        <v>2.3700400511994717E-2</v>
      </c>
      <c r="BH35" s="11">
        <f t="shared" si="33"/>
        <v>0.7822277847309137</v>
      </c>
      <c r="BI35" s="11">
        <f t="shared" si="34"/>
        <v>0.83940659657208705</v>
      </c>
      <c r="BJ35" s="11">
        <f t="shared" si="35"/>
        <v>0.82529975391381738</v>
      </c>
    </row>
    <row r="36" spans="1:62" x14ac:dyDescent="0.25">
      <c r="A36" t="str">
        <f t="shared" si="5"/>
        <v>ELCCOH</v>
      </c>
      <c r="B36" t="str">
        <f t="shared" si="6"/>
        <v>Solid fuels</v>
      </c>
      <c r="C36">
        <v>2013</v>
      </c>
      <c r="D36" s="8">
        <v>0</v>
      </c>
      <c r="E36" s="8">
        <v>0</v>
      </c>
      <c r="F36" s="8">
        <v>0</v>
      </c>
      <c r="G36" s="8">
        <v>0.23200000000000001</v>
      </c>
      <c r="H36" s="8">
        <v>2.79</v>
      </c>
      <c r="I36" s="8">
        <v>16.984000000000002</v>
      </c>
      <c r="J36" s="8">
        <v>9.8000000000000004E-2</v>
      </c>
      <c r="K36" s="8">
        <v>0.56299999999999994</v>
      </c>
      <c r="L36" s="8">
        <v>10.945</v>
      </c>
      <c r="M36" s="8">
        <v>10.842000000000001</v>
      </c>
      <c r="N36" s="8">
        <v>0</v>
      </c>
      <c r="O36" s="8">
        <v>0.89500000000000002</v>
      </c>
      <c r="P36" s="8">
        <v>0</v>
      </c>
      <c r="Q36" s="8">
        <v>0</v>
      </c>
      <c r="R36" s="8">
        <v>0.53200000000000003</v>
      </c>
      <c r="S36" s="8">
        <v>0</v>
      </c>
      <c r="T36" s="8">
        <v>9.6000000000000002E-2</v>
      </c>
      <c r="U36" s="8">
        <v>0.34</v>
      </c>
      <c r="V36" s="8">
        <v>0</v>
      </c>
      <c r="W36" s="8">
        <v>0</v>
      </c>
      <c r="X36" s="8">
        <v>0</v>
      </c>
      <c r="Y36" s="8">
        <v>116.05500000000001</v>
      </c>
      <c r="Z36" s="8">
        <v>0.19</v>
      </c>
      <c r="AA36" s="8">
        <v>7.016</v>
      </c>
      <c r="AB36" s="8">
        <v>1.825</v>
      </c>
      <c r="AC36" s="8">
        <v>0</v>
      </c>
      <c r="AD36" s="8">
        <v>0.13800000000000001</v>
      </c>
      <c r="AE36" s="8">
        <v>15.52</v>
      </c>
      <c r="AG36" t="s">
        <v>42</v>
      </c>
      <c r="AH36" s="8">
        <v>2010</v>
      </c>
      <c r="AI36" s="11" t="str">
        <f t="shared" si="8"/>
        <v/>
      </c>
      <c r="AJ36" s="11">
        <f t="shared" si="9"/>
        <v>2.8140624590979293E-2</v>
      </c>
      <c r="AK36" s="11">
        <f t="shared" si="10"/>
        <v>0.6875</v>
      </c>
      <c r="AL36" s="11">
        <f t="shared" si="11"/>
        <v>0</v>
      </c>
      <c r="AM36" s="11">
        <f t="shared" si="12"/>
        <v>0</v>
      </c>
      <c r="AN36" s="11">
        <f t="shared" si="13"/>
        <v>2.2607725813501333E-3</v>
      </c>
      <c r="AO36" s="11">
        <f t="shared" si="14"/>
        <v>5.8260965153347256E-3</v>
      </c>
      <c r="AP36" s="11">
        <f t="shared" si="15"/>
        <v>0</v>
      </c>
      <c r="AQ36" s="11">
        <f t="shared" si="16"/>
        <v>0</v>
      </c>
      <c r="AR36" s="18">
        <v>0.1</v>
      </c>
      <c r="AS36" s="11">
        <f t="shared" si="18"/>
        <v>0</v>
      </c>
      <c r="AT36" s="11">
        <f t="shared" si="19"/>
        <v>1.2530046540172863E-2</v>
      </c>
      <c r="AU36" s="18">
        <v>0.37</v>
      </c>
      <c r="AV36" s="11">
        <f t="shared" si="21"/>
        <v>0.25692475463467829</v>
      </c>
      <c r="AW36" s="11">
        <f t="shared" si="22"/>
        <v>9.142967133439199E-3</v>
      </c>
      <c r="AX36" s="11">
        <f t="shared" si="23"/>
        <v>0</v>
      </c>
      <c r="AY36" s="11">
        <f t="shared" si="24"/>
        <v>0</v>
      </c>
      <c r="AZ36" s="11">
        <f t="shared" si="25"/>
        <v>0</v>
      </c>
      <c r="BA36" s="11">
        <f t="shared" si="26"/>
        <v>0</v>
      </c>
      <c r="BB36" s="11">
        <f t="shared" si="27"/>
        <v>0</v>
      </c>
      <c r="BC36" s="11">
        <f t="shared" si="28"/>
        <v>0</v>
      </c>
      <c r="BD36" s="11">
        <f t="shared" si="29"/>
        <v>0</v>
      </c>
      <c r="BE36" s="11">
        <f t="shared" si="30"/>
        <v>3.8148083925784634E-4</v>
      </c>
      <c r="BF36" s="11">
        <f t="shared" si="31"/>
        <v>0</v>
      </c>
      <c r="BG36" s="11">
        <f t="shared" si="32"/>
        <v>0</v>
      </c>
      <c r="BH36" s="11">
        <f t="shared" si="33"/>
        <v>3.4626616604088452E-2</v>
      </c>
      <c r="BI36" s="11">
        <f t="shared" si="34"/>
        <v>1.3346776129434924E-2</v>
      </c>
      <c r="BJ36" s="11">
        <f t="shared" si="35"/>
        <v>0</v>
      </c>
    </row>
    <row r="37" spans="1:62" x14ac:dyDescent="0.25">
      <c r="A37" t="str">
        <f t="shared" si="5"/>
        <v>ELCCOH</v>
      </c>
      <c r="B37" t="str">
        <f t="shared" si="6"/>
        <v>Solid fuels</v>
      </c>
      <c r="C37">
        <v>2014</v>
      </c>
      <c r="D37" s="8">
        <v>0</v>
      </c>
      <c r="E37" s="8">
        <v>0</v>
      </c>
      <c r="F37" s="8">
        <v>0</v>
      </c>
      <c r="G37" s="8">
        <v>0.28199999999999997</v>
      </c>
      <c r="H37" s="8">
        <v>2.2690000000000001</v>
      </c>
      <c r="I37" s="8">
        <v>15.689</v>
      </c>
      <c r="J37" s="8">
        <v>7.3999999999999996E-2</v>
      </c>
      <c r="K37" s="8">
        <v>0.57099999999999995</v>
      </c>
      <c r="L37" s="8">
        <v>10.071</v>
      </c>
      <c r="M37" s="8">
        <v>9.49</v>
      </c>
      <c r="N37" s="8">
        <v>0</v>
      </c>
      <c r="O37" s="8">
        <v>0.10100000000000001</v>
      </c>
      <c r="P37" s="8">
        <v>0</v>
      </c>
      <c r="Q37" s="8">
        <v>0</v>
      </c>
      <c r="R37" s="8">
        <v>0.20399999999999999</v>
      </c>
      <c r="S37" s="8">
        <v>0</v>
      </c>
      <c r="T37" s="8">
        <v>7.1999999999999995E-2</v>
      </c>
      <c r="U37" s="8">
        <v>7.1999999999999995E-2</v>
      </c>
      <c r="V37" s="8">
        <v>0</v>
      </c>
      <c r="W37" s="8">
        <v>0</v>
      </c>
      <c r="X37" s="8">
        <v>0</v>
      </c>
      <c r="Y37" s="8">
        <v>105.89100000000001</v>
      </c>
      <c r="Z37" s="8">
        <v>0.26900000000000002</v>
      </c>
      <c r="AA37" s="8">
        <v>4.1500000000000004</v>
      </c>
      <c r="AB37" s="8">
        <v>1.5529999999999999</v>
      </c>
      <c r="AC37" s="8">
        <v>7.4999999999999997E-2</v>
      </c>
      <c r="AD37" s="8">
        <v>6.8000000000000005E-2</v>
      </c>
      <c r="AE37" s="8">
        <v>13.108000000000001</v>
      </c>
      <c r="AG37" t="s">
        <v>24</v>
      </c>
      <c r="AH37" s="8">
        <v>2010</v>
      </c>
      <c r="AI37" s="11" t="str">
        <f t="shared" si="8"/>
        <v/>
      </c>
      <c r="AJ37" s="11">
        <f t="shared" si="9"/>
        <v>3.8820973272950969E-2</v>
      </c>
      <c r="AK37" s="11">
        <f t="shared" si="10"/>
        <v>0</v>
      </c>
      <c r="AL37" s="11">
        <f t="shared" si="11"/>
        <v>4.6560929648241205E-2</v>
      </c>
      <c r="AM37" s="11">
        <f t="shared" si="12"/>
        <v>2.6894939744407008E-2</v>
      </c>
      <c r="AN37" s="11">
        <f t="shared" si="13"/>
        <v>3.926208382944732E-2</v>
      </c>
      <c r="AO37" s="11">
        <f t="shared" si="14"/>
        <v>9.1596130592503031E-2</v>
      </c>
      <c r="AP37" s="11">
        <f t="shared" si="15"/>
        <v>0.11343571084595216</v>
      </c>
      <c r="AQ37" s="11">
        <f t="shared" si="16"/>
        <v>0.199534834227688</v>
      </c>
      <c r="AR37" s="11">
        <f t="shared" si="17"/>
        <v>0</v>
      </c>
      <c r="AS37" s="11">
        <f t="shared" si="18"/>
        <v>0.27828220858895703</v>
      </c>
      <c r="AT37" s="11">
        <f t="shared" si="19"/>
        <v>1.2274331304659131E-2</v>
      </c>
      <c r="AU37" s="11">
        <f t="shared" si="20"/>
        <v>0</v>
      </c>
      <c r="AV37" s="11">
        <f t="shared" si="21"/>
        <v>0</v>
      </c>
      <c r="AW37" s="11">
        <f t="shared" si="22"/>
        <v>3.926663779413888E-2</v>
      </c>
      <c r="AX37" s="11">
        <f t="shared" si="23"/>
        <v>0</v>
      </c>
      <c r="AY37" s="11">
        <f t="shared" si="24"/>
        <v>3.4932151014375926E-2</v>
      </c>
      <c r="AZ37" s="11">
        <f t="shared" si="25"/>
        <v>2.6343970871707006E-2</v>
      </c>
      <c r="BA37" s="11">
        <f t="shared" si="26"/>
        <v>0.50835396039603953</v>
      </c>
      <c r="BB37" s="11">
        <f t="shared" si="27"/>
        <v>0.35533967965171054</v>
      </c>
      <c r="BC37" s="11">
        <f t="shared" si="28"/>
        <v>0.22228134353175924</v>
      </c>
      <c r="BD37" s="11">
        <f t="shared" si="29"/>
        <v>1.0221146085552866E-2</v>
      </c>
      <c r="BE37" s="11">
        <f t="shared" si="30"/>
        <v>0.13715970175134384</v>
      </c>
      <c r="BF37" s="11">
        <f t="shared" si="31"/>
        <v>0.203262509429218</v>
      </c>
      <c r="BG37" s="11">
        <f t="shared" si="32"/>
        <v>0.1097898344275156</v>
      </c>
      <c r="BH37" s="11">
        <f t="shared" si="33"/>
        <v>7.0921985815602842E-2</v>
      </c>
      <c r="BI37" s="11">
        <f t="shared" si="34"/>
        <v>0</v>
      </c>
      <c r="BJ37" s="11">
        <f t="shared" si="35"/>
        <v>2.6409759673281321E-2</v>
      </c>
    </row>
    <row r="38" spans="1:62" x14ac:dyDescent="0.25">
      <c r="A38" t="str">
        <f t="shared" si="5"/>
        <v>ELCHFO</v>
      </c>
      <c r="B38" t="str">
        <f t="shared" si="6"/>
        <v>Total petroleum products</v>
      </c>
      <c r="C38" t="s">
        <v>176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G38" t="s">
        <v>109</v>
      </c>
      <c r="AH38" s="8">
        <v>2010</v>
      </c>
      <c r="AI38" s="11" t="str">
        <f t="shared" si="8"/>
        <v/>
      </c>
      <c r="AJ38" s="11">
        <f t="shared" si="9"/>
        <v>4.3716133085521316E-2</v>
      </c>
      <c r="AK38" s="11">
        <f t="shared" si="10"/>
        <v>0</v>
      </c>
      <c r="AL38" s="11">
        <f t="shared" si="11"/>
        <v>0</v>
      </c>
      <c r="AM38" s="11">
        <f t="shared" si="12"/>
        <v>1.3447469872203504E-2</v>
      </c>
      <c r="AN38" s="11">
        <f t="shared" si="13"/>
        <v>0.10907474114153944</v>
      </c>
      <c r="AO38" s="11">
        <f t="shared" si="14"/>
        <v>4.1579641640101132E-2</v>
      </c>
      <c r="AP38" s="11">
        <f t="shared" si="15"/>
        <v>0</v>
      </c>
      <c r="AQ38" s="11">
        <f t="shared" si="16"/>
        <v>1.9397108675493668E-2</v>
      </c>
      <c r="AR38" s="11">
        <f t="shared" si="17"/>
        <v>0.27270574304322082</v>
      </c>
      <c r="AS38" s="11">
        <f t="shared" si="18"/>
        <v>0</v>
      </c>
      <c r="AT38" s="11">
        <f t="shared" si="19"/>
        <v>0</v>
      </c>
      <c r="AU38" s="11">
        <f t="shared" si="20"/>
        <v>7.0068901086067965E-4</v>
      </c>
      <c r="AV38" s="11">
        <f t="shared" si="21"/>
        <v>0</v>
      </c>
      <c r="AW38" s="11">
        <f t="shared" si="22"/>
        <v>0</v>
      </c>
      <c r="AX38" s="11">
        <f t="shared" si="23"/>
        <v>0</v>
      </c>
      <c r="AY38" s="11">
        <f t="shared" si="24"/>
        <v>0</v>
      </c>
      <c r="AZ38" s="11">
        <f t="shared" si="25"/>
        <v>0</v>
      </c>
      <c r="BA38" s="11">
        <f t="shared" si="26"/>
        <v>0</v>
      </c>
      <c r="BB38" s="11">
        <f t="shared" si="27"/>
        <v>0.15913447480424964</v>
      </c>
      <c r="BC38" s="11">
        <f t="shared" si="28"/>
        <v>9.9501163950781513E-2</v>
      </c>
      <c r="BD38" s="11">
        <f t="shared" si="29"/>
        <v>5.6820016142050038E-4</v>
      </c>
      <c r="BE38" s="11">
        <f t="shared" si="30"/>
        <v>4.1616091555401422E-4</v>
      </c>
      <c r="BF38" s="11">
        <f t="shared" si="31"/>
        <v>1.2195121951219513E-2</v>
      </c>
      <c r="BG38" s="11">
        <f t="shared" si="32"/>
        <v>4.4042556119850813E-2</v>
      </c>
      <c r="BH38" s="11">
        <f t="shared" si="33"/>
        <v>0</v>
      </c>
      <c r="BI38" s="11">
        <f t="shared" si="34"/>
        <v>6.0972682317922125E-3</v>
      </c>
      <c r="BJ38" s="11">
        <f t="shared" si="35"/>
        <v>6.3563537357976853E-3</v>
      </c>
    </row>
    <row r="39" spans="1:62" x14ac:dyDescent="0.25">
      <c r="A39" t="str">
        <f t="shared" si="5"/>
        <v>ELCHFO</v>
      </c>
      <c r="B39" t="str">
        <f t="shared" si="6"/>
        <v>Total petroleum products</v>
      </c>
      <c r="C39">
        <v>2010</v>
      </c>
      <c r="D39" s="8">
        <v>0</v>
      </c>
      <c r="E39" s="8">
        <v>1.4830000000000001</v>
      </c>
      <c r="F39" s="8">
        <v>0</v>
      </c>
      <c r="G39" s="8">
        <v>0.59299999999999997</v>
      </c>
      <c r="H39" s="8">
        <v>0.88600000000000001</v>
      </c>
      <c r="I39" s="8">
        <v>7.8150000000000004</v>
      </c>
      <c r="J39" s="8">
        <v>3.3330000000000002</v>
      </c>
      <c r="K39" s="8">
        <v>2.12</v>
      </c>
      <c r="L39" s="8">
        <v>13.125999999999999</v>
      </c>
      <c r="M39" s="8">
        <v>0</v>
      </c>
      <c r="N39" s="8">
        <v>1.1339999999999999</v>
      </c>
      <c r="O39" s="8">
        <v>0.24</v>
      </c>
      <c r="P39" s="8">
        <v>0</v>
      </c>
      <c r="Q39" s="8">
        <v>0</v>
      </c>
      <c r="R39" s="8">
        <v>0.81599999999999995</v>
      </c>
      <c r="S39" s="8">
        <v>0</v>
      </c>
      <c r="T39" s="8">
        <v>0.52</v>
      </c>
      <c r="U39" s="8">
        <v>0.123</v>
      </c>
      <c r="V39" s="8">
        <v>1.643</v>
      </c>
      <c r="W39" s="8">
        <v>10.936999999999999</v>
      </c>
      <c r="X39" s="8">
        <v>3.3420000000000001</v>
      </c>
      <c r="Y39" s="8">
        <v>1.583</v>
      </c>
      <c r="Z39" s="8">
        <v>3.9550000000000001</v>
      </c>
      <c r="AA39" s="8">
        <v>6.4669999999999996</v>
      </c>
      <c r="AB39" s="8">
        <v>7.9770000000000003</v>
      </c>
      <c r="AC39" s="8">
        <v>0.17</v>
      </c>
      <c r="AD39" s="8">
        <v>0</v>
      </c>
      <c r="AE39" s="8">
        <v>2.5219999999999998</v>
      </c>
      <c r="AG39" t="s">
        <v>34</v>
      </c>
      <c r="AH39" s="8">
        <v>2010</v>
      </c>
      <c r="AI39" s="11" t="str">
        <f t="shared" si="8"/>
        <v/>
      </c>
      <c r="AJ39" s="11">
        <f t="shared" si="9"/>
        <v>1.2565116096437266E-3</v>
      </c>
      <c r="AK39" s="11">
        <f t="shared" si="10"/>
        <v>0</v>
      </c>
      <c r="AL39" s="11">
        <f t="shared" si="11"/>
        <v>0</v>
      </c>
      <c r="AM39" s="11">
        <f t="shared" si="12"/>
        <v>0</v>
      </c>
      <c r="AN39" s="11">
        <f t="shared" si="13"/>
        <v>0</v>
      </c>
      <c r="AO39" s="11">
        <f t="shared" si="14"/>
        <v>3.9298669891172913E-3</v>
      </c>
      <c r="AP39" s="11">
        <f t="shared" si="15"/>
        <v>0</v>
      </c>
      <c r="AQ39" s="11">
        <f t="shared" si="16"/>
        <v>0</v>
      </c>
      <c r="AR39" s="11">
        <f t="shared" si="17"/>
        <v>0</v>
      </c>
      <c r="AS39" s="11">
        <f t="shared" si="18"/>
        <v>0</v>
      </c>
      <c r="AT39" s="11">
        <f t="shared" si="19"/>
        <v>2.5571523551373189E-4</v>
      </c>
      <c r="AU39" s="11">
        <f t="shared" si="20"/>
        <v>0</v>
      </c>
      <c r="AV39" s="11">
        <f t="shared" si="21"/>
        <v>0</v>
      </c>
      <c r="AW39" s="11">
        <f t="shared" si="22"/>
        <v>0</v>
      </c>
      <c r="AX39" s="11">
        <f t="shared" si="23"/>
        <v>0</v>
      </c>
      <c r="AY39" s="11">
        <f t="shared" si="24"/>
        <v>0</v>
      </c>
      <c r="AZ39" s="11">
        <f t="shared" si="25"/>
        <v>0</v>
      </c>
      <c r="BA39" s="11">
        <f t="shared" si="26"/>
        <v>0</v>
      </c>
      <c r="BB39" s="11">
        <f t="shared" si="27"/>
        <v>0</v>
      </c>
      <c r="BC39" s="11">
        <f t="shared" si="28"/>
        <v>0</v>
      </c>
      <c r="BD39" s="11">
        <f t="shared" si="29"/>
        <v>0</v>
      </c>
      <c r="BE39" s="11">
        <f t="shared" si="30"/>
        <v>0</v>
      </c>
      <c r="BF39" s="11">
        <f t="shared" si="31"/>
        <v>0</v>
      </c>
      <c r="BG39" s="11">
        <f t="shared" si="32"/>
        <v>0</v>
      </c>
      <c r="BH39" s="11">
        <f t="shared" si="33"/>
        <v>0</v>
      </c>
      <c r="BI39" s="11">
        <f t="shared" si="34"/>
        <v>4.8009986077104038E-5</v>
      </c>
      <c r="BJ39" s="11">
        <f t="shared" si="35"/>
        <v>0</v>
      </c>
    </row>
    <row r="40" spans="1:62" x14ac:dyDescent="0.25">
      <c r="A40" t="str">
        <f t="shared" si="5"/>
        <v>ELCHFO</v>
      </c>
      <c r="B40" t="str">
        <f t="shared" si="6"/>
        <v>Total petroleum products</v>
      </c>
      <c r="C40">
        <v>2011</v>
      </c>
      <c r="D40" s="8">
        <v>0</v>
      </c>
      <c r="E40" s="8">
        <v>1.1220000000000001</v>
      </c>
      <c r="F40" s="8">
        <v>0</v>
      </c>
      <c r="G40" s="8">
        <v>0.45500000000000002</v>
      </c>
      <c r="H40" s="8">
        <v>0.52</v>
      </c>
      <c r="I40" s="8">
        <v>5.3659999999999997</v>
      </c>
      <c r="J40" s="8">
        <v>1.9</v>
      </c>
      <c r="K40" s="8">
        <v>1.52</v>
      </c>
      <c r="L40" s="8">
        <v>9.9730000000000008</v>
      </c>
      <c r="M40" s="8">
        <v>0</v>
      </c>
      <c r="N40" s="8">
        <v>1.1739999999999999</v>
      </c>
      <c r="O40" s="8">
        <v>0.16</v>
      </c>
      <c r="P40" s="8">
        <v>0</v>
      </c>
      <c r="Q40" s="8">
        <v>0</v>
      </c>
      <c r="R40" s="8">
        <v>0.53600000000000003</v>
      </c>
      <c r="S40" s="8">
        <v>0</v>
      </c>
      <c r="T40" s="8">
        <v>0.40200000000000002</v>
      </c>
      <c r="U40" s="8">
        <v>0.04</v>
      </c>
      <c r="V40" s="8">
        <v>0.72</v>
      </c>
      <c r="W40" s="8">
        <v>10.666</v>
      </c>
      <c r="X40" s="8">
        <v>4.5629999999999997</v>
      </c>
      <c r="Y40" s="8">
        <v>1.03</v>
      </c>
      <c r="Z40" s="8">
        <v>3.3519999999999999</v>
      </c>
      <c r="AA40" s="8">
        <v>5.766</v>
      </c>
      <c r="AB40" s="8">
        <v>3.831</v>
      </c>
      <c r="AC40" s="8">
        <v>0.17</v>
      </c>
      <c r="AD40" s="8">
        <v>0</v>
      </c>
      <c r="AE40" s="8">
        <v>2.9340000000000002</v>
      </c>
      <c r="AG40" t="s">
        <v>52</v>
      </c>
      <c r="AH40" s="8">
        <v>2010</v>
      </c>
      <c r="AI40" s="11" t="str">
        <f t="shared" si="8"/>
        <v/>
      </c>
      <c r="AJ40" s="11">
        <f t="shared" si="9"/>
        <v>0.62030051569330646</v>
      </c>
      <c r="AK40" s="11">
        <f t="shared" si="10"/>
        <v>0</v>
      </c>
      <c r="AL40" s="11">
        <f t="shared" si="11"/>
        <v>7.0665829145728637E-3</v>
      </c>
      <c r="AM40" s="11">
        <f t="shared" si="12"/>
        <v>3.4483805360774673E-2</v>
      </c>
      <c r="AN40" s="11">
        <f t="shared" si="13"/>
        <v>0.1465241877546509</v>
      </c>
      <c r="AO40" s="11">
        <f t="shared" si="14"/>
        <v>0.57980652962515111</v>
      </c>
      <c r="AP40" s="11">
        <f t="shared" si="15"/>
        <v>0.20370271282572636</v>
      </c>
      <c r="AQ40" s="11">
        <f t="shared" si="16"/>
        <v>0.36615842998951098</v>
      </c>
      <c r="AR40" s="11">
        <f t="shared" si="17"/>
        <v>0.4747582395895007</v>
      </c>
      <c r="AS40" s="11">
        <f t="shared" si="18"/>
        <v>0</v>
      </c>
      <c r="AT40" s="11">
        <f t="shared" si="19"/>
        <v>1.0637753797371247E-2</v>
      </c>
      <c r="AU40" s="11">
        <f t="shared" si="20"/>
        <v>7.0068901086067965E-4</v>
      </c>
      <c r="AV40" s="11">
        <f t="shared" si="21"/>
        <v>0.74305343511450384</v>
      </c>
      <c r="AW40" s="11">
        <f t="shared" si="22"/>
        <v>0.38674750974447819</v>
      </c>
      <c r="AX40" s="11">
        <f t="shared" si="23"/>
        <v>0.57926829268292679</v>
      </c>
      <c r="AY40" s="11">
        <f t="shared" si="24"/>
        <v>0.41589412871154108</v>
      </c>
      <c r="AZ40" s="11">
        <f t="shared" si="25"/>
        <v>0.11094452773613195</v>
      </c>
      <c r="BA40" s="11">
        <f t="shared" si="26"/>
        <v>0</v>
      </c>
      <c r="BB40" s="11">
        <f t="shared" si="27"/>
        <v>0.17944052763247667</v>
      </c>
      <c r="BC40" s="11">
        <f t="shared" si="28"/>
        <v>0.42913202527435984</v>
      </c>
      <c r="BD40" s="11">
        <f t="shared" si="29"/>
        <v>1.2222760290556901E-2</v>
      </c>
      <c r="BE40" s="11">
        <f t="shared" si="30"/>
        <v>6.1314374891624758E-2</v>
      </c>
      <c r="BF40" s="11">
        <f t="shared" si="31"/>
        <v>2.6401810409856677E-3</v>
      </c>
      <c r="BG40" s="11">
        <f t="shared" si="32"/>
        <v>0.717073372145836</v>
      </c>
      <c r="BH40" s="11">
        <f t="shared" si="33"/>
        <v>0.1122236128493951</v>
      </c>
      <c r="BI40" s="11">
        <f t="shared" si="34"/>
        <v>0.13269960151711555</v>
      </c>
      <c r="BJ40" s="11">
        <f t="shared" si="35"/>
        <v>1.0545054714906538E-2</v>
      </c>
    </row>
    <row r="41" spans="1:62" x14ac:dyDescent="0.25">
      <c r="A41" t="str">
        <f t="shared" si="5"/>
        <v>ELCHFO</v>
      </c>
      <c r="B41" t="str">
        <f t="shared" si="6"/>
        <v>Total petroleum products</v>
      </c>
      <c r="C41">
        <v>2012</v>
      </c>
      <c r="D41" s="8">
        <v>0</v>
      </c>
      <c r="E41" s="8">
        <v>1.4430000000000001</v>
      </c>
      <c r="F41" s="8">
        <v>0</v>
      </c>
      <c r="G41" s="8">
        <v>0.27700000000000002</v>
      </c>
      <c r="H41" s="8">
        <v>0.48299999999999998</v>
      </c>
      <c r="I41" s="8">
        <v>7.6689999999999996</v>
      </c>
      <c r="J41" s="8">
        <v>1.774</v>
      </c>
      <c r="K41" s="8">
        <v>1.3620000000000001</v>
      </c>
      <c r="L41" s="8">
        <v>9.782</v>
      </c>
      <c r="M41" s="8">
        <v>5.9269999999999996</v>
      </c>
      <c r="N41" s="8">
        <v>0.68799999999999994</v>
      </c>
      <c r="O41" s="8">
        <v>0.24</v>
      </c>
      <c r="P41" s="8">
        <v>0</v>
      </c>
      <c r="Q41" s="8">
        <v>0</v>
      </c>
      <c r="R41" s="8">
        <v>0.65600000000000003</v>
      </c>
      <c r="S41" s="8">
        <v>0</v>
      </c>
      <c r="T41" s="8">
        <v>0.32700000000000001</v>
      </c>
      <c r="U41" s="8">
        <v>0.04</v>
      </c>
      <c r="V41" s="8">
        <v>0.68</v>
      </c>
      <c r="W41" s="8">
        <v>10.621</v>
      </c>
      <c r="X41" s="8">
        <v>1.3149999999999999</v>
      </c>
      <c r="Y41" s="8">
        <v>1.341</v>
      </c>
      <c r="Z41" s="8">
        <v>3.45</v>
      </c>
      <c r="AA41" s="8">
        <v>4.3319999999999999</v>
      </c>
      <c r="AB41" s="8">
        <v>3.214</v>
      </c>
      <c r="AC41" s="8">
        <v>0.21299999999999999</v>
      </c>
      <c r="AD41" s="8">
        <v>0.04</v>
      </c>
      <c r="AE41" s="8">
        <v>3.1219999999999999</v>
      </c>
      <c r="AG41" t="str">
        <f>AG34</f>
        <v>ELCCOH</v>
      </c>
      <c r="AH41" s="8">
        <f>AH34+1</f>
        <v>2011</v>
      </c>
      <c r="AI41" s="11" t="str">
        <f t="shared" si="8"/>
        <v/>
      </c>
      <c r="AJ41" s="11">
        <f t="shared" si="9"/>
        <v>0</v>
      </c>
      <c r="AK41" s="11">
        <f t="shared" si="10"/>
        <v>0</v>
      </c>
      <c r="AL41" s="11">
        <f t="shared" si="11"/>
        <v>9.3551475067444087E-2</v>
      </c>
      <c r="AM41" s="11">
        <f t="shared" si="12"/>
        <v>0.12634494513689143</v>
      </c>
      <c r="AN41" s="11">
        <f t="shared" si="13"/>
        <v>0.17015144784990588</v>
      </c>
      <c r="AO41" s="11">
        <f t="shared" si="14"/>
        <v>2.3043656681082103E-3</v>
      </c>
      <c r="AP41" s="11">
        <f t="shared" si="15"/>
        <v>3.6184401275732095E-2</v>
      </c>
      <c r="AQ41" s="11">
        <f t="shared" si="16"/>
        <v>0.15603487044660463</v>
      </c>
      <c r="AR41" s="11">
        <f t="shared" si="17"/>
        <v>0</v>
      </c>
      <c r="AS41" s="11">
        <f t="shared" si="18"/>
        <v>0</v>
      </c>
      <c r="AT41" s="11">
        <f t="shared" si="19"/>
        <v>7.1263061251256934E-2</v>
      </c>
      <c r="AU41" s="11">
        <f t="shared" si="20"/>
        <v>0</v>
      </c>
      <c r="AV41" s="11">
        <f t="shared" si="21"/>
        <v>0</v>
      </c>
      <c r="AW41" s="11">
        <f t="shared" si="22"/>
        <v>1.4745235104581946E-2</v>
      </c>
      <c r="AX41" s="11">
        <f t="shared" si="23"/>
        <v>0</v>
      </c>
      <c r="AY41" s="11">
        <f t="shared" si="24"/>
        <v>1.0946355096653985E-2</v>
      </c>
      <c r="AZ41" s="11">
        <f t="shared" si="25"/>
        <v>1.6670525584626068E-2</v>
      </c>
      <c r="BA41" s="11">
        <f t="shared" si="26"/>
        <v>0</v>
      </c>
      <c r="BB41" s="11">
        <f t="shared" si="27"/>
        <v>0</v>
      </c>
      <c r="BC41" s="11">
        <f t="shared" si="28"/>
        <v>0</v>
      </c>
      <c r="BD41" s="11">
        <f t="shared" si="29"/>
        <v>0.8925518442298559</v>
      </c>
      <c r="BE41" s="11">
        <f t="shared" si="30"/>
        <v>4.9186087363859935E-3</v>
      </c>
      <c r="BF41" s="11">
        <f t="shared" si="31"/>
        <v>0.1961950059453032</v>
      </c>
      <c r="BG41" s="11">
        <f t="shared" si="32"/>
        <v>3.7880346208009626E-2</v>
      </c>
      <c r="BH41" s="11">
        <f t="shared" si="33"/>
        <v>0</v>
      </c>
      <c r="BI41" s="11">
        <f t="shared" si="34"/>
        <v>7.8006622144901521E-3</v>
      </c>
      <c r="BJ41" s="11">
        <f t="shared" si="35"/>
        <v>0.14733529423864081</v>
      </c>
    </row>
    <row r="42" spans="1:62" x14ac:dyDescent="0.25">
      <c r="A42" t="str">
        <f t="shared" si="5"/>
        <v>ELCHFO</v>
      </c>
      <c r="B42" t="str">
        <f t="shared" si="6"/>
        <v>Total petroleum products</v>
      </c>
      <c r="C42">
        <v>2013</v>
      </c>
      <c r="D42" s="8">
        <v>0</v>
      </c>
      <c r="E42" s="8">
        <v>1.363</v>
      </c>
      <c r="F42" s="8">
        <v>0</v>
      </c>
      <c r="G42" s="8">
        <v>0.157</v>
      </c>
      <c r="H42" s="8">
        <v>0.36599999999999999</v>
      </c>
      <c r="I42" s="8">
        <v>5.7229999999999999</v>
      </c>
      <c r="J42" s="8">
        <v>1.526</v>
      </c>
      <c r="K42" s="8">
        <v>0.64</v>
      </c>
      <c r="L42" s="8">
        <v>5.8879999999999999</v>
      </c>
      <c r="M42" s="8">
        <v>6.0650000000000004</v>
      </c>
      <c r="N42" s="8">
        <v>0.371</v>
      </c>
      <c r="O42" s="8">
        <v>0.20799999999999999</v>
      </c>
      <c r="P42" s="8">
        <v>0</v>
      </c>
      <c r="Q42" s="8">
        <v>0</v>
      </c>
      <c r="R42" s="8">
        <v>0.496</v>
      </c>
      <c r="S42" s="8">
        <v>0</v>
      </c>
      <c r="T42" s="8">
        <v>8.5000000000000006E-2</v>
      </c>
      <c r="U42" s="8">
        <v>4.2999999999999997E-2</v>
      </c>
      <c r="V42" s="8">
        <v>0.08</v>
      </c>
      <c r="W42" s="8">
        <v>11.118</v>
      </c>
      <c r="X42" s="8">
        <v>0.83699999999999997</v>
      </c>
      <c r="Y42" s="8">
        <v>0.753</v>
      </c>
      <c r="Z42" s="8">
        <v>2.6709999999999998</v>
      </c>
      <c r="AA42" s="8">
        <v>4.9820000000000002</v>
      </c>
      <c r="AB42" s="8">
        <v>2.4220000000000002</v>
      </c>
      <c r="AC42" s="8">
        <v>0.25</v>
      </c>
      <c r="AD42" s="8">
        <v>0</v>
      </c>
      <c r="AE42" s="8">
        <v>2.6589999999999998</v>
      </c>
      <c r="AG42" t="str">
        <f>AG35</f>
        <v>ELCGAS</v>
      </c>
      <c r="AH42" s="8">
        <f t="shared" ref="AH42:AH68" si="36">AH35+1</f>
        <v>2011</v>
      </c>
      <c r="AI42" s="11" t="str">
        <f t="shared" si="8"/>
        <v/>
      </c>
      <c r="AJ42" s="11">
        <f t="shared" si="9"/>
        <v>0.31304601048340125</v>
      </c>
      <c r="AK42" s="11">
        <f t="shared" si="10"/>
        <v>0.87681970884658456</v>
      </c>
      <c r="AL42" s="11">
        <f t="shared" si="11"/>
        <v>0.8589330780610912</v>
      </c>
      <c r="AM42" s="11">
        <f t="shared" si="12"/>
        <v>0.78214552040055396</v>
      </c>
      <c r="AN42" s="11">
        <f t="shared" si="13"/>
        <v>0.50796370328066498</v>
      </c>
      <c r="AO42" s="11">
        <f t="shared" si="14"/>
        <v>0.26610688468701665</v>
      </c>
      <c r="AP42" s="11">
        <f t="shared" si="15"/>
        <v>0.58556103218324151</v>
      </c>
      <c r="AQ42" s="11">
        <f t="shared" si="16"/>
        <v>0.24556335835610751</v>
      </c>
      <c r="AR42" s="11">
        <f t="shared" si="17"/>
        <v>0</v>
      </c>
      <c r="AS42" s="11">
        <f t="shared" si="18"/>
        <v>0.68778280542986425</v>
      </c>
      <c r="AT42" s="11">
        <f t="shared" si="19"/>
        <v>0.8858916626590303</v>
      </c>
      <c r="AU42" s="11">
        <f t="shared" si="20"/>
        <v>0</v>
      </c>
      <c r="AV42" s="11">
        <f t="shared" si="21"/>
        <v>0</v>
      </c>
      <c r="AW42" s="11">
        <f t="shared" si="22"/>
        <v>0.53770957348042159</v>
      </c>
      <c r="AX42" s="11">
        <f t="shared" si="23"/>
        <v>0.48730964467005072</v>
      </c>
      <c r="AY42" s="11">
        <f t="shared" si="24"/>
        <v>0.53528452759878886</v>
      </c>
      <c r="AZ42" s="11">
        <f t="shared" si="25"/>
        <v>0.8814540402871035</v>
      </c>
      <c r="BA42" s="11">
        <f t="shared" si="26"/>
        <v>0.69849246231155782</v>
      </c>
      <c r="BB42" s="11">
        <f t="shared" si="27"/>
        <v>0.29323230583778198</v>
      </c>
      <c r="BC42" s="11">
        <f t="shared" si="28"/>
        <v>4.3235090806259029E-2</v>
      </c>
      <c r="BD42" s="11">
        <f t="shared" si="29"/>
        <v>8.4240937153712211E-2</v>
      </c>
      <c r="BE42" s="11">
        <f t="shared" si="30"/>
        <v>0.75110278330795954</v>
      </c>
      <c r="BF42" s="11">
        <f t="shared" si="31"/>
        <v>0.62116527942925093</v>
      </c>
      <c r="BG42" s="11">
        <f t="shared" si="32"/>
        <v>1.6819886390607445E-2</v>
      </c>
      <c r="BH42" s="11">
        <f t="shared" si="33"/>
        <v>0.77790346907993968</v>
      </c>
      <c r="BI42" s="11">
        <f t="shared" si="34"/>
        <v>0.81025871261013538</v>
      </c>
      <c r="BJ42" s="11">
        <f t="shared" si="35"/>
        <v>0.7848283522224736</v>
      </c>
    </row>
    <row r="43" spans="1:62" x14ac:dyDescent="0.25">
      <c r="A43" t="str">
        <f t="shared" si="5"/>
        <v>ELCHFO</v>
      </c>
      <c r="B43" t="str">
        <f t="shared" si="6"/>
        <v>Total petroleum products</v>
      </c>
      <c r="C43">
        <v>2014</v>
      </c>
      <c r="D43" s="8">
        <v>0.57699999999999996</v>
      </c>
      <c r="E43" s="8">
        <v>1.4470000000000001</v>
      </c>
      <c r="F43" s="8">
        <v>0</v>
      </c>
      <c r="G43" s="8">
        <v>0.26500000000000001</v>
      </c>
      <c r="H43" s="8">
        <v>0.16</v>
      </c>
      <c r="I43" s="8">
        <v>4.7080000000000002</v>
      </c>
      <c r="J43" s="8">
        <v>1.526</v>
      </c>
      <c r="K43" s="8">
        <v>0.52</v>
      </c>
      <c r="L43" s="8">
        <v>5.3230000000000004</v>
      </c>
      <c r="M43" s="8">
        <v>2.6139999999999999</v>
      </c>
      <c r="N43" s="8">
        <v>0.248</v>
      </c>
      <c r="O43" s="8">
        <v>0.17</v>
      </c>
      <c r="P43" s="8">
        <v>0</v>
      </c>
      <c r="Q43" s="8">
        <v>0</v>
      </c>
      <c r="R43" s="8">
        <v>0.53600000000000003</v>
      </c>
      <c r="S43" s="8">
        <v>0</v>
      </c>
      <c r="T43" s="8">
        <v>0</v>
      </c>
      <c r="U43" s="8">
        <v>0</v>
      </c>
      <c r="V43" s="8">
        <v>0</v>
      </c>
      <c r="W43" s="8">
        <v>18.484999999999999</v>
      </c>
      <c r="X43" s="8">
        <v>0.48599999999999999</v>
      </c>
      <c r="Y43" s="8">
        <v>0.753</v>
      </c>
      <c r="Z43" s="8">
        <v>2.6389999999999998</v>
      </c>
      <c r="AA43" s="8">
        <v>4.242</v>
      </c>
      <c r="AB43" s="8">
        <v>1.4239999999999999</v>
      </c>
      <c r="AC43" s="8">
        <v>0.248</v>
      </c>
      <c r="AD43" s="8">
        <v>0</v>
      </c>
      <c r="AE43" s="8">
        <v>2.8</v>
      </c>
      <c r="AG43" t="str">
        <f>AG36</f>
        <v>ELCGEO</v>
      </c>
      <c r="AH43" s="8">
        <f t="shared" si="36"/>
        <v>2011</v>
      </c>
      <c r="AI43" s="11" t="str">
        <f t="shared" si="8"/>
        <v/>
      </c>
      <c r="AJ43" s="11">
        <f t="shared" si="9"/>
        <v>3.0489225393127543E-2</v>
      </c>
      <c r="AK43" s="11">
        <f t="shared" si="10"/>
        <v>0.12318029115341546</v>
      </c>
      <c r="AL43" s="11">
        <f t="shared" si="11"/>
        <v>0</v>
      </c>
      <c r="AM43" s="11">
        <f t="shared" si="12"/>
        <v>0</v>
      </c>
      <c r="AN43" s="11">
        <f t="shared" si="13"/>
        <v>5.3408634219599389E-4</v>
      </c>
      <c r="AO43" s="11">
        <f t="shared" si="14"/>
        <v>5.2400643959720954E-3</v>
      </c>
      <c r="AP43" s="11">
        <f t="shared" si="15"/>
        <v>0</v>
      </c>
      <c r="AQ43" s="11">
        <f t="shared" si="16"/>
        <v>0</v>
      </c>
      <c r="AR43" s="11">
        <f t="shared" si="17"/>
        <v>0.30695812807881773</v>
      </c>
      <c r="AS43" s="11">
        <f t="shared" si="18"/>
        <v>0</v>
      </c>
      <c r="AT43" s="11">
        <f t="shared" si="19"/>
        <v>1.2722423818475931E-2</v>
      </c>
      <c r="AU43" s="11">
        <f t="shared" si="20"/>
        <v>0.97310271258762571</v>
      </c>
      <c r="AV43" s="11">
        <f t="shared" si="21"/>
        <v>0.24213771839671117</v>
      </c>
      <c r="AW43" s="11">
        <f t="shared" si="22"/>
        <v>7.3726175522909731E-3</v>
      </c>
      <c r="AX43" s="11">
        <f t="shared" si="23"/>
        <v>0</v>
      </c>
      <c r="AY43" s="11">
        <f t="shared" si="24"/>
        <v>0</v>
      </c>
      <c r="AZ43" s="11">
        <f t="shared" si="25"/>
        <v>0</v>
      </c>
      <c r="BA43" s="11">
        <f t="shared" si="26"/>
        <v>0</v>
      </c>
      <c r="BB43" s="11">
        <f t="shared" si="27"/>
        <v>0</v>
      </c>
      <c r="BC43" s="11">
        <f t="shared" si="28"/>
        <v>0</v>
      </c>
      <c r="BD43" s="11">
        <f t="shared" si="29"/>
        <v>0</v>
      </c>
      <c r="BE43" s="11">
        <f t="shared" si="30"/>
        <v>3.5132919545614237E-4</v>
      </c>
      <c r="BF43" s="11">
        <f t="shared" si="31"/>
        <v>0</v>
      </c>
      <c r="BG43" s="11">
        <f t="shared" si="32"/>
        <v>0</v>
      </c>
      <c r="BH43" s="11">
        <f t="shared" si="33"/>
        <v>2.7149321266968323E-2</v>
      </c>
      <c r="BI43" s="11">
        <f t="shared" si="34"/>
        <v>1.1672933385711881E-2</v>
      </c>
      <c r="BJ43" s="11">
        <f t="shared" si="35"/>
        <v>0</v>
      </c>
    </row>
    <row r="44" spans="1:62" x14ac:dyDescent="0.25">
      <c r="A44" t="str">
        <f t="shared" si="5"/>
        <v>ELCMUN</v>
      </c>
      <c r="B44" t="str">
        <f t="shared" si="6"/>
        <v>Waste (non-renewable)</v>
      </c>
      <c r="C44" t="s">
        <v>177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G44" t="str">
        <f t="shared" ref="AG44:AG75" si="37">AG37</f>
        <v>ELCHFO</v>
      </c>
      <c r="AH44" s="8">
        <f t="shared" si="36"/>
        <v>2011</v>
      </c>
      <c r="AI44" s="11" t="str">
        <f t="shared" si="8"/>
        <v/>
      </c>
      <c r="AJ44" s="11">
        <f t="shared" si="9"/>
        <v>3.2673267326732675E-2</v>
      </c>
      <c r="AK44" s="11">
        <f t="shared" si="10"/>
        <v>0</v>
      </c>
      <c r="AL44" s="11">
        <f t="shared" si="11"/>
        <v>3.9596205726220524E-2</v>
      </c>
      <c r="AM44" s="11">
        <f t="shared" si="12"/>
        <v>1.8465253364582223E-2</v>
      </c>
      <c r="AN44" s="11">
        <f t="shared" si="13"/>
        <v>2.8375319923006955E-2</v>
      </c>
      <c r="AO44" s="11">
        <f t="shared" si="14"/>
        <v>5.9976640676789039E-2</v>
      </c>
      <c r="AP44" s="11">
        <f t="shared" si="15"/>
        <v>8.8141490287039714E-2</v>
      </c>
      <c r="AQ44" s="11">
        <f t="shared" si="16"/>
        <v>0.17250147023212373</v>
      </c>
      <c r="AR44" s="11">
        <f t="shared" si="17"/>
        <v>0</v>
      </c>
      <c r="AS44" s="11">
        <f t="shared" si="18"/>
        <v>0.31248336438647856</v>
      </c>
      <c r="AT44" s="11">
        <f t="shared" si="19"/>
        <v>6.9951471166877976E-3</v>
      </c>
      <c r="AU44" s="11">
        <f t="shared" si="20"/>
        <v>0</v>
      </c>
      <c r="AV44" s="11">
        <f t="shared" si="21"/>
        <v>0</v>
      </c>
      <c r="AW44" s="11">
        <f t="shared" si="22"/>
        <v>2.9272022281688605E-2</v>
      </c>
      <c r="AX44" s="11">
        <f t="shared" si="23"/>
        <v>0</v>
      </c>
      <c r="AY44" s="11">
        <f t="shared" si="24"/>
        <v>3.1208757084077325E-2</v>
      </c>
      <c r="AZ44" s="11">
        <f t="shared" si="25"/>
        <v>9.2614031025700389E-3</v>
      </c>
      <c r="BA44" s="11">
        <f t="shared" si="26"/>
        <v>0.30150753768844224</v>
      </c>
      <c r="BB44" s="11">
        <f t="shared" si="27"/>
        <v>0.36734975030136041</v>
      </c>
      <c r="BC44" s="11">
        <f t="shared" si="28"/>
        <v>0.28674668510023249</v>
      </c>
      <c r="BD44" s="11">
        <f t="shared" si="29"/>
        <v>8.1526040842171913E-3</v>
      </c>
      <c r="BE44" s="11">
        <f t="shared" si="30"/>
        <v>0.13085060701877657</v>
      </c>
      <c r="BF44" s="11">
        <f t="shared" si="31"/>
        <v>0.17140309155766945</v>
      </c>
      <c r="BG44" s="11">
        <f t="shared" si="32"/>
        <v>6.0618047753920157E-2</v>
      </c>
      <c r="BH44" s="11">
        <f t="shared" si="33"/>
        <v>6.4102564102564111E-2</v>
      </c>
      <c r="BI44" s="11">
        <f t="shared" si="34"/>
        <v>0</v>
      </c>
      <c r="BJ44" s="11">
        <f t="shared" si="35"/>
        <v>3.0174630273361175E-2</v>
      </c>
    </row>
    <row r="45" spans="1:62" x14ac:dyDescent="0.25">
      <c r="A45" t="str">
        <f t="shared" si="5"/>
        <v>ELCMUN</v>
      </c>
      <c r="B45" t="str">
        <f t="shared" si="6"/>
        <v>Waste (non-renewable)</v>
      </c>
      <c r="C45">
        <v>2010</v>
      </c>
      <c r="D45" s="8">
        <v>0</v>
      </c>
      <c r="E45" s="8">
        <v>1.67</v>
      </c>
      <c r="F45" s="8">
        <v>0</v>
      </c>
      <c r="G45" s="8">
        <v>0</v>
      </c>
      <c r="H45" s="8">
        <v>0.443</v>
      </c>
      <c r="I45" s="8">
        <v>21.710999999999999</v>
      </c>
      <c r="J45" s="8">
        <v>1.5129999999999999</v>
      </c>
      <c r="K45" s="8">
        <v>0</v>
      </c>
      <c r="L45" s="8">
        <v>1.276</v>
      </c>
      <c r="M45" s="8">
        <v>6.9089999999999998</v>
      </c>
      <c r="N45" s="8">
        <v>0</v>
      </c>
      <c r="O45" s="8">
        <v>0</v>
      </c>
      <c r="P45" s="8">
        <v>1.7999999999999999E-2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4.8979999999999997</v>
      </c>
      <c r="X45" s="8">
        <v>1.496</v>
      </c>
      <c r="Y45" s="8">
        <v>8.7999999999999995E-2</v>
      </c>
      <c r="Z45" s="8">
        <v>1.2E-2</v>
      </c>
      <c r="AA45" s="8">
        <v>0.38800000000000001</v>
      </c>
      <c r="AB45" s="8">
        <v>3.2</v>
      </c>
      <c r="AC45" s="8">
        <v>0</v>
      </c>
      <c r="AD45" s="8">
        <v>0.127</v>
      </c>
      <c r="AE45" s="8">
        <v>0.60699999999999998</v>
      </c>
      <c r="AG45" t="str">
        <f t="shared" si="37"/>
        <v>ELCMUN</v>
      </c>
      <c r="AH45" s="8">
        <f t="shared" si="36"/>
        <v>2011</v>
      </c>
      <c r="AI45" s="11" t="str">
        <f t="shared" si="8"/>
        <v/>
      </c>
      <c r="AJ45" s="11">
        <f t="shared" si="9"/>
        <v>5.6144437973209081E-2</v>
      </c>
      <c r="AK45" s="11">
        <f t="shared" si="10"/>
        <v>0</v>
      </c>
      <c r="AL45" s="11">
        <f t="shared" si="11"/>
        <v>0</v>
      </c>
      <c r="AM45" s="11">
        <f t="shared" si="12"/>
        <v>1.995667767479848E-2</v>
      </c>
      <c r="AN45" s="11">
        <f t="shared" si="13"/>
        <v>0.13206739006282125</v>
      </c>
      <c r="AO45" s="11">
        <f t="shared" si="14"/>
        <v>4.95912118438082E-2</v>
      </c>
      <c r="AP45" s="11">
        <f t="shared" si="15"/>
        <v>0</v>
      </c>
      <c r="AQ45" s="11">
        <f t="shared" si="16"/>
        <v>2.1448092157608883E-2</v>
      </c>
      <c r="AR45" s="11">
        <f t="shared" si="17"/>
        <v>0.18673029556650245</v>
      </c>
      <c r="AS45" s="11">
        <f t="shared" si="18"/>
        <v>0</v>
      </c>
      <c r="AT45" s="11">
        <f t="shared" si="19"/>
        <v>0</v>
      </c>
      <c r="AU45" s="11">
        <f t="shared" si="20"/>
        <v>0</v>
      </c>
      <c r="AV45" s="11">
        <f t="shared" si="21"/>
        <v>0</v>
      </c>
      <c r="AW45" s="11">
        <f t="shared" si="22"/>
        <v>0</v>
      </c>
      <c r="AX45" s="11">
        <f t="shared" si="23"/>
        <v>0</v>
      </c>
      <c r="AY45" s="11">
        <f t="shared" si="24"/>
        <v>0</v>
      </c>
      <c r="AZ45" s="11">
        <f t="shared" si="25"/>
        <v>0</v>
      </c>
      <c r="BA45" s="11">
        <f t="shared" si="26"/>
        <v>0</v>
      </c>
      <c r="BB45" s="11">
        <f t="shared" si="27"/>
        <v>0.15612192181849494</v>
      </c>
      <c r="BC45" s="11">
        <f t="shared" si="28"/>
        <v>0.11311506315591026</v>
      </c>
      <c r="BD45" s="11">
        <f t="shared" si="29"/>
        <v>9.0232705398132025E-4</v>
      </c>
      <c r="BE45" s="11">
        <f t="shared" si="30"/>
        <v>5.4651208182066599E-4</v>
      </c>
      <c r="BF45" s="11">
        <f t="shared" si="31"/>
        <v>8.561236623067776E-3</v>
      </c>
      <c r="BG45" s="11">
        <f t="shared" si="32"/>
        <v>2.5712432158736691E-2</v>
      </c>
      <c r="BH45" s="11">
        <f t="shared" si="33"/>
        <v>0</v>
      </c>
      <c r="BI45" s="11">
        <f t="shared" si="34"/>
        <v>1.1392334025478424E-2</v>
      </c>
      <c r="BJ45" s="11">
        <f t="shared" si="35"/>
        <v>8.8137894152251275E-3</v>
      </c>
    </row>
    <row r="46" spans="1:62" x14ac:dyDescent="0.25">
      <c r="A46" t="str">
        <f t="shared" si="5"/>
        <v>ELCMUN</v>
      </c>
      <c r="B46" t="str">
        <f t="shared" si="6"/>
        <v>Waste (non-renewable)</v>
      </c>
      <c r="C46">
        <v>2011</v>
      </c>
      <c r="D46" s="8">
        <v>0</v>
      </c>
      <c r="E46" s="8">
        <v>1.9279999999999999</v>
      </c>
      <c r="F46" s="8">
        <v>0</v>
      </c>
      <c r="G46" s="8">
        <v>0</v>
      </c>
      <c r="H46" s="8">
        <v>0.56200000000000006</v>
      </c>
      <c r="I46" s="8">
        <v>24.975000000000001</v>
      </c>
      <c r="J46" s="8">
        <v>1.571</v>
      </c>
      <c r="K46" s="8">
        <v>0</v>
      </c>
      <c r="L46" s="8">
        <v>1.24</v>
      </c>
      <c r="M46" s="8">
        <v>3.6389999999999998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4.5330000000000004</v>
      </c>
      <c r="X46" s="8">
        <v>1.8</v>
      </c>
      <c r="Y46" s="8">
        <v>0.114</v>
      </c>
      <c r="Z46" s="8">
        <v>1.4E-2</v>
      </c>
      <c r="AA46" s="8">
        <v>0.28799999999999998</v>
      </c>
      <c r="AB46" s="8">
        <v>1.625</v>
      </c>
      <c r="AC46" s="8">
        <v>0</v>
      </c>
      <c r="AD46" s="8">
        <v>0.20300000000000001</v>
      </c>
      <c r="AE46" s="8">
        <v>0.85699999999999998</v>
      </c>
      <c r="AG46" t="str">
        <f t="shared" si="37"/>
        <v>ELCSOL</v>
      </c>
      <c r="AH46" s="8">
        <f t="shared" si="36"/>
        <v>2011</v>
      </c>
      <c r="AI46" s="11" t="str">
        <f t="shared" si="8"/>
        <v/>
      </c>
      <c r="AJ46" s="11">
        <f t="shared" si="9"/>
        <v>1.659871869539895E-3</v>
      </c>
      <c r="AK46" s="11">
        <f t="shared" si="10"/>
        <v>0</v>
      </c>
      <c r="AL46" s="11">
        <f t="shared" si="11"/>
        <v>0</v>
      </c>
      <c r="AM46" s="11">
        <f t="shared" si="12"/>
        <v>0</v>
      </c>
      <c r="AN46" s="11">
        <f t="shared" si="13"/>
        <v>0</v>
      </c>
      <c r="AO46" s="11">
        <f t="shared" si="14"/>
        <v>6.8499636983490641E-3</v>
      </c>
      <c r="AP46" s="11">
        <f t="shared" si="15"/>
        <v>0</v>
      </c>
      <c r="AQ46" s="11">
        <f t="shared" si="16"/>
        <v>0</v>
      </c>
      <c r="AR46" s="11">
        <f t="shared" si="17"/>
        <v>0</v>
      </c>
      <c r="AS46" s="11">
        <f t="shared" si="18"/>
        <v>0</v>
      </c>
      <c r="AT46" s="11">
        <f t="shared" si="19"/>
        <v>2.1859834739649368E-4</v>
      </c>
      <c r="AU46" s="11">
        <f t="shared" si="20"/>
        <v>0</v>
      </c>
      <c r="AV46" s="11">
        <f t="shared" si="21"/>
        <v>2.0554984583761563E-4</v>
      </c>
      <c r="AW46" s="11">
        <f t="shared" si="22"/>
        <v>0</v>
      </c>
      <c r="AX46" s="11">
        <f t="shared" si="23"/>
        <v>0</v>
      </c>
      <c r="AY46" s="11">
        <f t="shared" si="24"/>
        <v>0</v>
      </c>
      <c r="AZ46" s="11">
        <f t="shared" si="25"/>
        <v>0</v>
      </c>
      <c r="BA46" s="11">
        <f t="shared" si="26"/>
        <v>0</v>
      </c>
      <c r="BB46" s="11">
        <f t="shared" si="27"/>
        <v>0</v>
      </c>
      <c r="BC46" s="11">
        <f t="shared" si="28"/>
        <v>0</v>
      </c>
      <c r="BD46" s="11">
        <f t="shared" si="29"/>
        <v>0</v>
      </c>
      <c r="BE46" s="11">
        <f t="shared" si="30"/>
        <v>0</v>
      </c>
      <c r="BF46" s="11">
        <f t="shared" si="31"/>
        <v>0</v>
      </c>
      <c r="BG46" s="11">
        <f t="shared" si="32"/>
        <v>0</v>
      </c>
      <c r="BH46" s="11">
        <f t="shared" si="33"/>
        <v>0</v>
      </c>
      <c r="BI46" s="11">
        <f t="shared" si="34"/>
        <v>1.1223974409338347E-4</v>
      </c>
      <c r="BJ46" s="11">
        <f t="shared" si="35"/>
        <v>0</v>
      </c>
    </row>
    <row r="47" spans="1:62" x14ac:dyDescent="0.25">
      <c r="A47" t="str">
        <f t="shared" si="5"/>
        <v>ELCMUN</v>
      </c>
      <c r="B47" t="str">
        <f t="shared" si="6"/>
        <v>Waste (non-renewable)</v>
      </c>
      <c r="C47">
        <v>2012</v>
      </c>
      <c r="D47" s="8">
        <v>0</v>
      </c>
      <c r="E47" s="8">
        <v>2.0760000000000001</v>
      </c>
      <c r="F47" s="8">
        <v>0.193</v>
      </c>
      <c r="G47" s="8">
        <v>0</v>
      </c>
      <c r="H47" s="8">
        <v>0.46200000000000002</v>
      </c>
      <c r="I47" s="8">
        <v>26.364000000000001</v>
      </c>
      <c r="J47" s="8">
        <v>1.38</v>
      </c>
      <c r="K47" s="8">
        <v>0</v>
      </c>
      <c r="L47" s="8">
        <v>1.403</v>
      </c>
      <c r="M47" s="8">
        <v>5.1529999999999996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1.95</v>
      </c>
      <c r="Y47" s="8">
        <v>0.128</v>
      </c>
      <c r="Z47" s="8">
        <v>0.01</v>
      </c>
      <c r="AA47" s="8">
        <v>0</v>
      </c>
      <c r="AB47" s="8">
        <v>1.585</v>
      </c>
      <c r="AC47" s="8">
        <v>0</v>
      </c>
      <c r="AD47" s="8">
        <v>0.20300000000000001</v>
      </c>
      <c r="AE47" s="8">
        <v>1.113</v>
      </c>
      <c r="AG47" t="str">
        <f t="shared" si="37"/>
        <v>ELCWOO</v>
      </c>
      <c r="AH47" s="8">
        <f t="shared" si="36"/>
        <v>2011</v>
      </c>
      <c r="AI47" s="11" t="str">
        <f t="shared" si="8"/>
        <v/>
      </c>
      <c r="AJ47" s="11">
        <f t="shared" si="9"/>
        <v>0.56598718695398942</v>
      </c>
      <c r="AK47" s="11">
        <f t="shared" si="10"/>
        <v>0</v>
      </c>
      <c r="AL47" s="11">
        <f t="shared" si="11"/>
        <v>7.9192411452441037E-3</v>
      </c>
      <c r="AM47" s="11">
        <f t="shared" si="12"/>
        <v>5.1951280139199606E-2</v>
      </c>
      <c r="AN47" s="11">
        <f t="shared" si="13"/>
        <v>0.16090646614632909</v>
      </c>
      <c r="AO47" s="11">
        <f t="shared" si="14"/>
        <v>0.60173300924902939</v>
      </c>
      <c r="AP47" s="11">
        <f t="shared" si="15"/>
        <v>0.29011307625398663</v>
      </c>
      <c r="AQ47" s="11">
        <f t="shared" si="16"/>
        <v>0.39424706818417682</v>
      </c>
      <c r="AR47" s="11">
        <f t="shared" si="17"/>
        <v>0.50631157635467983</v>
      </c>
      <c r="AS47" s="11">
        <f t="shared" si="18"/>
        <v>0</v>
      </c>
      <c r="AT47" s="11">
        <f t="shared" si="19"/>
        <v>2.2865387137673238E-2</v>
      </c>
      <c r="AU47" s="11">
        <f t="shared" si="20"/>
        <v>0</v>
      </c>
      <c r="AV47" s="11">
        <f t="shared" si="21"/>
        <v>0.75759506680369992</v>
      </c>
      <c r="AW47" s="11">
        <f t="shared" si="22"/>
        <v>0.41013598383485333</v>
      </c>
      <c r="AX47" s="11">
        <f t="shared" si="23"/>
        <v>0.51269035532994922</v>
      </c>
      <c r="AY47" s="11">
        <f t="shared" si="24"/>
        <v>0.42193929042776179</v>
      </c>
      <c r="AZ47" s="11">
        <f t="shared" si="25"/>
        <v>9.26140310257004E-2</v>
      </c>
      <c r="BA47" s="11">
        <f t="shared" si="26"/>
        <v>0</v>
      </c>
      <c r="BB47" s="11">
        <f t="shared" si="27"/>
        <v>0.18329602204236267</v>
      </c>
      <c r="BC47" s="11">
        <f t="shared" si="28"/>
        <v>0.39854207251932378</v>
      </c>
      <c r="BD47" s="11">
        <f t="shared" si="29"/>
        <v>1.4152287478233338E-2</v>
      </c>
      <c r="BE47" s="11">
        <f t="shared" si="30"/>
        <v>0.11223015965960104</v>
      </c>
      <c r="BF47" s="11">
        <f t="shared" si="31"/>
        <v>2.6753864447086801E-3</v>
      </c>
      <c r="BG47" s="11">
        <f t="shared" si="32"/>
        <v>0.78301871865061157</v>
      </c>
      <c r="BH47" s="11">
        <f t="shared" si="33"/>
        <v>0.13084464555052788</v>
      </c>
      <c r="BI47" s="11">
        <f t="shared" si="34"/>
        <v>0.15814579942757731</v>
      </c>
      <c r="BJ47" s="11">
        <f t="shared" si="35"/>
        <v>2.883764938190345E-2</v>
      </c>
    </row>
    <row r="48" spans="1:62" x14ac:dyDescent="0.25">
      <c r="A48" t="str">
        <f t="shared" si="5"/>
        <v>ELCMUN</v>
      </c>
      <c r="B48" t="str">
        <f t="shared" si="6"/>
        <v>Waste (non-renewable)</v>
      </c>
      <c r="C48">
        <v>2013</v>
      </c>
      <c r="D48" s="8">
        <v>0</v>
      </c>
      <c r="E48" s="8">
        <v>1.518</v>
      </c>
      <c r="F48" s="8">
        <v>0.193</v>
      </c>
      <c r="G48" s="8">
        <v>0</v>
      </c>
      <c r="H48" s="8">
        <v>0.35799999999999998</v>
      </c>
      <c r="I48" s="8">
        <v>21.741</v>
      </c>
      <c r="J48" s="8">
        <v>1.4319999999999999</v>
      </c>
      <c r="K48" s="8">
        <v>0</v>
      </c>
      <c r="L48" s="8">
        <v>0.32500000000000001</v>
      </c>
      <c r="M48" s="8">
        <v>4.6710000000000003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2.08</v>
      </c>
      <c r="Y48" s="8">
        <v>8.8999999999999996E-2</v>
      </c>
      <c r="Z48" s="8">
        <v>2.1000000000000001E-2</v>
      </c>
      <c r="AA48" s="8">
        <v>0</v>
      </c>
      <c r="AB48" s="8">
        <v>1.496</v>
      </c>
      <c r="AC48" s="8">
        <v>0</v>
      </c>
      <c r="AD48" s="8">
        <v>0.218</v>
      </c>
      <c r="AE48" s="8">
        <v>0.99399999999999999</v>
      </c>
      <c r="AG48" t="str">
        <f t="shared" si="37"/>
        <v>ELCCOH</v>
      </c>
      <c r="AH48" s="8">
        <f t="shared" si="36"/>
        <v>2012</v>
      </c>
      <c r="AI48" s="11" t="str">
        <f t="shared" si="8"/>
        <v/>
      </c>
      <c r="AJ48" s="11">
        <f t="shared" si="9"/>
        <v>0</v>
      </c>
      <c r="AK48" s="11">
        <f t="shared" si="10"/>
        <v>0</v>
      </c>
      <c r="AL48" s="11">
        <f t="shared" si="11"/>
        <v>3.7538045316198851E-2</v>
      </c>
      <c r="AM48" s="11">
        <f t="shared" si="12"/>
        <v>9.2698099842936782E-2</v>
      </c>
      <c r="AN48" s="11">
        <f t="shared" si="13"/>
        <v>0.16995531353903612</v>
      </c>
      <c r="AO48" s="11">
        <f t="shared" si="14"/>
        <v>2.5613266087507591E-3</v>
      </c>
      <c r="AP48" s="11">
        <f t="shared" si="15"/>
        <v>3.8260126108795554E-2</v>
      </c>
      <c r="AQ48" s="11">
        <f t="shared" si="16"/>
        <v>0.16249168698736419</v>
      </c>
      <c r="AR48" s="11">
        <f t="shared" si="17"/>
        <v>0.12920908379013313</v>
      </c>
      <c r="AS48" s="11">
        <f t="shared" si="18"/>
        <v>0</v>
      </c>
      <c r="AT48" s="11">
        <f t="shared" si="19"/>
        <v>5.9105197748373417E-2</v>
      </c>
      <c r="AU48" s="11">
        <f t="shared" si="20"/>
        <v>0</v>
      </c>
      <c r="AV48" s="11">
        <f t="shared" si="21"/>
        <v>0</v>
      </c>
      <c r="AW48" s="11">
        <f t="shared" si="22"/>
        <v>1.1300565028251414E-2</v>
      </c>
      <c r="AX48" s="11">
        <f t="shared" si="23"/>
        <v>0</v>
      </c>
      <c r="AY48" s="11">
        <f t="shared" si="24"/>
        <v>6.2653660084066934E-3</v>
      </c>
      <c r="AZ48" s="11">
        <f t="shared" si="25"/>
        <v>1.7977528089887639E-2</v>
      </c>
      <c r="BA48" s="11">
        <f t="shared" si="26"/>
        <v>0</v>
      </c>
      <c r="BB48" s="11">
        <f t="shared" si="27"/>
        <v>0</v>
      </c>
      <c r="BC48" s="11">
        <f t="shared" si="28"/>
        <v>0</v>
      </c>
      <c r="BD48" s="11">
        <f t="shared" si="29"/>
        <v>0.8989047397185308</v>
      </c>
      <c r="BE48" s="11">
        <f t="shared" si="30"/>
        <v>4.4735746982937988E-3</v>
      </c>
      <c r="BF48" s="11">
        <f t="shared" si="31"/>
        <v>0.1961096727079599</v>
      </c>
      <c r="BG48" s="11">
        <f t="shared" si="32"/>
        <v>2.4345161773766506E-2</v>
      </c>
      <c r="BH48" s="11">
        <f t="shared" si="33"/>
        <v>0</v>
      </c>
      <c r="BI48" s="11">
        <f t="shared" si="34"/>
        <v>7.8708491324830532E-3</v>
      </c>
      <c r="BJ48" s="11">
        <f t="shared" si="35"/>
        <v>0.1142793256985087</v>
      </c>
    </row>
    <row r="49" spans="1:62" x14ac:dyDescent="0.25">
      <c r="A49" t="str">
        <f t="shared" si="5"/>
        <v>ELCMUN</v>
      </c>
      <c r="B49" t="str">
        <f t="shared" si="6"/>
        <v>Waste (non-renewable)</v>
      </c>
      <c r="C49">
        <v>2014</v>
      </c>
      <c r="D49" s="8">
        <v>0</v>
      </c>
      <c r="E49" s="8">
        <v>1.6339999999999999</v>
      </c>
      <c r="F49" s="8">
        <v>0.188</v>
      </c>
      <c r="G49" s="8">
        <v>0</v>
      </c>
      <c r="H49" s="8">
        <v>0.35199999999999998</v>
      </c>
      <c r="I49" s="8">
        <v>20.065999999999999</v>
      </c>
      <c r="J49" s="8">
        <v>1.3520000000000001</v>
      </c>
      <c r="K49" s="8">
        <v>0</v>
      </c>
      <c r="L49" s="8">
        <v>0.627</v>
      </c>
      <c r="M49" s="8">
        <v>4.6710000000000003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2.5430000000000001</v>
      </c>
      <c r="Y49" s="8">
        <v>0.19900000000000001</v>
      </c>
      <c r="Z49" s="8">
        <v>2.5000000000000001E-2</v>
      </c>
      <c r="AA49" s="8">
        <v>0</v>
      </c>
      <c r="AB49" s="8">
        <v>1.36</v>
      </c>
      <c r="AC49" s="8">
        <v>0</v>
      </c>
      <c r="AD49" s="8">
        <v>0.04</v>
      </c>
      <c r="AE49" s="8">
        <v>1.355</v>
      </c>
      <c r="AG49" t="str">
        <f t="shared" si="37"/>
        <v>ELCGAS</v>
      </c>
      <c r="AH49" s="8">
        <f t="shared" si="36"/>
        <v>2012</v>
      </c>
      <c r="AI49" s="11" t="str">
        <f t="shared" si="8"/>
        <v/>
      </c>
      <c r="AJ49" s="11">
        <f t="shared" si="9"/>
        <v>0.30723443223443225</v>
      </c>
      <c r="AK49" s="11">
        <f t="shared" si="10"/>
        <v>0.19672131147540983</v>
      </c>
      <c r="AL49" s="11">
        <f t="shared" si="11"/>
        <v>0.91714575583361502</v>
      </c>
      <c r="AM49" s="11">
        <f t="shared" si="12"/>
        <v>0.84105817498691149</v>
      </c>
      <c r="AN49" s="11">
        <f t="shared" si="13"/>
        <v>0.45824118543110037</v>
      </c>
      <c r="AO49" s="11">
        <f t="shared" si="14"/>
        <v>0.33326291885611681</v>
      </c>
      <c r="AP49" s="11">
        <f t="shared" si="15"/>
        <v>0.67366677353852733</v>
      </c>
      <c r="AQ49" s="11">
        <f t="shared" si="16"/>
        <v>0.26585383876450158</v>
      </c>
      <c r="AR49" s="11">
        <f t="shared" si="17"/>
        <v>0.41205349075356906</v>
      </c>
      <c r="AS49" s="11">
        <f t="shared" si="18"/>
        <v>0.79107197084725167</v>
      </c>
      <c r="AT49" s="11">
        <f t="shared" si="19"/>
        <v>0.88632209956868191</v>
      </c>
      <c r="AU49" s="11">
        <f t="shared" si="20"/>
        <v>0</v>
      </c>
      <c r="AV49" s="11">
        <f t="shared" si="21"/>
        <v>0</v>
      </c>
      <c r="AW49" s="11">
        <f t="shared" si="22"/>
        <v>0.4856242812140607</v>
      </c>
      <c r="AX49" s="11">
        <f t="shared" si="23"/>
        <v>0.42696629213483145</v>
      </c>
      <c r="AY49" s="11">
        <f t="shared" si="24"/>
        <v>0.49869141089697838</v>
      </c>
      <c r="AZ49" s="11">
        <f t="shared" si="25"/>
        <v>0.91460674157303368</v>
      </c>
      <c r="BA49" s="11">
        <f t="shared" si="26"/>
        <v>0.60648148148148151</v>
      </c>
      <c r="BB49" s="11">
        <f t="shared" si="27"/>
        <v>0.46051697921946277</v>
      </c>
      <c r="BC49" s="11">
        <f t="shared" si="28"/>
        <v>4.5046895324159654E-2</v>
      </c>
      <c r="BD49" s="11">
        <f t="shared" si="29"/>
        <v>7.7666600107972994E-2</v>
      </c>
      <c r="BE49" s="11">
        <f t="shared" si="30"/>
        <v>0.71275488972118184</v>
      </c>
      <c r="BF49" s="11">
        <f t="shared" si="31"/>
        <v>0.65770430857066986</v>
      </c>
      <c r="BG49" s="11">
        <f t="shared" si="32"/>
        <v>1.8816711904484373E-2</v>
      </c>
      <c r="BH49" s="11">
        <f t="shared" si="33"/>
        <v>0.72681992337164758</v>
      </c>
      <c r="BI49" s="11">
        <f t="shared" si="34"/>
        <v>0.79053200045961169</v>
      </c>
      <c r="BJ49" s="11">
        <f t="shared" si="35"/>
        <v>0.80978398242305238</v>
      </c>
    </row>
    <row r="50" spans="1:62" x14ac:dyDescent="0.25">
      <c r="A50" t="str">
        <f t="shared" si="5"/>
        <v/>
      </c>
      <c r="B50" t="str">
        <f t="shared" si="6"/>
        <v>B_101109</v>
      </c>
      <c r="C50" t="s">
        <v>190</v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G50" t="str">
        <f t="shared" si="37"/>
        <v>ELCGEO</v>
      </c>
      <c r="AH50" s="8">
        <f t="shared" si="36"/>
        <v>2012</v>
      </c>
      <c r="AI50" s="11" t="str">
        <f t="shared" si="8"/>
        <v/>
      </c>
      <c r="AJ50" s="11">
        <f t="shared" si="9"/>
        <v>2.9405779405779407E-2</v>
      </c>
      <c r="AK50" s="11">
        <f t="shared" si="10"/>
        <v>0.19672131147540983</v>
      </c>
      <c r="AL50" s="11">
        <f t="shared" si="11"/>
        <v>0</v>
      </c>
      <c r="AM50" s="11">
        <f t="shared" si="12"/>
        <v>0</v>
      </c>
      <c r="AN50" s="11">
        <f t="shared" si="13"/>
        <v>8.6538899488357746E-4</v>
      </c>
      <c r="AO50" s="11">
        <f t="shared" si="14"/>
        <v>7.6047635393836962E-3</v>
      </c>
      <c r="AP50" s="11">
        <f t="shared" si="15"/>
        <v>0</v>
      </c>
      <c r="AQ50" s="11">
        <f t="shared" si="16"/>
        <v>0</v>
      </c>
      <c r="AR50" s="11">
        <f t="shared" si="17"/>
        <v>9.5882778145894826E-2</v>
      </c>
      <c r="AS50" s="11">
        <f t="shared" si="18"/>
        <v>0</v>
      </c>
      <c r="AT50" s="11">
        <f t="shared" si="19"/>
        <v>1.5315447035602017E-2</v>
      </c>
      <c r="AU50" s="11">
        <f t="shared" si="20"/>
        <v>0.97395425202432928</v>
      </c>
      <c r="AV50" s="11">
        <f t="shared" si="21"/>
        <v>0.24635209399279895</v>
      </c>
      <c r="AW50" s="11">
        <f t="shared" si="22"/>
        <v>7.9003950197509883E-3</v>
      </c>
      <c r="AX50" s="11">
        <f t="shared" si="23"/>
        <v>0</v>
      </c>
      <c r="AY50" s="11">
        <f t="shared" si="24"/>
        <v>0</v>
      </c>
      <c r="AZ50" s="11">
        <f t="shared" si="25"/>
        <v>0</v>
      </c>
      <c r="BA50" s="11">
        <f t="shared" si="26"/>
        <v>0</v>
      </c>
      <c r="BB50" s="11">
        <f t="shared" si="27"/>
        <v>0</v>
      </c>
      <c r="BC50" s="11">
        <f t="shared" si="28"/>
        <v>0</v>
      </c>
      <c r="BD50" s="11">
        <f t="shared" si="29"/>
        <v>0</v>
      </c>
      <c r="BE50" s="11">
        <f t="shared" si="30"/>
        <v>3.6412817311693715E-4</v>
      </c>
      <c r="BF50" s="11">
        <f t="shared" si="31"/>
        <v>0</v>
      </c>
      <c r="BG50" s="11">
        <f t="shared" si="32"/>
        <v>0</v>
      </c>
      <c r="BH50" s="11">
        <f t="shared" si="33"/>
        <v>3.2183908045977018E-2</v>
      </c>
      <c r="BI50" s="11">
        <f t="shared" si="34"/>
        <v>1.091577616913708E-2</v>
      </c>
      <c r="BJ50" s="11">
        <f t="shared" si="35"/>
        <v>0</v>
      </c>
    </row>
    <row r="51" spans="1:62" x14ac:dyDescent="0.25">
      <c r="A51" t="str">
        <f t="shared" si="5"/>
        <v/>
      </c>
      <c r="B51" t="str">
        <f t="shared" si="6"/>
        <v>All products</v>
      </c>
      <c r="C51" t="s">
        <v>172</v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G51" t="str">
        <f t="shared" si="37"/>
        <v>ELCHFO</v>
      </c>
      <c r="AH51" s="8">
        <f t="shared" si="36"/>
        <v>2012</v>
      </c>
      <c r="AI51" s="11" t="str">
        <f t="shared" si="8"/>
        <v/>
      </c>
      <c r="AJ51" s="11">
        <f t="shared" si="9"/>
        <v>3.6706349206349208E-2</v>
      </c>
      <c r="AK51" s="11">
        <f t="shared" si="10"/>
        <v>0</v>
      </c>
      <c r="AL51" s="11">
        <f t="shared" si="11"/>
        <v>3.1225340998760006E-2</v>
      </c>
      <c r="AM51" s="11">
        <f t="shared" si="12"/>
        <v>1.4874811370145669E-2</v>
      </c>
      <c r="AN51" s="11">
        <f t="shared" si="13"/>
        <v>3.8810925156503827E-2</v>
      </c>
      <c r="AO51" s="11">
        <f t="shared" si="14"/>
        <v>4.6843230968287075E-2</v>
      </c>
      <c r="AP51" s="11">
        <f t="shared" si="15"/>
        <v>7.2779737095222841E-2</v>
      </c>
      <c r="AQ51" s="11">
        <f t="shared" si="16"/>
        <v>0.14456513707234167</v>
      </c>
      <c r="AR51" s="11">
        <f t="shared" si="17"/>
        <v>8.9256671284862352E-2</v>
      </c>
      <c r="AS51" s="11">
        <f t="shared" si="18"/>
        <v>0.20892802915274822</v>
      </c>
      <c r="AT51" s="11">
        <f t="shared" si="19"/>
        <v>8.7725710943782429E-3</v>
      </c>
      <c r="AU51" s="11">
        <f t="shared" si="20"/>
        <v>0</v>
      </c>
      <c r="AV51" s="11">
        <f t="shared" si="21"/>
        <v>0</v>
      </c>
      <c r="AW51" s="11">
        <f t="shared" si="22"/>
        <v>3.2801640082004105E-2</v>
      </c>
      <c r="AX51" s="11">
        <f t="shared" si="23"/>
        <v>0</v>
      </c>
      <c r="AY51" s="11">
        <f t="shared" si="24"/>
        <v>2.5933856768974542E-2</v>
      </c>
      <c r="AZ51" s="11">
        <f t="shared" si="25"/>
        <v>9.9875156054931337E-3</v>
      </c>
      <c r="BA51" s="11">
        <f t="shared" si="26"/>
        <v>0.39351851851851855</v>
      </c>
      <c r="BB51" s="11">
        <f t="shared" si="27"/>
        <v>0.53831728332488593</v>
      </c>
      <c r="BC51" s="11">
        <f t="shared" si="28"/>
        <v>9.0025330321078942E-2</v>
      </c>
      <c r="BD51" s="11">
        <f t="shared" si="29"/>
        <v>9.9172453575311157E-3</v>
      </c>
      <c r="BE51" s="11">
        <f t="shared" si="30"/>
        <v>0.17946317103620474</v>
      </c>
      <c r="BF51" s="11">
        <f t="shared" si="31"/>
        <v>0.14379605656243774</v>
      </c>
      <c r="BG51" s="11">
        <f t="shared" si="32"/>
        <v>5.3519391204436086E-2</v>
      </c>
      <c r="BH51" s="11">
        <f t="shared" si="33"/>
        <v>8.1609195402298856E-2</v>
      </c>
      <c r="BI51" s="11">
        <f t="shared" si="34"/>
        <v>2.2980581408709642E-3</v>
      </c>
      <c r="BJ51" s="11">
        <f t="shared" si="35"/>
        <v>3.035134451984212E-2</v>
      </c>
    </row>
    <row r="52" spans="1:62" x14ac:dyDescent="0.25">
      <c r="A52" t="str">
        <f t="shared" ref="A52:A83" si="38">IFERROR(VLOOKUP(B52,$AG$16:$AH$24,2,FALSE),"")</f>
        <v/>
      </c>
      <c r="B52" t="str">
        <f t="shared" si="6"/>
        <v>All products</v>
      </c>
      <c r="C52">
        <v>2010</v>
      </c>
      <c r="D52" s="8">
        <v>0</v>
      </c>
      <c r="E52" s="8">
        <v>31.042999999999999</v>
      </c>
      <c r="F52" s="8">
        <v>0.16300000000000001</v>
      </c>
      <c r="G52" s="8">
        <v>14.118</v>
      </c>
      <c r="H52" s="8">
        <v>28.997</v>
      </c>
      <c r="I52" s="8">
        <v>152.06299999999999</v>
      </c>
      <c r="J52" s="8">
        <v>36.183999999999997</v>
      </c>
      <c r="K52" s="8">
        <v>15.074</v>
      </c>
      <c r="L52" s="8">
        <v>61.186999999999998</v>
      </c>
      <c r="M52" s="8">
        <v>13.869</v>
      </c>
      <c r="N52" s="8">
        <v>3.0920000000000001</v>
      </c>
      <c r="O52" s="8">
        <v>15.236000000000001</v>
      </c>
      <c r="P52" s="8">
        <v>15.798999999999999</v>
      </c>
      <c r="Q52" s="8">
        <v>2.8359999999999999</v>
      </c>
      <c r="R52" s="8">
        <v>20.434000000000001</v>
      </c>
      <c r="S52" s="8">
        <v>0.14000000000000001</v>
      </c>
      <c r="T52" s="8">
        <v>11.840999999999999</v>
      </c>
      <c r="U52" s="8">
        <v>4.1870000000000003</v>
      </c>
      <c r="V52" s="8">
        <v>2.9729999999999999</v>
      </c>
      <c r="W52" s="8">
        <v>25.300999999999998</v>
      </c>
      <c r="X52" s="8">
        <v>16.413</v>
      </c>
      <c r="Y52" s="8">
        <v>129.983</v>
      </c>
      <c r="Z52" s="8">
        <v>20.39</v>
      </c>
      <c r="AA52" s="8">
        <v>27.062000000000001</v>
      </c>
      <c r="AB52" s="8">
        <v>72.168000000000006</v>
      </c>
      <c r="AC52" s="8">
        <v>2.1190000000000002</v>
      </c>
      <c r="AD52" s="8">
        <v>18.204000000000001</v>
      </c>
      <c r="AE52" s="8">
        <v>56.966999999999999</v>
      </c>
      <c r="AG52" t="str">
        <f t="shared" si="37"/>
        <v>ELCMUN</v>
      </c>
      <c r="AH52" s="8">
        <f t="shared" si="36"/>
        <v>2012</v>
      </c>
      <c r="AI52" s="11" t="str">
        <f t="shared" si="8"/>
        <v/>
      </c>
      <c r="AJ52" s="11">
        <f t="shared" si="9"/>
        <v>5.2808302808302815E-2</v>
      </c>
      <c r="AK52" s="11">
        <f t="shared" si="10"/>
        <v>0.31639344262295083</v>
      </c>
      <c r="AL52" s="11">
        <f t="shared" si="11"/>
        <v>0</v>
      </c>
      <c r="AM52" s="11">
        <f t="shared" si="12"/>
        <v>1.4228080441008902E-2</v>
      </c>
      <c r="AN52" s="11">
        <f t="shared" si="13"/>
        <v>0.13342172784275225</v>
      </c>
      <c r="AO52" s="11">
        <f t="shared" si="14"/>
        <v>3.6439491959546877E-2</v>
      </c>
      <c r="AP52" s="11">
        <f t="shared" si="15"/>
        <v>0</v>
      </c>
      <c r="AQ52" s="11">
        <f t="shared" si="16"/>
        <v>2.0734500849774625E-2</v>
      </c>
      <c r="AR52" s="11">
        <f t="shared" si="17"/>
        <v>7.760074694295524E-2</v>
      </c>
      <c r="AS52" s="11">
        <f t="shared" si="18"/>
        <v>0</v>
      </c>
      <c r="AT52" s="11">
        <f t="shared" si="19"/>
        <v>0</v>
      </c>
      <c r="AU52" s="11">
        <f t="shared" si="20"/>
        <v>0</v>
      </c>
      <c r="AV52" s="11">
        <f t="shared" si="21"/>
        <v>0</v>
      </c>
      <c r="AW52" s="11">
        <f t="shared" si="22"/>
        <v>0</v>
      </c>
      <c r="AX52" s="11">
        <f t="shared" si="23"/>
        <v>0</v>
      </c>
      <c r="AY52" s="11">
        <f t="shared" si="24"/>
        <v>0</v>
      </c>
      <c r="AZ52" s="11">
        <f t="shared" si="25"/>
        <v>0</v>
      </c>
      <c r="BA52" s="11">
        <f t="shared" si="26"/>
        <v>0</v>
      </c>
      <c r="BB52" s="11">
        <f t="shared" si="27"/>
        <v>0</v>
      </c>
      <c r="BC52" s="11">
        <f t="shared" si="28"/>
        <v>0.13349763811871021</v>
      </c>
      <c r="BD52" s="11">
        <f t="shared" si="29"/>
        <v>9.4661253226247801E-4</v>
      </c>
      <c r="BE52" s="11">
        <f t="shared" si="30"/>
        <v>5.2018310445276742E-4</v>
      </c>
      <c r="BF52" s="11">
        <f t="shared" si="31"/>
        <v>0</v>
      </c>
      <c r="BG52" s="11">
        <f t="shared" si="32"/>
        <v>2.6393352538590913E-2</v>
      </c>
      <c r="BH52" s="11">
        <f t="shared" si="33"/>
        <v>0</v>
      </c>
      <c r="BI52" s="11">
        <f t="shared" si="34"/>
        <v>1.1662645064920145E-2</v>
      </c>
      <c r="BJ52" s="11">
        <f t="shared" si="35"/>
        <v>1.0820322373665689E-2</v>
      </c>
    </row>
    <row r="53" spans="1:62" x14ac:dyDescent="0.25">
      <c r="A53" t="str">
        <f t="shared" si="38"/>
        <v/>
      </c>
      <c r="B53" t="str">
        <f t="shared" si="6"/>
        <v>All products</v>
      </c>
      <c r="C53">
        <v>2011</v>
      </c>
      <c r="D53" s="8">
        <v>0</v>
      </c>
      <c r="E53" s="8">
        <v>28.664000000000001</v>
      </c>
      <c r="F53" s="8">
        <v>0.80900000000000005</v>
      </c>
      <c r="G53" s="8">
        <v>13.672000000000001</v>
      </c>
      <c r="H53" s="8">
        <v>24.594000000000001</v>
      </c>
      <c r="I53" s="8">
        <v>132.244</v>
      </c>
      <c r="J53" s="8">
        <v>32.112000000000002</v>
      </c>
      <c r="K53" s="8">
        <v>13.884</v>
      </c>
      <c r="L53" s="8">
        <v>52.877000000000002</v>
      </c>
      <c r="M53" s="8">
        <v>11.473000000000001</v>
      </c>
      <c r="N53" s="8">
        <v>3.0219999999999998</v>
      </c>
      <c r="O53" s="8">
        <v>18.321999999999999</v>
      </c>
      <c r="P53" s="8">
        <v>15.718</v>
      </c>
      <c r="Q53" s="8">
        <v>3.2690000000000001</v>
      </c>
      <c r="R53" s="8">
        <v>20.367000000000001</v>
      </c>
      <c r="S53" s="8">
        <v>0.17100000000000001</v>
      </c>
      <c r="T53" s="8">
        <v>10.196</v>
      </c>
      <c r="U53" s="8">
        <v>3.9430000000000001</v>
      </c>
      <c r="V53" s="8">
        <v>2.2959999999999998</v>
      </c>
      <c r="W53" s="8">
        <v>23.895</v>
      </c>
      <c r="X53" s="8">
        <v>14.436</v>
      </c>
      <c r="Y53" s="8">
        <v>106.249</v>
      </c>
      <c r="Z53" s="8">
        <v>18.114000000000001</v>
      </c>
      <c r="AA53" s="8">
        <v>28.928999999999998</v>
      </c>
      <c r="AB53" s="8">
        <v>56.392000000000003</v>
      </c>
      <c r="AC53" s="8">
        <v>2.3090000000000002</v>
      </c>
      <c r="AD53" s="8">
        <v>15.398</v>
      </c>
      <c r="AE53" s="8">
        <v>58.122</v>
      </c>
      <c r="AG53" t="str">
        <f t="shared" si="37"/>
        <v>ELCSOL</v>
      </c>
      <c r="AH53" s="8">
        <f t="shared" si="36"/>
        <v>2012</v>
      </c>
      <c r="AI53" s="11" t="str">
        <f t="shared" si="8"/>
        <v/>
      </c>
      <c r="AJ53" s="11">
        <f t="shared" si="9"/>
        <v>1.6025641025641027E-3</v>
      </c>
      <c r="AK53" s="11">
        <f t="shared" si="10"/>
        <v>0</v>
      </c>
      <c r="AL53" s="11">
        <f t="shared" si="11"/>
        <v>0</v>
      </c>
      <c r="AM53" s="11">
        <f t="shared" si="12"/>
        <v>0</v>
      </c>
      <c r="AN53" s="11">
        <f t="shared" si="13"/>
        <v>5.5668297916487428E-5</v>
      </c>
      <c r="AO53" s="11">
        <f t="shared" si="14"/>
        <v>9.1098729898867192E-3</v>
      </c>
      <c r="AP53" s="11">
        <f t="shared" si="15"/>
        <v>0</v>
      </c>
      <c r="AQ53" s="11">
        <f t="shared" si="16"/>
        <v>0</v>
      </c>
      <c r="AR53" s="11">
        <f t="shared" si="17"/>
        <v>0</v>
      </c>
      <c r="AS53" s="11">
        <f t="shared" si="18"/>
        <v>0</v>
      </c>
      <c r="AT53" s="11">
        <f t="shared" si="19"/>
        <v>1.8276189779954676E-4</v>
      </c>
      <c r="AU53" s="11">
        <f t="shared" si="20"/>
        <v>0</v>
      </c>
      <c r="AV53" s="11">
        <f t="shared" si="21"/>
        <v>1.8950161076369148E-4</v>
      </c>
      <c r="AW53" s="11">
        <f t="shared" si="22"/>
        <v>0</v>
      </c>
      <c r="AX53" s="11">
        <f t="shared" si="23"/>
        <v>0</v>
      </c>
      <c r="AY53" s="11">
        <f t="shared" si="24"/>
        <v>0</v>
      </c>
      <c r="AZ53" s="11">
        <f t="shared" si="25"/>
        <v>0</v>
      </c>
      <c r="BA53" s="11">
        <f t="shared" si="26"/>
        <v>0</v>
      </c>
      <c r="BB53" s="11">
        <f t="shared" si="27"/>
        <v>0</v>
      </c>
      <c r="BC53" s="11">
        <f t="shared" si="28"/>
        <v>0</v>
      </c>
      <c r="BD53" s="11">
        <f t="shared" si="29"/>
        <v>0</v>
      </c>
      <c r="BE53" s="11">
        <f t="shared" si="30"/>
        <v>0</v>
      </c>
      <c r="BF53" s="11">
        <f t="shared" si="31"/>
        <v>0</v>
      </c>
      <c r="BG53" s="11">
        <f t="shared" si="32"/>
        <v>0</v>
      </c>
      <c r="BH53" s="11">
        <f t="shared" si="33"/>
        <v>0</v>
      </c>
      <c r="BI53" s="11">
        <f t="shared" si="34"/>
        <v>1.1490290704354821E-4</v>
      </c>
      <c r="BJ53" s="11">
        <f t="shared" si="35"/>
        <v>0</v>
      </c>
    </row>
    <row r="54" spans="1:62" x14ac:dyDescent="0.25">
      <c r="A54" t="str">
        <f t="shared" si="38"/>
        <v/>
      </c>
      <c r="B54" t="str">
        <f t="shared" si="6"/>
        <v>All products</v>
      </c>
      <c r="C54">
        <v>2012</v>
      </c>
      <c r="D54" s="8">
        <v>0</v>
      </c>
      <c r="E54" s="8">
        <v>32.832000000000001</v>
      </c>
      <c r="F54" s="8">
        <v>0.45500000000000002</v>
      </c>
      <c r="G54" s="8">
        <v>10.356</v>
      </c>
      <c r="H54" s="8">
        <v>27.509</v>
      </c>
      <c r="I54" s="8">
        <v>135.40899999999999</v>
      </c>
      <c r="J54" s="8">
        <v>38.19</v>
      </c>
      <c r="K54" s="8">
        <v>14.859</v>
      </c>
      <c r="L54" s="8">
        <v>63.218000000000004</v>
      </c>
      <c r="M54" s="8">
        <v>51.929000000000002</v>
      </c>
      <c r="N54" s="8">
        <v>2.661</v>
      </c>
      <c r="O54" s="8">
        <v>24.018000000000001</v>
      </c>
      <c r="P54" s="8">
        <v>17.858000000000001</v>
      </c>
      <c r="Q54" s="8">
        <v>3.742</v>
      </c>
      <c r="R54" s="8">
        <v>21.277999999999999</v>
      </c>
      <c r="S54" s="8">
        <v>0.16</v>
      </c>
      <c r="T54" s="8">
        <v>9.9640000000000004</v>
      </c>
      <c r="U54" s="8">
        <v>3.7480000000000002</v>
      </c>
      <c r="V54" s="8">
        <v>1.589</v>
      </c>
      <c r="W54" s="8">
        <v>17.321999999999999</v>
      </c>
      <c r="X54" s="8">
        <v>13.286</v>
      </c>
      <c r="Y54" s="8">
        <v>113.87</v>
      </c>
      <c r="Z54" s="8">
        <v>16.931999999999999</v>
      </c>
      <c r="AA54" s="8">
        <v>26.222999999999999</v>
      </c>
      <c r="AB54" s="8">
        <v>60.683</v>
      </c>
      <c r="AC54" s="8">
        <v>2.3210000000000002</v>
      </c>
      <c r="AD54" s="8">
        <v>14.859</v>
      </c>
      <c r="AE54" s="8">
        <v>64.180999999999997</v>
      </c>
      <c r="AG54" t="str">
        <f t="shared" si="37"/>
        <v>ELCWOO</v>
      </c>
      <c r="AH54" s="8">
        <f t="shared" si="36"/>
        <v>2012</v>
      </c>
      <c r="AI54" s="11" t="str">
        <f t="shared" si="8"/>
        <v/>
      </c>
      <c r="AJ54" s="11">
        <f t="shared" si="9"/>
        <v>0.57224257224257224</v>
      </c>
      <c r="AK54" s="11">
        <f t="shared" si="10"/>
        <v>0.29016393442622951</v>
      </c>
      <c r="AL54" s="11">
        <f t="shared" si="11"/>
        <v>1.4090857851425994E-2</v>
      </c>
      <c r="AM54" s="11">
        <f t="shared" si="12"/>
        <v>3.6278525453481571E-2</v>
      </c>
      <c r="AN54" s="11">
        <f t="shared" si="13"/>
        <v>0.19864270568170894</v>
      </c>
      <c r="AO54" s="11">
        <f t="shared" si="14"/>
        <v>0.54593224366929838</v>
      </c>
      <c r="AP54" s="11">
        <f t="shared" si="15"/>
        <v>0.21523992732713476</v>
      </c>
      <c r="AQ54" s="11">
        <f t="shared" si="16"/>
        <v>0.3949604670065765</v>
      </c>
      <c r="AR54" s="11">
        <f t="shared" si="17"/>
        <v>0.19584663574483466</v>
      </c>
      <c r="AS54" s="11">
        <f t="shared" si="18"/>
        <v>0</v>
      </c>
      <c r="AT54" s="11">
        <f t="shared" si="19"/>
        <v>3.0301922655164848E-2</v>
      </c>
      <c r="AU54" s="11">
        <f t="shared" si="20"/>
        <v>0</v>
      </c>
      <c r="AV54" s="11">
        <f t="shared" si="21"/>
        <v>0.7534584043964373</v>
      </c>
      <c r="AW54" s="11">
        <f t="shared" si="22"/>
        <v>0.46182309115455777</v>
      </c>
      <c r="AX54" s="11">
        <f t="shared" si="23"/>
        <v>0.5730337078651685</v>
      </c>
      <c r="AY54" s="11">
        <f t="shared" si="24"/>
        <v>0.46823697359029265</v>
      </c>
      <c r="AZ54" s="11">
        <f t="shared" si="25"/>
        <v>5.742821473158552E-2</v>
      </c>
      <c r="BA54" s="11">
        <f t="shared" si="26"/>
        <v>0</v>
      </c>
      <c r="BB54" s="11">
        <f t="shared" si="27"/>
        <v>1.1657374556512923E-3</v>
      </c>
      <c r="BC54" s="11">
        <f t="shared" si="28"/>
        <v>0.50051345245430279</v>
      </c>
      <c r="BD54" s="11">
        <f t="shared" si="29"/>
        <v>1.2572197694111035E-2</v>
      </c>
      <c r="BE54" s="11">
        <f t="shared" si="30"/>
        <v>0.1024240532667499</v>
      </c>
      <c r="BF54" s="11">
        <f t="shared" si="31"/>
        <v>2.4231560778065456E-3</v>
      </c>
      <c r="BG54" s="11">
        <f t="shared" si="32"/>
        <v>0.7694236757530849</v>
      </c>
      <c r="BH54" s="11">
        <f t="shared" si="33"/>
        <v>0.15938697318007664</v>
      </c>
      <c r="BI54" s="11">
        <f t="shared" si="34"/>
        <v>0.17264161783293117</v>
      </c>
      <c r="BJ54" s="11">
        <f t="shared" si="35"/>
        <v>3.4765024984931267E-2</v>
      </c>
    </row>
    <row r="55" spans="1:62" x14ac:dyDescent="0.25">
      <c r="A55" t="str">
        <f t="shared" si="38"/>
        <v/>
      </c>
      <c r="B55" t="str">
        <f t="shared" si="6"/>
        <v>All products</v>
      </c>
      <c r="C55">
        <v>2013</v>
      </c>
      <c r="D55" s="8">
        <v>0</v>
      </c>
      <c r="E55" s="8">
        <v>36.420999999999999</v>
      </c>
      <c r="F55" s="8">
        <v>0.40899999999999997</v>
      </c>
      <c r="G55" s="8">
        <v>8.0690000000000008</v>
      </c>
      <c r="H55" s="8">
        <v>26.670999999999999</v>
      </c>
      <c r="I55" s="8">
        <v>139.43199999999999</v>
      </c>
      <c r="J55" s="8">
        <v>38.183</v>
      </c>
      <c r="K55" s="8">
        <v>12.454000000000001</v>
      </c>
      <c r="L55" s="8">
        <v>55.948999999999998</v>
      </c>
      <c r="M55" s="8">
        <v>59.683999999999997</v>
      </c>
      <c r="N55" s="8">
        <v>2.621</v>
      </c>
      <c r="O55" s="8">
        <v>24.881</v>
      </c>
      <c r="P55" s="8">
        <v>17.762</v>
      </c>
      <c r="Q55" s="8">
        <v>3.7570000000000001</v>
      </c>
      <c r="R55" s="8">
        <v>19.033999999999999</v>
      </c>
      <c r="S55" s="8">
        <v>0.20399999999999999</v>
      </c>
      <c r="T55" s="8">
        <v>8.109</v>
      </c>
      <c r="U55" s="8">
        <v>3.7240000000000002</v>
      </c>
      <c r="V55" s="8">
        <v>1.1879999999999999</v>
      </c>
      <c r="W55" s="8">
        <v>18.646000000000001</v>
      </c>
      <c r="X55" s="8">
        <v>16.111999999999998</v>
      </c>
      <c r="Y55" s="8">
        <v>110.892</v>
      </c>
      <c r="Z55" s="8">
        <v>15.807</v>
      </c>
      <c r="AA55" s="8">
        <v>25.594000000000001</v>
      </c>
      <c r="AB55" s="8">
        <v>52.557000000000002</v>
      </c>
      <c r="AC55" s="8">
        <v>2.1789999999999998</v>
      </c>
      <c r="AD55" s="8">
        <v>12.86</v>
      </c>
      <c r="AE55" s="8">
        <v>64.117999999999995</v>
      </c>
      <c r="AG55" t="str">
        <f t="shared" si="37"/>
        <v>ELCCOH</v>
      </c>
      <c r="AH55" s="8">
        <f t="shared" si="36"/>
        <v>2013</v>
      </c>
      <c r="AI55" s="11" t="str">
        <f t="shared" si="8"/>
        <v/>
      </c>
      <c r="AJ55" s="11">
        <f t="shared" si="9"/>
        <v>0</v>
      </c>
      <c r="AK55" s="11">
        <f t="shared" si="10"/>
        <v>0</v>
      </c>
      <c r="AL55" s="11">
        <f t="shared" si="11"/>
        <v>3.5425255764238814E-2</v>
      </c>
      <c r="AM55" s="11">
        <f t="shared" si="12"/>
        <v>9.0171616948385644E-2</v>
      </c>
      <c r="AN55" s="11">
        <f t="shared" si="13"/>
        <v>9.4359749322192113E-2</v>
      </c>
      <c r="AO55" s="11">
        <f t="shared" si="14"/>
        <v>2.6090197540067092E-3</v>
      </c>
      <c r="AP55" s="11">
        <f t="shared" si="15"/>
        <v>3.5617131650534567E-2</v>
      </c>
      <c r="AQ55" s="11">
        <f t="shared" si="16"/>
        <v>0.18527609439008702</v>
      </c>
      <c r="AR55" s="11">
        <f t="shared" si="17"/>
        <v>0.14475493664801933</v>
      </c>
      <c r="AS55" s="11">
        <f t="shared" si="18"/>
        <v>0</v>
      </c>
      <c r="AT55" s="11">
        <f t="shared" si="19"/>
        <v>3.1975705609146129E-2</v>
      </c>
      <c r="AU55" s="11">
        <f t="shared" si="20"/>
        <v>0</v>
      </c>
      <c r="AV55" s="11">
        <f t="shared" si="21"/>
        <v>0</v>
      </c>
      <c r="AW55" s="11">
        <f t="shared" si="22"/>
        <v>3.0017491395361962E-2</v>
      </c>
      <c r="AX55" s="11">
        <f t="shared" si="23"/>
        <v>0</v>
      </c>
      <c r="AY55" s="11">
        <f t="shared" si="24"/>
        <v>9.0166244012397853E-3</v>
      </c>
      <c r="AZ55" s="11">
        <f t="shared" si="25"/>
        <v>8.2085948816996615E-2</v>
      </c>
      <c r="BA55" s="11">
        <f t="shared" si="26"/>
        <v>0</v>
      </c>
      <c r="BB55" s="11">
        <f t="shared" si="27"/>
        <v>0</v>
      </c>
      <c r="BC55" s="11">
        <f t="shared" si="28"/>
        <v>0</v>
      </c>
      <c r="BD55" s="11">
        <f t="shared" si="29"/>
        <v>0.89181151735903008</v>
      </c>
      <c r="BE55" s="11">
        <f t="shared" si="30"/>
        <v>7.9245912579245913E-3</v>
      </c>
      <c r="BF55" s="11">
        <f t="shared" si="31"/>
        <v>0.22866082195352475</v>
      </c>
      <c r="BG55" s="11">
        <f t="shared" si="32"/>
        <v>3.3785034618090265E-2</v>
      </c>
      <c r="BH55" s="11">
        <f t="shared" si="33"/>
        <v>0</v>
      </c>
      <c r="BI55" s="11">
        <f t="shared" si="34"/>
        <v>9.0771558245083227E-3</v>
      </c>
      <c r="BJ55" s="11">
        <f t="shared" si="35"/>
        <v>0.15113153897090328</v>
      </c>
    </row>
    <row r="56" spans="1:62" x14ac:dyDescent="0.25">
      <c r="A56" t="str">
        <f t="shared" si="38"/>
        <v/>
      </c>
      <c r="B56" t="str">
        <f t="shared" si="6"/>
        <v>All products</v>
      </c>
      <c r="C56">
        <v>2014</v>
      </c>
      <c r="D56" s="8">
        <v>0</v>
      </c>
      <c r="E56" s="8">
        <v>36.078000000000003</v>
      </c>
      <c r="F56" s="8">
        <v>0.495</v>
      </c>
      <c r="G56" s="8">
        <v>8.8699999999999992</v>
      </c>
      <c r="H56" s="8">
        <v>23.986000000000001</v>
      </c>
      <c r="I56" s="8">
        <v>119.919</v>
      </c>
      <c r="J56" s="8">
        <v>39.084000000000003</v>
      </c>
      <c r="K56" s="8">
        <v>10.404</v>
      </c>
      <c r="L56" s="8">
        <v>59.744999999999997</v>
      </c>
      <c r="M56" s="8">
        <v>50.796999999999997</v>
      </c>
      <c r="N56" s="8">
        <v>2.113</v>
      </c>
      <c r="O56" s="8">
        <v>22.245000000000001</v>
      </c>
      <c r="P56" s="8">
        <v>23.71</v>
      </c>
      <c r="Q56" s="8">
        <v>3.508</v>
      </c>
      <c r="R56" s="8">
        <v>21.795999999999999</v>
      </c>
      <c r="S56" s="8">
        <v>0.17599999999999999</v>
      </c>
      <c r="T56" s="8">
        <v>7.0640000000000001</v>
      </c>
      <c r="U56" s="8">
        <v>3.5049999999999999</v>
      </c>
      <c r="V56" s="8">
        <v>1.5780000000000001</v>
      </c>
      <c r="W56" s="8">
        <v>20.802</v>
      </c>
      <c r="X56" s="8">
        <v>16.937999999999999</v>
      </c>
      <c r="Y56" s="8">
        <v>100.6</v>
      </c>
      <c r="Z56" s="8">
        <v>13.619</v>
      </c>
      <c r="AA56" s="8">
        <v>22.545000000000002</v>
      </c>
      <c r="AB56" s="8">
        <v>51.462000000000003</v>
      </c>
      <c r="AC56" s="8">
        <v>1.8120000000000001</v>
      </c>
      <c r="AD56" s="8">
        <v>10.862</v>
      </c>
      <c r="AE56" s="8">
        <v>68.024000000000001</v>
      </c>
      <c r="AG56" t="str">
        <f t="shared" si="37"/>
        <v>ELCGAS</v>
      </c>
      <c r="AH56" s="8">
        <f t="shared" si="36"/>
        <v>2013</v>
      </c>
      <c r="AI56" s="11" t="str">
        <f t="shared" si="8"/>
        <v/>
      </c>
      <c r="AJ56" s="11">
        <f t="shared" si="9"/>
        <v>0.34882682089622419</v>
      </c>
      <c r="AK56" s="11">
        <f t="shared" si="10"/>
        <v>0.12908777969018934</v>
      </c>
      <c r="AL56" s="11">
        <f t="shared" si="11"/>
        <v>0.93250877996640702</v>
      </c>
      <c r="AM56" s="11">
        <f t="shared" si="12"/>
        <v>0.84389644807860131</v>
      </c>
      <c r="AN56" s="11">
        <f t="shared" si="13"/>
        <v>0.56603626827859022</v>
      </c>
      <c r="AO56" s="11">
        <f t="shared" si="14"/>
        <v>0.34178158777487888</v>
      </c>
      <c r="AP56" s="11">
        <f t="shared" si="15"/>
        <v>0.65477320174606179</v>
      </c>
      <c r="AQ56" s="11">
        <f t="shared" si="16"/>
        <v>0.23853133358160949</v>
      </c>
      <c r="AR56" s="11">
        <f t="shared" si="17"/>
        <v>0.40574640515894739</v>
      </c>
      <c r="AS56" s="11">
        <f t="shared" si="18"/>
        <v>0.88726830750531749</v>
      </c>
      <c r="AT56" s="11">
        <f t="shared" si="19"/>
        <v>0.87220435869953561</v>
      </c>
      <c r="AU56" s="11">
        <f t="shared" si="20"/>
        <v>0</v>
      </c>
      <c r="AV56" s="11">
        <f t="shared" si="21"/>
        <v>0</v>
      </c>
      <c r="AW56" s="11">
        <f t="shared" si="22"/>
        <v>0.44213733566551944</v>
      </c>
      <c r="AX56" s="11">
        <f t="shared" si="23"/>
        <v>0.5</v>
      </c>
      <c r="AY56" s="11">
        <f t="shared" si="24"/>
        <v>0.41917911148680381</v>
      </c>
      <c r="AZ56" s="11">
        <f t="shared" si="25"/>
        <v>0.84234669241912108</v>
      </c>
      <c r="BA56" s="11">
        <f t="shared" si="26"/>
        <v>0.93605115907274195</v>
      </c>
      <c r="BB56" s="11">
        <f t="shared" si="27"/>
        <v>0.46417117418984249</v>
      </c>
      <c r="BC56" s="11">
        <f t="shared" si="28"/>
        <v>3.636241430299772E-2</v>
      </c>
      <c r="BD56" s="11">
        <f t="shared" si="29"/>
        <v>8.6264926921480953E-2</v>
      </c>
      <c r="BE56" s="11">
        <f t="shared" si="30"/>
        <v>0.80772439105772442</v>
      </c>
      <c r="BF56" s="11">
        <f t="shared" si="31"/>
        <v>0.60642701170029001</v>
      </c>
      <c r="BG56" s="11">
        <f t="shared" si="32"/>
        <v>1.6568551223666187E-2</v>
      </c>
      <c r="BH56" s="11">
        <f t="shared" si="33"/>
        <v>0.70226130653266339</v>
      </c>
      <c r="BI56" s="11">
        <f t="shared" si="34"/>
        <v>0.76366506610537388</v>
      </c>
      <c r="BJ56" s="11">
        <f t="shared" si="35"/>
        <v>0.79964359443773625</v>
      </c>
    </row>
    <row r="57" spans="1:62" x14ac:dyDescent="0.25">
      <c r="A57" t="str">
        <f t="shared" si="38"/>
        <v/>
      </c>
      <c r="C57" t="s">
        <v>191</v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G57" t="str">
        <f t="shared" si="37"/>
        <v>ELCGEO</v>
      </c>
      <c r="AH57" s="8">
        <f t="shared" si="36"/>
        <v>2013</v>
      </c>
      <c r="AI57" s="11" t="str">
        <f t="shared" si="8"/>
        <v/>
      </c>
      <c r="AJ57" s="11">
        <f t="shared" si="9"/>
        <v>2.7907086095829221E-2</v>
      </c>
      <c r="AK57" s="11">
        <f t="shared" si="10"/>
        <v>0.23407917383821</v>
      </c>
      <c r="AL57" s="11">
        <f t="shared" si="11"/>
        <v>0</v>
      </c>
      <c r="AM57" s="11">
        <f t="shared" si="12"/>
        <v>0</v>
      </c>
      <c r="AN57" s="11">
        <f t="shared" si="13"/>
        <v>2.294546424285524E-3</v>
      </c>
      <c r="AO57" s="11">
        <f t="shared" si="14"/>
        <v>6.0965869761993507E-3</v>
      </c>
      <c r="AP57" s="11">
        <f t="shared" si="15"/>
        <v>0</v>
      </c>
      <c r="AQ57" s="11">
        <f t="shared" si="16"/>
        <v>0</v>
      </c>
      <c r="AR57" s="11">
        <f t="shared" si="17"/>
        <v>0.10357948704255063</v>
      </c>
      <c r="AS57" s="11">
        <f t="shared" si="18"/>
        <v>0</v>
      </c>
      <c r="AT57" s="11">
        <f t="shared" si="19"/>
        <v>2.1936405859235442E-2</v>
      </c>
      <c r="AU57" s="11">
        <f t="shared" si="20"/>
        <v>0.97267139109666811</v>
      </c>
      <c r="AV57" s="11">
        <f t="shared" si="21"/>
        <v>0.24496328375070608</v>
      </c>
      <c r="AW57" s="11">
        <f t="shared" si="22"/>
        <v>3.9496699204423632E-3</v>
      </c>
      <c r="AX57" s="11">
        <f t="shared" si="23"/>
        <v>0</v>
      </c>
      <c r="AY57" s="11">
        <f t="shared" si="24"/>
        <v>0</v>
      </c>
      <c r="AZ57" s="11">
        <f t="shared" si="25"/>
        <v>0</v>
      </c>
      <c r="BA57" s="11">
        <f t="shared" si="26"/>
        <v>0</v>
      </c>
      <c r="BB57" s="11">
        <f t="shared" si="27"/>
        <v>0</v>
      </c>
      <c r="BC57" s="11">
        <f t="shared" si="28"/>
        <v>0</v>
      </c>
      <c r="BD57" s="11">
        <f t="shared" si="29"/>
        <v>0</v>
      </c>
      <c r="BE57" s="11">
        <f t="shared" si="30"/>
        <v>7.0904237570904244E-4</v>
      </c>
      <c r="BF57" s="11">
        <f t="shared" si="31"/>
        <v>0</v>
      </c>
      <c r="BG57" s="11">
        <f t="shared" si="32"/>
        <v>0</v>
      </c>
      <c r="BH57" s="11">
        <f t="shared" si="33"/>
        <v>3.2663316582914576E-2</v>
      </c>
      <c r="BI57" s="11">
        <f t="shared" si="34"/>
        <v>1.3418404262316648E-2</v>
      </c>
      <c r="BJ57" s="11">
        <f t="shared" si="35"/>
        <v>0</v>
      </c>
    </row>
    <row r="58" spans="1:62" x14ac:dyDescent="0.25">
      <c r="A58" t="str">
        <f t="shared" si="38"/>
        <v/>
      </c>
      <c r="C58">
        <v>2010</v>
      </c>
      <c r="D58" s="8">
        <v>0</v>
      </c>
      <c r="E58" s="8">
        <v>31.042999999999999</v>
      </c>
      <c r="F58" s="8">
        <v>0.16300000000000001</v>
      </c>
      <c r="G58" s="8">
        <v>14.118</v>
      </c>
      <c r="H58" s="8">
        <v>28.997</v>
      </c>
      <c r="I58" s="8">
        <v>152.06299999999999</v>
      </c>
      <c r="J58" s="8">
        <v>36.183999999999997</v>
      </c>
      <c r="K58" s="8">
        <v>15.074</v>
      </c>
      <c r="L58" s="8">
        <v>61.186999999999998</v>
      </c>
      <c r="M58" s="8">
        <v>13.869</v>
      </c>
      <c r="N58" s="8">
        <v>3.0920000000000001</v>
      </c>
      <c r="O58" s="8">
        <v>15.236000000000001</v>
      </c>
      <c r="P58" s="8">
        <v>15.798999999999999</v>
      </c>
      <c r="Q58" s="8">
        <v>2.8359999999999999</v>
      </c>
      <c r="R58" s="8">
        <v>20.434000000000001</v>
      </c>
      <c r="S58" s="8">
        <v>0.14000000000000001</v>
      </c>
      <c r="T58" s="8">
        <v>11.840999999999999</v>
      </c>
      <c r="U58" s="8">
        <v>4.1870000000000003</v>
      </c>
      <c r="V58" s="8">
        <v>2.9729999999999999</v>
      </c>
      <c r="W58" s="8">
        <v>25.300999999999998</v>
      </c>
      <c r="X58" s="8">
        <v>16.413</v>
      </c>
      <c r="Y58" s="8">
        <v>129.983</v>
      </c>
      <c r="Z58" s="8">
        <v>20.39</v>
      </c>
      <c r="AA58" s="8">
        <v>27.062000000000001</v>
      </c>
      <c r="AB58" s="8">
        <v>72.168000000000006</v>
      </c>
      <c r="AC58" s="8">
        <v>2.1190000000000002</v>
      </c>
      <c r="AD58" s="8">
        <v>18.204000000000001</v>
      </c>
      <c r="AE58" s="8">
        <v>56.966999999999999</v>
      </c>
      <c r="AG58" t="str">
        <f t="shared" si="37"/>
        <v>ELCHFO</v>
      </c>
      <c r="AH58" s="8">
        <f t="shared" si="36"/>
        <v>2013</v>
      </c>
      <c r="AI58" s="11" t="str">
        <f t="shared" si="8"/>
        <v/>
      </c>
      <c r="AJ58" s="11">
        <f t="shared" si="9"/>
        <v>3.2044952273475341E-2</v>
      </c>
      <c r="AK58" s="11">
        <f t="shared" si="10"/>
        <v>0</v>
      </c>
      <c r="AL58" s="11">
        <f t="shared" si="11"/>
        <v>2.3973125668040923E-2</v>
      </c>
      <c r="AM58" s="11">
        <f t="shared" si="12"/>
        <v>1.1828964803981773E-2</v>
      </c>
      <c r="AN58" s="11">
        <f t="shared" si="13"/>
        <v>3.1795857593670832E-2</v>
      </c>
      <c r="AO58" s="11">
        <f t="shared" si="14"/>
        <v>4.0626164740961611E-2</v>
      </c>
      <c r="AP58" s="11">
        <f t="shared" si="15"/>
        <v>4.0488391219080155E-2</v>
      </c>
      <c r="AQ58" s="11">
        <f t="shared" si="16"/>
        <v>9.967159833429258E-2</v>
      </c>
      <c r="AR58" s="11">
        <f t="shared" si="17"/>
        <v>8.0975713961468118E-2</v>
      </c>
      <c r="AS58" s="11">
        <f t="shared" si="18"/>
        <v>0.11273169249468247</v>
      </c>
      <c r="AT58" s="11">
        <f t="shared" si="19"/>
        <v>7.4312254376563058E-3</v>
      </c>
      <c r="AU58" s="11">
        <f t="shared" si="20"/>
        <v>0</v>
      </c>
      <c r="AV58" s="11">
        <f t="shared" si="21"/>
        <v>0</v>
      </c>
      <c r="AW58" s="11">
        <f t="shared" si="22"/>
        <v>2.7986232579134459E-2</v>
      </c>
      <c r="AX58" s="11">
        <f t="shared" si="23"/>
        <v>0</v>
      </c>
      <c r="AY58" s="11">
        <f t="shared" si="24"/>
        <v>7.9834695219310609E-3</v>
      </c>
      <c r="AZ58" s="11">
        <f t="shared" si="25"/>
        <v>1.0381458232737806E-2</v>
      </c>
      <c r="BA58" s="11">
        <f t="shared" si="26"/>
        <v>6.3948840927258194E-2</v>
      </c>
      <c r="BB58" s="11">
        <f t="shared" si="27"/>
        <v>0.53219089560097654</v>
      </c>
      <c r="BC58" s="11">
        <f t="shared" si="28"/>
        <v>5.6257561500201635E-2</v>
      </c>
      <c r="BD58" s="11">
        <f t="shared" si="29"/>
        <v>5.786343307667482E-3</v>
      </c>
      <c r="BE58" s="11">
        <f t="shared" si="30"/>
        <v>0.11140306973640307</v>
      </c>
      <c r="BF58" s="11">
        <f t="shared" si="31"/>
        <v>0.16237004204282501</v>
      </c>
      <c r="BG58" s="11">
        <f t="shared" si="32"/>
        <v>4.4836906216446371E-2</v>
      </c>
      <c r="BH58" s="11">
        <f t="shared" si="33"/>
        <v>0.10469011725293133</v>
      </c>
      <c r="BI58" s="11">
        <f t="shared" si="34"/>
        <v>0</v>
      </c>
      <c r="BJ58" s="11">
        <f t="shared" si="35"/>
        <v>2.5892961477038134E-2</v>
      </c>
    </row>
    <row r="59" spans="1:62" x14ac:dyDescent="0.25">
      <c r="A59" t="str">
        <f t="shared" si="38"/>
        <v/>
      </c>
      <c r="C59">
        <v>2011</v>
      </c>
      <c r="D59" s="8">
        <v>0</v>
      </c>
      <c r="E59" s="8">
        <v>28.664000000000001</v>
      </c>
      <c r="F59" s="8">
        <v>0.80900000000000005</v>
      </c>
      <c r="G59" s="8">
        <v>13.672000000000001</v>
      </c>
      <c r="H59" s="8">
        <v>24.594000000000001</v>
      </c>
      <c r="I59" s="8">
        <v>132.244</v>
      </c>
      <c r="J59" s="8">
        <v>32.112000000000002</v>
      </c>
      <c r="K59" s="8">
        <v>13.884</v>
      </c>
      <c r="L59" s="8">
        <v>52.877000000000002</v>
      </c>
      <c r="M59" s="8">
        <v>11.473000000000001</v>
      </c>
      <c r="N59" s="8">
        <v>3.0219999999999998</v>
      </c>
      <c r="O59" s="8">
        <v>18.321999999999999</v>
      </c>
      <c r="P59" s="8">
        <v>15.718</v>
      </c>
      <c r="Q59" s="8">
        <v>3.2690000000000001</v>
      </c>
      <c r="R59" s="8">
        <v>20.367000000000001</v>
      </c>
      <c r="S59" s="8">
        <v>0.17100000000000001</v>
      </c>
      <c r="T59" s="8">
        <v>10.196</v>
      </c>
      <c r="U59" s="8">
        <v>3.9430000000000001</v>
      </c>
      <c r="V59" s="8">
        <v>2.2959999999999998</v>
      </c>
      <c r="W59" s="8">
        <v>23.895</v>
      </c>
      <c r="X59" s="8">
        <v>14.436</v>
      </c>
      <c r="Y59" s="8">
        <v>106.249</v>
      </c>
      <c r="Z59" s="8">
        <v>18.114000000000001</v>
      </c>
      <c r="AA59" s="8">
        <v>28.928999999999998</v>
      </c>
      <c r="AB59" s="8">
        <v>56.392000000000003</v>
      </c>
      <c r="AC59" s="8">
        <v>2.3090000000000002</v>
      </c>
      <c r="AD59" s="8">
        <v>15.398</v>
      </c>
      <c r="AE59" s="8">
        <v>58.122</v>
      </c>
      <c r="AG59" t="str">
        <f t="shared" si="37"/>
        <v>ELCMUN</v>
      </c>
      <c r="AH59" s="8">
        <f t="shared" si="36"/>
        <v>2013</v>
      </c>
      <c r="AI59" s="11" t="str">
        <f t="shared" si="8"/>
        <v/>
      </c>
      <c r="AJ59" s="11">
        <f t="shared" si="9"/>
        <v>3.5689095782197776E-2</v>
      </c>
      <c r="AK59" s="11">
        <f t="shared" si="10"/>
        <v>0.33218588640275393</v>
      </c>
      <c r="AL59" s="11">
        <f t="shared" si="11"/>
        <v>0</v>
      </c>
      <c r="AM59" s="11">
        <f t="shared" si="12"/>
        <v>1.1570408196244466E-2</v>
      </c>
      <c r="AN59" s="11">
        <f t="shared" si="13"/>
        <v>0.12078870172007646</v>
      </c>
      <c r="AO59" s="11">
        <f t="shared" si="14"/>
        <v>3.8123635589159259E-2</v>
      </c>
      <c r="AP59" s="11">
        <f t="shared" si="15"/>
        <v>0</v>
      </c>
      <c r="AQ59" s="11">
        <f t="shared" si="16"/>
        <v>5.5015742966448861E-3</v>
      </c>
      <c r="AR59" s="11">
        <f t="shared" si="17"/>
        <v>6.2363983497777012E-2</v>
      </c>
      <c r="AS59" s="11">
        <f t="shared" si="18"/>
        <v>0</v>
      </c>
      <c r="AT59" s="11">
        <f t="shared" si="19"/>
        <v>0</v>
      </c>
      <c r="AU59" s="11">
        <f t="shared" si="20"/>
        <v>0</v>
      </c>
      <c r="AV59" s="11">
        <f t="shared" si="21"/>
        <v>0</v>
      </c>
      <c r="AW59" s="11">
        <f t="shared" si="22"/>
        <v>0</v>
      </c>
      <c r="AX59" s="11">
        <f t="shared" si="23"/>
        <v>0</v>
      </c>
      <c r="AY59" s="11">
        <f t="shared" si="24"/>
        <v>0</v>
      </c>
      <c r="AZ59" s="11">
        <f t="shared" si="25"/>
        <v>0</v>
      </c>
      <c r="BA59" s="11">
        <f t="shared" si="26"/>
        <v>0</v>
      </c>
      <c r="BB59" s="11">
        <f t="shared" si="27"/>
        <v>0</v>
      </c>
      <c r="BC59" s="11">
        <f t="shared" si="28"/>
        <v>0.13980373706143298</v>
      </c>
      <c r="BD59" s="11">
        <f t="shared" si="29"/>
        <v>6.8391043078672761E-4</v>
      </c>
      <c r="BE59" s="11">
        <f t="shared" si="30"/>
        <v>8.7587587587587598E-4</v>
      </c>
      <c r="BF59" s="11">
        <f t="shared" si="31"/>
        <v>0</v>
      </c>
      <c r="BG59" s="11">
        <f t="shared" si="32"/>
        <v>2.7694472212966049E-2</v>
      </c>
      <c r="BH59" s="11">
        <f t="shared" si="33"/>
        <v>0</v>
      </c>
      <c r="BI59" s="11">
        <f t="shared" si="34"/>
        <v>1.433927514306387E-2</v>
      </c>
      <c r="BJ59" s="11">
        <f t="shared" si="35"/>
        <v>9.6794297511003779E-3</v>
      </c>
    </row>
    <row r="60" spans="1:62" x14ac:dyDescent="0.25">
      <c r="A60" t="str">
        <f t="shared" si="38"/>
        <v/>
      </c>
      <c r="C60">
        <v>2012</v>
      </c>
      <c r="D60" s="8">
        <v>0</v>
      </c>
      <c r="E60" s="8">
        <v>32.832000000000001</v>
      </c>
      <c r="F60" s="8">
        <v>0.45500000000000002</v>
      </c>
      <c r="G60" s="8">
        <v>10.356</v>
      </c>
      <c r="H60" s="8">
        <v>27.509</v>
      </c>
      <c r="I60" s="8">
        <v>135.40899999999999</v>
      </c>
      <c r="J60" s="8">
        <v>38.19</v>
      </c>
      <c r="K60" s="8">
        <v>14.859</v>
      </c>
      <c r="L60" s="8">
        <v>63.218000000000004</v>
      </c>
      <c r="M60" s="8">
        <v>51.929000000000002</v>
      </c>
      <c r="N60" s="8">
        <v>2.661</v>
      </c>
      <c r="O60" s="8">
        <v>24.018000000000001</v>
      </c>
      <c r="P60" s="8">
        <v>17.858000000000001</v>
      </c>
      <c r="Q60" s="8">
        <v>3.742</v>
      </c>
      <c r="R60" s="8">
        <v>21.277999999999999</v>
      </c>
      <c r="S60" s="8">
        <v>0.16</v>
      </c>
      <c r="T60" s="8">
        <v>9.9640000000000004</v>
      </c>
      <c r="U60" s="8">
        <v>3.7480000000000002</v>
      </c>
      <c r="V60" s="8">
        <v>1.589</v>
      </c>
      <c r="W60" s="8">
        <v>17.321999999999999</v>
      </c>
      <c r="X60" s="8">
        <v>13.286</v>
      </c>
      <c r="Y60" s="8">
        <v>113.87</v>
      </c>
      <c r="Z60" s="8">
        <v>16.931999999999999</v>
      </c>
      <c r="AA60" s="8">
        <v>26.222999999999999</v>
      </c>
      <c r="AB60" s="8">
        <v>60.683</v>
      </c>
      <c r="AC60" s="8">
        <v>2.3210000000000002</v>
      </c>
      <c r="AD60" s="8">
        <v>14.859</v>
      </c>
      <c r="AE60" s="8">
        <v>64.180999999999997</v>
      </c>
      <c r="AG60" t="str">
        <f t="shared" si="37"/>
        <v>ELCSOL</v>
      </c>
      <c r="AH60" s="8">
        <f t="shared" si="36"/>
        <v>2013</v>
      </c>
      <c r="AI60" s="11" t="str">
        <f t="shared" si="8"/>
        <v/>
      </c>
      <c r="AJ60" s="11">
        <f t="shared" si="9"/>
        <v>1.4811680067710537E-3</v>
      </c>
      <c r="AK60" s="11">
        <f t="shared" si="10"/>
        <v>0</v>
      </c>
      <c r="AL60" s="11">
        <f t="shared" si="11"/>
        <v>0</v>
      </c>
      <c r="AM60" s="11">
        <f t="shared" si="12"/>
        <v>0</v>
      </c>
      <c r="AN60" s="11">
        <f t="shared" si="13"/>
        <v>5.5558024801102277E-6</v>
      </c>
      <c r="AO60" s="11">
        <f t="shared" si="14"/>
        <v>1.2645759011767212E-2</v>
      </c>
      <c r="AP60" s="11">
        <f t="shared" si="15"/>
        <v>0</v>
      </c>
      <c r="AQ60" s="11">
        <f t="shared" si="16"/>
        <v>0</v>
      </c>
      <c r="AR60" s="11">
        <f t="shared" si="17"/>
        <v>0</v>
      </c>
      <c r="AS60" s="11">
        <f t="shared" si="18"/>
        <v>0</v>
      </c>
      <c r="AT60" s="11">
        <f t="shared" si="19"/>
        <v>0</v>
      </c>
      <c r="AU60" s="11">
        <f t="shared" si="20"/>
        <v>0</v>
      </c>
      <c r="AV60" s="11">
        <f t="shared" si="21"/>
        <v>3.7657691583505931E-4</v>
      </c>
      <c r="AW60" s="11">
        <f t="shared" si="22"/>
        <v>0</v>
      </c>
      <c r="AX60" s="11">
        <f t="shared" si="23"/>
        <v>0</v>
      </c>
      <c r="AY60" s="11">
        <f t="shared" si="24"/>
        <v>0</v>
      </c>
      <c r="AZ60" s="11">
        <f t="shared" si="25"/>
        <v>0</v>
      </c>
      <c r="BA60" s="11">
        <f t="shared" si="26"/>
        <v>0</v>
      </c>
      <c r="BB60" s="11">
        <f t="shared" si="27"/>
        <v>0</v>
      </c>
      <c r="BC60" s="11">
        <f t="shared" si="28"/>
        <v>0</v>
      </c>
      <c r="BD60" s="11">
        <f t="shared" si="29"/>
        <v>0</v>
      </c>
      <c r="BE60" s="11">
        <f t="shared" si="30"/>
        <v>0</v>
      </c>
      <c r="BF60" s="11">
        <f t="shared" si="31"/>
        <v>0</v>
      </c>
      <c r="BG60" s="11">
        <f t="shared" si="32"/>
        <v>0</v>
      </c>
      <c r="BH60" s="11">
        <f t="shared" si="33"/>
        <v>0</v>
      </c>
      <c r="BI60" s="11">
        <f t="shared" si="34"/>
        <v>6.5776491481944351E-5</v>
      </c>
      <c r="BJ60" s="11">
        <f t="shared" si="35"/>
        <v>0</v>
      </c>
    </row>
    <row r="61" spans="1:62" x14ac:dyDescent="0.25">
      <c r="A61" t="str">
        <f t="shared" si="38"/>
        <v/>
      </c>
      <c r="C61">
        <v>2013</v>
      </c>
      <c r="D61" s="8">
        <v>0</v>
      </c>
      <c r="E61" s="8">
        <v>36.420999999999999</v>
      </c>
      <c r="F61" s="8">
        <v>0.40899999999999997</v>
      </c>
      <c r="G61" s="8">
        <v>8.0690000000000008</v>
      </c>
      <c r="H61" s="8">
        <v>26.670999999999999</v>
      </c>
      <c r="I61" s="8">
        <v>139.43199999999999</v>
      </c>
      <c r="J61" s="8">
        <v>38.183</v>
      </c>
      <c r="K61" s="8">
        <v>12.454000000000001</v>
      </c>
      <c r="L61" s="8">
        <v>55.948999999999998</v>
      </c>
      <c r="M61" s="8">
        <v>59.683999999999997</v>
      </c>
      <c r="N61" s="8">
        <v>2.621</v>
      </c>
      <c r="O61" s="8">
        <v>24.881</v>
      </c>
      <c r="P61" s="8">
        <v>17.762</v>
      </c>
      <c r="Q61" s="8">
        <v>3.7570000000000001</v>
      </c>
      <c r="R61" s="8">
        <v>19.033999999999999</v>
      </c>
      <c r="S61" s="8">
        <v>0.20399999999999999</v>
      </c>
      <c r="T61" s="8">
        <v>8.109</v>
      </c>
      <c r="U61" s="8">
        <v>3.7240000000000002</v>
      </c>
      <c r="V61" s="8">
        <v>1.1879999999999999</v>
      </c>
      <c r="W61" s="8">
        <v>18.646000000000001</v>
      </c>
      <c r="X61" s="8">
        <v>16.111999999999998</v>
      </c>
      <c r="Y61" s="8">
        <v>110.892</v>
      </c>
      <c r="Z61" s="8">
        <v>15.807</v>
      </c>
      <c r="AA61" s="8">
        <v>25.594000000000001</v>
      </c>
      <c r="AB61" s="8">
        <v>52.557000000000002</v>
      </c>
      <c r="AC61" s="8">
        <v>2.1789999999999998</v>
      </c>
      <c r="AD61" s="8">
        <v>12.86</v>
      </c>
      <c r="AE61" s="8">
        <v>64.117999999999995</v>
      </c>
      <c r="AG61" t="str">
        <f t="shared" si="37"/>
        <v>ELCWOO</v>
      </c>
      <c r="AH61" s="8">
        <f t="shared" si="36"/>
        <v>2013</v>
      </c>
      <c r="AI61" s="11" t="str">
        <f t="shared" si="8"/>
        <v/>
      </c>
      <c r="AJ61" s="11">
        <f t="shared" si="9"/>
        <v>0.55404617482484597</v>
      </c>
      <c r="AK61" s="11">
        <f t="shared" si="10"/>
        <v>0.30464716006884685</v>
      </c>
      <c r="AL61" s="11">
        <f t="shared" si="11"/>
        <v>8.0928386013131761E-3</v>
      </c>
      <c r="AM61" s="11">
        <f t="shared" si="12"/>
        <v>4.159529426973918E-2</v>
      </c>
      <c r="AN61" s="11">
        <f t="shared" si="13"/>
        <v>0.18471987643895285</v>
      </c>
      <c r="AO61" s="11">
        <f t="shared" si="14"/>
        <v>0.54327245620573994</v>
      </c>
      <c r="AP61" s="11">
        <f t="shared" si="15"/>
        <v>0.26912127538432334</v>
      </c>
      <c r="AQ61" s="11">
        <f t="shared" si="16"/>
        <v>0.45949656363205477</v>
      </c>
      <c r="AR61" s="11">
        <f t="shared" si="17"/>
        <v>0.20228574480300138</v>
      </c>
      <c r="AS61" s="11">
        <f t="shared" si="18"/>
        <v>0</v>
      </c>
      <c r="AT61" s="11">
        <f t="shared" si="19"/>
        <v>6.6452304394426592E-2</v>
      </c>
      <c r="AU61" s="11">
        <f t="shared" si="20"/>
        <v>0</v>
      </c>
      <c r="AV61" s="11">
        <f t="shared" si="21"/>
        <v>0.75462248164187529</v>
      </c>
      <c r="AW61" s="11">
        <f t="shared" si="22"/>
        <v>0.49528860802347235</v>
      </c>
      <c r="AX61" s="11">
        <f t="shared" si="23"/>
        <v>0.5</v>
      </c>
      <c r="AY61" s="11">
        <f t="shared" si="24"/>
        <v>0.56241194702733166</v>
      </c>
      <c r="AZ61" s="11">
        <f t="shared" si="25"/>
        <v>6.4944471269917911E-2</v>
      </c>
      <c r="BA61" s="11">
        <f t="shared" si="26"/>
        <v>0</v>
      </c>
      <c r="BB61" s="11">
        <f t="shared" si="27"/>
        <v>3.6379302091809874E-3</v>
      </c>
      <c r="BC61" s="11">
        <f t="shared" si="28"/>
        <v>0.52558139534883719</v>
      </c>
      <c r="BD61" s="11">
        <f t="shared" si="29"/>
        <v>1.5445617594172161E-2</v>
      </c>
      <c r="BE61" s="11">
        <f t="shared" si="30"/>
        <v>7.1363029696363031E-2</v>
      </c>
      <c r="BF61" s="11">
        <f t="shared" si="31"/>
        <v>2.5747156405827331E-3</v>
      </c>
      <c r="BG61" s="11">
        <f t="shared" si="32"/>
        <v>0.77988818541967486</v>
      </c>
      <c r="BH61" s="11">
        <f t="shared" si="33"/>
        <v>0.16038525963149081</v>
      </c>
      <c r="BI61" s="11">
        <f t="shared" si="34"/>
        <v>0.19667170953101365</v>
      </c>
      <c r="BJ61" s="11">
        <f t="shared" si="35"/>
        <v>1.3652475363222063E-2</v>
      </c>
    </row>
    <row r="62" spans="1:62" x14ac:dyDescent="0.25">
      <c r="A62" t="str">
        <f t="shared" si="38"/>
        <v/>
      </c>
      <c r="C62">
        <v>2014</v>
      </c>
      <c r="D62" s="8">
        <v>0</v>
      </c>
      <c r="E62" s="8">
        <v>36.078000000000003</v>
      </c>
      <c r="F62" s="8">
        <v>0.495</v>
      </c>
      <c r="G62" s="8">
        <v>8.8699999999999992</v>
      </c>
      <c r="H62" s="8">
        <v>23.986000000000001</v>
      </c>
      <c r="I62" s="8">
        <v>119.919</v>
      </c>
      <c r="J62" s="8">
        <v>39.084000000000003</v>
      </c>
      <c r="K62" s="8">
        <v>10.404</v>
      </c>
      <c r="L62" s="8">
        <v>59.744999999999997</v>
      </c>
      <c r="M62" s="8">
        <v>50.796999999999997</v>
      </c>
      <c r="N62" s="8">
        <v>2.113</v>
      </c>
      <c r="O62" s="8">
        <v>22.245000000000001</v>
      </c>
      <c r="P62" s="8">
        <v>23.71</v>
      </c>
      <c r="Q62" s="8">
        <v>3.508</v>
      </c>
      <c r="R62" s="8">
        <v>21.795999999999999</v>
      </c>
      <c r="S62" s="8">
        <v>0.17599999999999999</v>
      </c>
      <c r="T62" s="8">
        <v>7.0640000000000001</v>
      </c>
      <c r="U62" s="8">
        <v>3.5049999999999999</v>
      </c>
      <c r="V62" s="8">
        <v>1.5780000000000001</v>
      </c>
      <c r="W62" s="8">
        <v>20.802</v>
      </c>
      <c r="X62" s="8">
        <v>16.937999999999999</v>
      </c>
      <c r="Y62" s="8">
        <v>100.6</v>
      </c>
      <c r="Z62" s="8">
        <v>13.619</v>
      </c>
      <c r="AA62" s="8">
        <v>22.545000000000002</v>
      </c>
      <c r="AB62" s="8">
        <v>51.462000000000003</v>
      </c>
      <c r="AC62" s="8">
        <v>1.8120000000000001</v>
      </c>
      <c r="AD62" s="8">
        <v>10.862</v>
      </c>
      <c r="AE62" s="8">
        <v>68.024000000000001</v>
      </c>
      <c r="AG62" t="str">
        <f t="shared" si="37"/>
        <v>ELCCOH</v>
      </c>
      <c r="AH62" s="8">
        <f t="shared" si="36"/>
        <v>2014</v>
      </c>
      <c r="AI62" s="11">
        <f t="shared" si="8"/>
        <v>0</v>
      </c>
      <c r="AJ62" s="11">
        <f t="shared" si="9"/>
        <v>0</v>
      </c>
      <c r="AK62" s="11">
        <f t="shared" si="10"/>
        <v>0</v>
      </c>
      <c r="AL62" s="11">
        <f t="shared" si="11"/>
        <v>3.5588086824835934E-2</v>
      </c>
      <c r="AM62" s="11">
        <f t="shared" si="12"/>
        <v>8.7592649783817172E-2</v>
      </c>
      <c r="AN62" s="11">
        <f t="shared" si="13"/>
        <v>9.6491875468959501E-2</v>
      </c>
      <c r="AO62" s="11">
        <f t="shared" si="14"/>
        <v>1.9158080049707451E-3</v>
      </c>
      <c r="AP62" s="11">
        <f t="shared" si="15"/>
        <v>4.2977570374830645E-2</v>
      </c>
      <c r="AQ62" s="11">
        <f t="shared" si="16"/>
        <v>0.16220003221130616</v>
      </c>
      <c r="AR62" s="11">
        <f t="shared" si="17"/>
        <v>0.14588777863182167</v>
      </c>
      <c r="AS62" s="11">
        <f t="shared" si="18"/>
        <v>0</v>
      </c>
      <c r="AT62" s="11">
        <f t="shared" si="19"/>
        <v>4.2907515187561073E-3</v>
      </c>
      <c r="AU62" s="11">
        <f t="shared" si="20"/>
        <v>0</v>
      </c>
      <c r="AV62" s="11">
        <f t="shared" si="21"/>
        <v>0</v>
      </c>
      <c r="AW62" s="11">
        <f t="shared" si="22"/>
        <v>1.0453497309761721E-2</v>
      </c>
      <c r="AX62" s="11">
        <f t="shared" si="23"/>
        <v>0</v>
      </c>
      <c r="AY62" s="11">
        <f t="shared" si="24"/>
        <v>7.8226857887874826E-3</v>
      </c>
      <c r="AZ62" s="11">
        <f t="shared" si="25"/>
        <v>1.9412240496090589E-2</v>
      </c>
      <c r="BA62" s="11">
        <f t="shared" si="26"/>
        <v>0</v>
      </c>
      <c r="BB62" s="11">
        <f t="shared" si="27"/>
        <v>0</v>
      </c>
      <c r="BC62" s="11">
        <f t="shared" si="28"/>
        <v>0</v>
      </c>
      <c r="BD62" s="11">
        <f t="shared" si="29"/>
        <v>0.89700886919838374</v>
      </c>
      <c r="BE62" s="11">
        <f t="shared" si="30"/>
        <v>1.2736742424242425E-2</v>
      </c>
      <c r="BF62" s="11">
        <f t="shared" si="31"/>
        <v>0.15802901641217015</v>
      </c>
      <c r="BG62" s="11">
        <f t="shared" si="32"/>
        <v>3.0892562312267509E-2</v>
      </c>
      <c r="BH62" s="11">
        <f t="shared" si="33"/>
        <v>3.6764705882352942E-2</v>
      </c>
      <c r="BI62" s="11">
        <f t="shared" si="34"/>
        <v>5.5203766845267092E-3</v>
      </c>
      <c r="BJ62" s="11">
        <f t="shared" si="35"/>
        <v>0.12462800802456811</v>
      </c>
    </row>
    <row r="63" spans="1:62" x14ac:dyDescent="0.25">
      <c r="A63" t="str">
        <f t="shared" si="38"/>
        <v/>
      </c>
      <c r="C63" t="s">
        <v>192</v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G63" t="str">
        <f t="shared" si="37"/>
        <v>ELCGAS</v>
      </c>
      <c r="AH63" s="8">
        <f t="shared" si="36"/>
        <v>2014</v>
      </c>
      <c r="AI63" s="11">
        <f t="shared" si="8"/>
        <v>0</v>
      </c>
      <c r="AJ63" s="11">
        <f t="shared" si="9"/>
        <v>0.32825399820729351</v>
      </c>
      <c r="AK63" s="11">
        <f t="shared" si="10"/>
        <v>0.24409448818897636</v>
      </c>
      <c r="AL63" s="11">
        <f t="shared" si="11"/>
        <v>0.90118626956082781</v>
      </c>
      <c r="AM63" s="11">
        <f t="shared" si="12"/>
        <v>0.84596973440395307</v>
      </c>
      <c r="AN63" s="11">
        <f t="shared" si="13"/>
        <v>0.53211065598976592</v>
      </c>
      <c r="AO63" s="11">
        <f t="shared" si="14"/>
        <v>0.3758867084347331</v>
      </c>
      <c r="AP63" s="11">
        <f t="shared" si="15"/>
        <v>0.67175974710221298</v>
      </c>
      <c r="AQ63" s="11">
        <f t="shared" si="16"/>
        <v>0.24952488323401514</v>
      </c>
      <c r="AR63" s="11">
        <f t="shared" si="17"/>
        <v>0.35440430438124521</v>
      </c>
      <c r="AS63" s="11">
        <f t="shared" si="18"/>
        <v>0.90902421129860611</v>
      </c>
      <c r="AT63" s="11">
        <f t="shared" si="19"/>
        <v>0.86469263775011673</v>
      </c>
      <c r="AU63" s="11">
        <f t="shared" si="20"/>
        <v>0</v>
      </c>
      <c r="AV63" s="11">
        <f t="shared" si="21"/>
        <v>0</v>
      </c>
      <c r="AW63" s="11">
        <f t="shared" si="22"/>
        <v>0.30719959005892905</v>
      </c>
      <c r="AX63" s="11">
        <f t="shared" si="23"/>
        <v>0.39408866995073888</v>
      </c>
      <c r="AY63" s="11">
        <f t="shared" si="24"/>
        <v>0.35734463276836159</v>
      </c>
      <c r="AZ63" s="11">
        <f t="shared" si="25"/>
        <v>0.88460501482879483</v>
      </c>
      <c r="BA63" s="11">
        <f t="shared" si="26"/>
        <v>1</v>
      </c>
      <c r="BB63" s="11">
        <f t="shared" si="27"/>
        <v>0.3269374532768502</v>
      </c>
      <c r="BC63" s="11">
        <f t="shared" si="28"/>
        <v>3.2851690294438386E-2</v>
      </c>
      <c r="BD63" s="11">
        <f t="shared" si="29"/>
        <v>8.0170098857254193E-2</v>
      </c>
      <c r="BE63" s="11">
        <f t="shared" si="30"/>
        <v>0.76387310606060599</v>
      </c>
      <c r="BF63" s="11">
        <f t="shared" si="31"/>
        <v>0.67701153802216218</v>
      </c>
      <c r="BG63" s="11">
        <f t="shared" si="32"/>
        <v>1.4521294583358197E-2</v>
      </c>
      <c r="BH63" s="11">
        <f t="shared" si="33"/>
        <v>0.67058823529411771</v>
      </c>
      <c r="BI63" s="11">
        <f t="shared" si="34"/>
        <v>0.78843968176652057</v>
      </c>
      <c r="BJ63" s="11">
        <f t="shared" si="35"/>
        <v>0.8208068303906747</v>
      </c>
    </row>
    <row r="64" spans="1:62" x14ac:dyDescent="0.25">
      <c r="A64" t="str">
        <f t="shared" si="38"/>
        <v/>
      </c>
      <c r="C64" t="s">
        <v>170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G64" t="str">
        <f t="shared" si="37"/>
        <v>ELCGEO</v>
      </c>
      <c r="AH64" s="8">
        <f t="shared" si="36"/>
        <v>2014</v>
      </c>
      <c r="AI64" s="11">
        <f t="shared" si="8"/>
        <v>0</v>
      </c>
      <c r="AJ64" s="11">
        <f t="shared" si="9"/>
        <v>2.559324432702741E-2</v>
      </c>
      <c r="AK64" s="11">
        <f t="shared" si="10"/>
        <v>0.1889763779527559</v>
      </c>
      <c r="AL64" s="11">
        <f t="shared" si="11"/>
        <v>0</v>
      </c>
      <c r="AM64" s="11">
        <f t="shared" si="12"/>
        <v>0</v>
      </c>
      <c r="AN64" s="11">
        <f t="shared" si="13"/>
        <v>3.7455256651536956E-3</v>
      </c>
      <c r="AO64" s="11">
        <f t="shared" si="14"/>
        <v>4.2976233625019421E-3</v>
      </c>
      <c r="AP64" s="11">
        <f t="shared" si="15"/>
        <v>0</v>
      </c>
      <c r="AQ64" s="11">
        <f t="shared" si="16"/>
        <v>0</v>
      </c>
      <c r="AR64" s="11">
        <f t="shared" si="17"/>
        <v>0.12115295926210608</v>
      </c>
      <c r="AS64" s="11">
        <f t="shared" si="18"/>
        <v>0</v>
      </c>
      <c r="AT64" s="11">
        <f t="shared" si="19"/>
        <v>5.7351629211096482E-2</v>
      </c>
      <c r="AU64" s="11">
        <f t="shared" si="20"/>
        <v>0.97679187552893687</v>
      </c>
      <c r="AV64" s="11">
        <f t="shared" si="21"/>
        <v>0.30506783719074221</v>
      </c>
      <c r="AW64" s="11">
        <f t="shared" si="22"/>
        <v>3.9969254419677169E-3</v>
      </c>
      <c r="AX64" s="11">
        <f t="shared" si="23"/>
        <v>0</v>
      </c>
      <c r="AY64" s="11">
        <f t="shared" si="24"/>
        <v>0</v>
      </c>
      <c r="AZ64" s="11">
        <f t="shared" si="25"/>
        <v>0</v>
      </c>
      <c r="BA64" s="11">
        <f t="shared" si="26"/>
        <v>0</v>
      </c>
      <c r="BB64" s="11">
        <f t="shared" si="27"/>
        <v>0</v>
      </c>
      <c r="BC64" s="11">
        <f t="shared" si="28"/>
        <v>0</v>
      </c>
      <c r="BD64" s="11">
        <f t="shared" si="29"/>
        <v>0</v>
      </c>
      <c r="BE64" s="11">
        <f t="shared" si="30"/>
        <v>1.5956439393939394E-2</v>
      </c>
      <c r="BF64" s="11">
        <f t="shared" si="31"/>
        <v>0</v>
      </c>
      <c r="BG64" s="11">
        <f t="shared" si="32"/>
        <v>0</v>
      </c>
      <c r="BH64" s="11">
        <f t="shared" si="33"/>
        <v>3.0392156862745098E-2</v>
      </c>
      <c r="BI64" s="11">
        <f t="shared" si="34"/>
        <v>1.948368241597662E-2</v>
      </c>
      <c r="BJ64" s="11">
        <f t="shared" si="35"/>
        <v>0</v>
      </c>
    </row>
    <row r="65" spans="1:62" x14ac:dyDescent="0.25">
      <c r="A65" t="str">
        <f t="shared" si="38"/>
        <v/>
      </c>
      <c r="B65" t="str">
        <f t="shared" si="6"/>
        <v>Bio jet kerosene</v>
      </c>
      <c r="C65" t="s">
        <v>183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G65" t="str">
        <f t="shared" si="37"/>
        <v>ELCHFO</v>
      </c>
      <c r="AH65" s="8">
        <f t="shared" si="36"/>
        <v>2014</v>
      </c>
      <c r="AI65" s="11">
        <f t="shared" si="8"/>
        <v>1</v>
      </c>
      <c r="AJ65" s="11">
        <f t="shared" si="9"/>
        <v>3.4132188517243006E-2</v>
      </c>
      <c r="AK65" s="11">
        <f t="shared" si="10"/>
        <v>0</v>
      </c>
      <c r="AL65" s="11">
        <f t="shared" si="11"/>
        <v>3.34427057041898E-2</v>
      </c>
      <c r="AM65" s="11">
        <f t="shared" si="12"/>
        <v>6.1766522544780727E-3</v>
      </c>
      <c r="AN65" s="11">
        <f t="shared" si="13"/>
        <v>2.8955558015670936E-2</v>
      </c>
      <c r="AO65" s="11">
        <f t="shared" si="14"/>
        <v>3.9507067778180506E-2</v>
      </c>
      <c r="AP65" s="11">
        <f t="shared" si="15"/>
        <v>3.9138943248532294E-2</v>
      </c>
      <c r="AQ65" s="11">
        <f t="shared" si="16"/>
        <v>8.5730391367369943E-2</v>
      </c>
      <c r="AR65" s="11">
        <f t="shared" si="17"/>
        <v>4.0184473481936975E-2</v>
      </c>
      <c r="AS65" s="11">
        <f t="shared" si="18"/>
        <v>9.0975788701393986E-2</v>
      </c>
      <c r="AT65" s="11">
        <f t="shared" si="19"/>
        <v>7.2220570117677045E-3</v>
      </c>
      <c r="AU65" s="11">
        <f t="shared" si="20"/>
        <v>0</v>
      </c>
      <c r="AV65" s="11">
        <f t="shared" si="21"/>
        <v>0</v>
      </c>
      <c r="AW65" s="11">
        <f t="shared" si="22"/>
        <v>2.7466051755060211E-2</v>
      </c>
      <c r="AX65" s="11">
        <f t="shared" si="23"/>
        <v>0</v>
      </c>
      <c r="AY65" s="11">
        <f t="shared" si="24"/>
        <v>0</v>
      </c>
      <c r="AZ65" s="11">
        <f t="shared" si="25"/>
        <v>0</v>
      </c>
      <c r="BA65" s="11">
        <f t="shared" si="26"/>
        <v>0</v>
      </c>
      <c r="BB65" s="11">
        <f t="shared" si="27"/>
        <v>0.65803994161831192</v>
      </c>
      <c r="BC65" s="11">
        <f t="shared" si="28"/>
        <v>3.3124318429661938E-2</v>
      </c>
      <c r="BD65" s="11">
        <f t="shared" si="29"/>
        <v>6.3787071470321642E-3</v>
      </c>
      <c r="BE65" s="11">
        <f t="shared" si="30"/>
        <v>0.1249526515151515</v>
      </c>
      <c r="BF65" s="11">
        <f t="shared" si="31"/>
        <v>0.1615323102699821</v>
      </c>
      <c r="BG65" s="11">
        <f t="shared" si="32"/>
        <v>2.8326470529728868E-2</v>
      </c>
      <c r="BH65" s="11">
        <f t="shared" si="33"/>
        <v>0.12156862745098039</v>
      </c>
      <c r="BI65" s="11">
        <f t="shared" si="34"/>
        <v>0</v>
      </c>
      <c r="BJ65" s="11">
        <f t="shared" si="35"/>
        <v>2.6621789935061844E-2</v>
      </c>
    </row>
    <row r="66" spans="1:62" x14ac:dyDescent="0.25">
      <c r="A66" t="str">
        <f t="shared" si="38"/>
        <v/>
      </c>
      <c r="B66" t="str">
        <f t="shared" si="6"/>
        <v>Bio jet kerosene</v>
      </c>
      <c r="C66">
        <v>2010</v>
      </c>
      <c r="D66" s="8">
        <v>0</v>
      </c>
      <c r="E66" s="8">
        <v>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G66" t="str">
        <f t="shared" si="37"/>
        <v>ELCMUN</v>
      </c>
      <c r="AH66" s="8">
        <f t="shared" si="36"/>
        <v>2014</v>
      </c>
      <c r="AI66" s="11">
        <f t="shared" si="8"/>
        <v>0</v>
      </c>
      <c r="AJ66" s="11">
        <f t="shared" si="9"/>
        <v>3.8543190074067084E-2</v>
      </c>
      <c r="AK66" s="11">
        <f t="shared" si="10"/>
        <v>0.29606299212598425</v>
      </c>
      <c r="AL66" s="11">
        <f t="shared" si="11"/>
        <v>0</v>
      </c>
      <c r="AM66" s="11">
        <f t="shared" si="12"/>
        <v>1.3588634959851759E-2</v>
      </c>
      <c r="AN66" s="11">
        <f t="shared" si="13"/>
        <v>0.12341168800816758</v>
      </c>
      <c r="AO66" s="11">
        <f t="shared" si="14"/>
        <v>3.5002330036762806E-2</v>
      </c>
      <c r="AP66" s="11">
        <f t="shared" si="15"/>
        <v>0</v>
      </c>
      <c r="AQ66" s="11">
        <f t="shared" si="16"/>
        <v>1.0098244483813818E-2</v>
      </c>
      <c r="AR66" s="11">
        <f t="shared" si="17"/>
        <v>7.1806302843966191E-2</v>
      </c>
      <c r="AS66" s="11">
        <f t="shared" si="18"/>
        <v>0</v>
      </c>
      <c r="AT66" s="11">
        <f t="shared" si="19"/>
        <v>0</v>
      </c>
      <c r="AU66" s="11">
        <f t="shared" si="20"/>
        <v>0</v>
      </c>
      <c r="AV66" s="11">
        <f t="shared" si="21"/>
        <v>0</v>
      </c>
      <c r="AW66" s="11">
        <f t="shared" si="22"/>
        <v>0</v>
      </c>
      <c r="AX66" s="11">
        <f t="shared" si="23"/>
        <v>0</v>
      </c>
      <c r="AY66" s="11">
        <f t="shared" si="24"/>
        <v>0</v>
      </c>
      <c r="AZ66" s="11">
        <f t="shared" si="25"/>
        <v>0</v>
      </c>
      <c r="BA66" s="11">
        <f t="shared" si="26"/>
        <v>0</v>
      </c>
      <c r="BB66" s="11">
        <f t="shared" si="27"/>
        <v>0</v>
      </c>
      <c r="BC66" s="11">
        <f t="shared" si="28"/>
        <v>0.17332333696837515</v>
      </c>
      <c r="BD66" s="11">
        <f t="shared" si="29"/>
        <v>1.6857406670111564E-3</v>
      </c>
      <c r="BE66" s="11">
        <f t="shared" si="30"/>
        <v>1.1837121212121212E-3</v>
      </c>
      <c r="BF66" s="11">
        <f t="shared" si="31"/>
        <v>0</v>
      </c>
      <c r="BG66" s="11">
        <f t="shared" si="32"/>
        <v>2.7053370730639934E-2</v>
      </c>
      <c r="BH66" s="11">
        <f t="shared" si="33"/>
        <v>0</v>
      </c>
      <c r="BI66" s="11">
        <f t="shared" si="34"/>
        <v>3.2472804026627703E-3</v>
      </c>
      <c r="BJ66" s="11">
        <f t="shared" si="35"/>
        <v>1.2883044772146E-2</v>
      </c>
    </row>
    <row r="67" spans="1:62" x14ac:dyDescent="0.25">
      <c r="A67" t="str">
        <f t="shared" si="38"/>
        <v/>
      </c>
      <c r="B67" t="str">
        <f t="shared" si="6"/>
        <v>Bio jet kerosene</v>
      </c>
      <c r="C67">
        <v>2011</v>
      </c>
      <c r="D67" s="8">
        <v>0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G67" t="str">
        <f t="shared" si="37"/>
        <v>ELCSOL</v>
      </c>
      <c r="AH67" s="8">
        <f t="shared" si="36"/>
        <v>2014</v>
      </c>
      <c r="AI67" s="11">
        <f t="shared" si="8"/>
        <v>0</v>
      </c>
      <c r="AJ67" s="11">
        <f t="shared" si="9"/>
        <v>1.604000566117847E-3</v>
      </c>
      <c r="AK67" s="11">
        <f t="shared" si="10"/>
        <v>0</v>
      </c>
      <c r="AL67" s="11">
        <f t="shared" si="11"/>
        <v>0</v>
      </c>
      <c r="AM67" s="11">
        <f t="shared" si="12"/>
        <v>0</v>
      </c>
      <c r="AN67" s="11">
        <f t="shared" si="13"/>
        <v>6.7653172933810593E-5</v>
      </c>
      <c r="AO67" s="11">
        <f t="shared" si="14"/>
        <v>1.713871485527883E-2</v>
      </c>
      <c r="AP67" s="11">
        <f t="shared" si="15"/>
        <v>0</v>
      </c>
      <c r="AQ67" s="11">
        <f t="shared" si="16"/>
        <v>0</v>
      </c>
      <c r="AR67" s="11">
        <f t="shared" si="17"/>
        <v>0</v>
      </c>
      <c r="AS67" s="11">
        <f t="shared" si="18"/>
        <v>0</v>
      </c>
      <c r="AT67" s="11">
        <f t="shared" si="19"/>
        <v>0</v>
      </c>
      <c r="AU67" s="11">
        <f t="shared" si="20"/>
        <v>0</v>
      </c>
      <c r="AV67" s="11">
        <f t="shared" si="21"/>
        <v>3.9904229848363929E-4</v>
      </c>
      <c r="AW67" s="11">
        <f t="shared" si="22"/>
        <v>0</v>
      </c>
      <c r="AX67" s="11">
        <f t="shared" si="23"/>
        <v>0</v>
      </c>
      <c r="AY67" s="11">
        <f t="shared" si="24"/>
        <v>0</v>
      </c>
      <c r="AZ67" s="11">
        <f t="shared" si="25"/>
        <v>0</v>
      </c>
      <c r="BA67" s="11">
        <f t="shared" si="26"/>
        <v>0</v>
      </c>
      <c r="BB67" s="11">
        <f t="shared" si="27"/>
        <v>0</v>
      </c>
      <c r="BC67" s="11">
        <f t="shared" si="28"/>
        <v>0</v>
      </c>
      <c r="BD67" s="11">
        <f t="shared" si="29"/>
        <v>0</v>
      </c>
      <c r="BE67" s="11">
        <f t="shared" si="30"/>
        <v>0</v>
      </c>
      <c r="BF67" s="11">
        <f t="shared" si="31"/>
        <v>0</v>
      </c>
      <c r="BG67" s="11">
        <f t="shared" si="32"/>
        <v>0</v>
      </c>
      <c r="BH67" s="11">
        <f t="shared" si="33"/>
        <v>0</v>
      </c>
      <c r="BI67" s="11">
        <f t="shared" si="34"/>
        <v>8.1182010066569251E-5</v>
      </c>
      <c r="BJ67" s="11">
        <f t="shared" si="35"/>
        <v>0</v>
      </c>
    </row>
    <row r="68" spans="1:62" x14ac:dyDescent="0.25">
      <c r="A68" t="str">
        <f t="shared" si="38"/>
        <v/>
      </c>
      <c r="B68" t="str">
        <f t="shared" si="6"/>
        <v>Bio jet kerosene</v>
      </c>
      <c r="C68">
        <v>2012</v>
      </c>
      <c r="D68" s="8">
        <v>0</v>
      </c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G68" t="str">
        <f t="shared" si="37"/>
        <v>ELCWOO</v>
      </c>
      <c r="AH68" s="8">
        <f t="shared" si="36"/>
        <v>2014</v>
      </c>
      <c r="AI68" s="11">
        <f t="shared" si="8"/>
        <v>0</v>
      </c>
      <c r="AJ68" s="11">
        <f t="shared" si="9"/>
        <v>0.57186866065952735</v>
      </c>
      <c r="AK68" s="11">
        <f t="shared" si="10"/>
        <v>0.27086614173228346</v>
      </c>
      <c r="AL68" s="11">
        <f t="shared" si="11"/>
        <v>2.9909136799596159E-2</v>
      </c>
      <c r="AM68" s="11">
        <f t="shared" si="12"/>
        <v>4.4433292155651637E-2</v>
      </c>
      <c r="AN68" s="11">
        <f t="shared" si="13"/>
        <v>0.2152115084197449</v>
      </c>
      <c r="AO68" s="11">
        <f t="shared" si="14"/>
        <v>0.51449800652410305</v>
      </c>
      <c r="AP68" s="11">
        <f t="shared" si="15"/>
        <v>0.24612373927442421</v>
      </c>
      <c r="AQ68" s="11">
        <f t="shared" si="16"/>
        <v>0.47836044451602511</v>
      </c>
      <c r="AR68" s="11">
        <f t="shared" si="17"/>
        <v>0.26551883166794771</v>
      </c>
      <c r="AS68" s="11">
        <f t="shared" si="18"/>
        <v>0</v>
      </c>
      <c r="AT68" s="11">
        <f t="shared" si="19"/>
        <v>6.5848166871999653E-2</v>
      </c>
      <c r="AU68" s="11">
        <f t="shared" si="20"/>
        <v>0</v>
      </c>
      <c r="AV68" s="11">
        <f t="shared" si="21"/>
        <v>0.69447326416600164</v>
      </c>
      <c r="AW68" s="11">
        <f t="shared" si="22"/>
        <v>0.65032026646169616</v>
      </c>
      <c r="AX68" s="11">
        <f t="shared" si="23"/>
        <v>0.60591133004926101</v>
      </c>
      <c r="AY68" s="11">
        <f t="shared" si="24"/>
        <v>0.63407214254671884</v>
      </c>
      <c r="AZ68" s="11">
        <f t="shared" si="25"/>
        <v>9.5713130223779988E-2</v>
      </c>
      <c r="BA68" s="11">
        <f t="shared" si="26"/>
        <v>0</v>
      </c>
      <c r="BB68" s="11">
        <f t="shared" si="27"/>
        <v>1.5022605104837848E-2</v>
      </c>
      <c r="BC68" s="11">
        <f t="shared" si="28"/>
        <v>0.54799618320610688</v>
      </c>
      <c r="BD68" s="11">
        <f t="shared" si="29"/>
        <v>1.4756584130318766E-2</v>
      </c>
      <c r="BE68" s="11">
        <f t="shared" si="30"/>
        <v>8.134469696969697E-2</v>
      </c>
      <c r="BF68" s="11">
        <f t="shared" si="31"/>
        <v>3.4271352956856175E-3</v>
      </c>
      <c r="BG68" s="11">
        <f t="shared" si="32"/>
        <v>0.77002645660519986</v>
      </c>
      <c r="BH68" s="11">
        <f t="shared" si="33"/>
        <v>0.14068627450980392</v>
      </c>
      <c r="BI68" s="11">
        <f t="shared" si="34"/>
        <v>0.17860042214645236</v>
      </c>
      <c r="BJ68" s="11">
        <f t="shared" si="35"/>
        <v>1.5050819095429609E-2</v>
      </c>
    </row>
    <row r="69" spans="1:62" x14ac:dyDescent="0.25">
      <c r="A69" t="str">
        <f t="shared" si="38"/>
        <v/>
      </c>
      <c r="B69" t="str">
        <f t="shared" si="6"/>
        <v>Bio jet kerosene</v>
      </c>
      <c r="C69">
        <v>2013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G69" t="str">
        <f t="shared" si="37"/>
        <v>ELCCOH</v>
      </c>
      <c r="AH69" s="8">
        <f>AH62+16</f>
        <v>2030</v>
      </c>
      <c r="AI69" s="9"/>
    </row>
    <row r="70" spans="1:62" x14ac:dyDescent="0.25">
      <c r="A70" t="str">
        <f t="shared" si="38"/>
        <v/>
      </c>
      <c r="B70" t="str">
        <f t="shared" si="6"/>
        <v>Bio jet kerosene</v>
      </c>
      <c r="C70">
        <v>2014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G70" t="str">
        <f t="shared" si="37"/>
        <v>ELCGAS</v>
      </c>
      <c r="AH70" s="8">
        <f t="shared" ref="AH70:AH75" si="39">AH63+16</f>
        <v>2030</v>
      </c>
      <c r="AI70" s="9">
        <v>1</v>
      </c>
      <c r="AJ70" s="9">
        <v>1</v>
      </c>
      <c r="AK70" s="9">
        <v>1</v>
      </c>
      <c r="AL70" s="9">
        <v>1</v>
      </c>
      <c r="AM70" s="9">
        <v>1</v>
      </c>
      <c r="AN70" s="9">
        <v>1</v>
      </c>
      <c r="AO70" s="9">
        <v>1</v>
      </c>
      <c r="AP70" s="9">
        <v>1</v>
      </c>
      <c r="AQ70" s="9">
        <v>1</v>
      </c>
      <c r="AR70" s="9">
        <v>1</v>
      </c>
      <c r="AS70" s="9">
        <v>1</v>
      </c>
      <c r="AT70" s="9">
        <v>1</v>
      </c>
      <c r="AU70" s="9">
        <v>1</v>
      </c>
      <c r="AV70" s="9">
        <v>1</v>
      </c>
      <c r="AW70" s="9">
        <v>1</v>
      </c>
      <c r="AX70" s="9">
        <v>1</v>
      </c>
      <c r="AY70" s="9">
        <v>1</v>
      </c>
      <c r="AZ70" s="9">
        <v>1</v>
      </c>
      <c r="BA70" s="9">
        <v>1</v>
      </c>
      <c r="BB70" s="9">
        <v>1</v>
      </c>
      <c r="BC70" s="9">
        <v>1</v>
      </c>
      <c r="BD70" s="9">
        <v>1</v>
      </c>
      <c r="BE70" s="9">
        <v>1</v>
      </c>
      <c r="BF70" s="9">
        <v>1</v>
      </c>
      <c r="BG70" s="9">
        <v>1</v>
      </c>
      <c r="BH70" s="9">
        <v>1</v>
      </c>
      <c r="BI70" s="9">
        <v>1</v>
      </c>
      <c r="BJ70" s="9">
        <v>1</v>
      </c>
    </row>
    <row r="71" spans="1:62" x14ac:dyDescent="0.25">
      <c r="A71" t="str">
        <f t="shared" si="38"/>
        <v/>
      </c>
      <c r="B71" t="str">
        <f t="shared" si="6"/>
        <v>Biodiesels</v>
      </c>
      <c r="C71" t="s">
        <v>184</v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G71" t="str">
        <f t="shared" si="37"/>
        <v>ELCGEO</v>
      </c>
      <c r="AH71" s="8">
        <f t="shared" si="39"/>
        <v>2030</v>
      </c>
    </row>
    <row r="72" spans="1:62" x14ac:dyDescent="0.25">
      <c r="A72" t="str">
        <f t="shared" si="38"/>
        <v/>
      </c>
      <c r="B72" t="str">
        <f t="shared" si="6"/>
        <v>Biodiesels</v>
      </c>
      <c r="C72">
        <v>2010</v>
      </c>
      <c r="D72" s="8">
        <v>0</v>
      </c>
      <c r="E72" s="8">
        <v>0</v>
      </c>
      <c r="F72" s="8">
        <v>0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G72" t="str">
        <f t="shared" si="37"/>
        <v>ELCHFO</v>
      </c>
      <c r="AH72" s="8">
        <f t="shared" si="39"/>
        <v>2030</v>
      </c>
    </row>
    <row r="73" spans="1:62" x14ac:dyDescent="0.25">
      <c r="A73" t="str">
        <f t="shared" si="38"/>
        <v/>
      </c>
      <c r="B73" t="str">
        <f t="shared" si="6"/>
        <v>Biodiesels</v>
      </c>
      <c r="C73">
        <v>2011</v>
      </c>
      <c r="D73" s="8">
        <v>0</v>
      </c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G73" t="str">
        <f t="shared" si="37"/>
        <v>ELCMUN</v>
      </c>
      <c r="AH73" s="8">
        <f t="shared" si="39"/>
        <v>2030</v>
      </c>
    </row>
    <row r="74" spans="1:62" x14ac:dyDescent="0.25">
      <c r="A74" t="str">
        <f t="shared" si="38"/>
        <v/>
      </c>
      <c r="B74" t="str">
        <f t="shared" si="6"/>
        <v>Biodiesels</v>
      </c>
      <c r="C74">
        <v>2012</v>
      </c>
      <c r="D74" s="8">
        <v>0</v>
      </c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G74" t="str">
        <f t="shared" si="37"/>
        <v>ELCSOL</v>
      </c>
      <c r="AH74" s="8">
        <f t="shared" si="39"/>
        <v>2030</v>
      </c>
      <c r="AI74" s="9">
        <v>1</v>
      </c>
      <c r="AJ74" s="9">
        <v>1</v>
      </c>
      <c r="AK74" s="9">
        <v>1</v>
      </c>
      <c r="AL74" s="9">
        <v>1</v>
      </c>
      <c r="AM74" s="9">
        <v>1</v>
      </c>
      <c r="AN74" s="9">
        <v>1</v>
      </c>
      <c r="AO74" s="9">
        <v>1</v>
      </c>
      <c r="AP74" s="9">
        <v>1</v>
      </c>
      <c r="AQ74" s="9">
        <v>1</v>
      </c>
      <c r="AR74" s="9">
        <v>1</v>
      </c>
      <c r="AS74" s="9">
        <v>1</v>
      </c>
      <c r="AT74" s="9">
        <v>1</v>
      </c>
      <c r="AU74" s="9">
        <v>1</v>
      </c>
      <c r="AV74" s="9">
        <v>1</v>
      </c>
      <c r="AW74" s="9">
        <v>1</v>
      </c>
      <c r="AX74" s="9">
        <v>1</v>
      </c>
      <c r="AY74" s="9">
        <v>1</v>
      </c>
      <c r="AZ74" s="9">
        <v>1</v>
      </c>
      <c r="BA74" s="9">
        <v>1</v>
      </c>
      <c r="BB74" s="9">
        <v>1</v>
      </c>
      <c r="BC74" s="9">
        <v>1</v>
      </c>
      <c r="BD74" s="9">
        <v>1</v>
      </c>
      <c r="BE74" s="9">
        <v>1</v>
      </c>
      <c r="BF74" s="9">
        <v>1</v>
      </c>
      <c r="BG74" s="9">
        <v>1</v>
      </c>
      <c r="BH74" s="9">
        <v>1</v>
      </c>
      <c r="BI74" s="9">
        <v>1</v>
      </c>
      <c r="BJ74" s="9">
        <v>1</v>
      </c>
    </row>
    <row r="75" spans="1:62" x14ac:dyDescent="0.25">
      <c r="A75" t="str">
        <f t="shared" si="38"/>
        <v/>
      </c>
      <c r="B75" t="str">
        <f t="shared" si="6"/>
        <v>Biodiesels</v>
      </c>
      <c r="C75">
        <v>2013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G75" t="str">
        <f t="shared" si="37"/>
        <v>ELCWOO</v>
      </c>
      <c r="AH75" s="8">
        <f t="shared" si="39"/>
        <v>2030</v>
      </c>
      <c r="AI75" s="9">
        <v>1</v>
      </c>
      <c r="AJ75" s="9">
        <v>1</v>
      </c>
      <c r="AK75" s="9">
        <v>1</v>
      </c>
      <c r="AL75" s="9">
        <v>1</v>
      </c>
      <c r="AM75" s="9">
        <v>1</v>
      </c>
      <c r="AN75" s="9">
        <v>1</v>
      </c>
      <c r="AO75" s="9">
        <v>1</v>
      </c>
      <c r="AP75" s="9">
        <v>1</v>
      </c>
      <c r="AQ75" s="9">
        <v>1</v>
      </c>
      <c r="AR75" s="9">
        <v>1</v>
      </c>
      <c r="AS75" s="9">
        <v>1</v>
      </c>
      <c r="AT75" s="9">
        <v>1</v>
      </c>
      <c r="AU75" s="9">
        <v>1</v>
      </c>
      <c r="AV75" s="9">
        <v>1</v>
      </c>
      <c r="AW75" s="9">
        <v>1</v>
      </c>
      <c r="AX75" s="9">
        <v>1</v>
      </c>
      <c r="AY75" s="9">
        <v>1</v>
      </c>
      <c r="AZ75" s="9">
        <v>1</v>
      </c>
      <c r="BA75" s="9">
        <v>1</v>
      </c>
      <c r="BB75" s="9">
        <v>1</v>
      </c>
      <c r="BC75" s="9">
        <v>1</v>
      </c>
      <c r="BD75" s="9">
        <v>1</v>
      </c>
      <c r="BE75" s="9">
        <v>1</v>
      </c>
      <c r="BF75" s="9">
        <v>1</v>
      </c>
      <c r="BG75" s="9">
        <v>1</v>
      </c>
      <c r="BH75" s="9">
        <v>1</v>
      </c>
      <c r="BI75" s="9">
        <v>1</v>
      </c>
      <c r="BJ75" s="9">
        <v>1</v>
      </c>
    </row>
    <row r="76" spans="1:62" x14ac:dyDescent="0.25">
      <c r="A76" t="str">
        <f t="shared" si="38"/>
        <v/>
      </c>
      <c r="B76" t="str">
        <f t="shared" si="6"/>
        <v>Biodiesels</v>
      </c>
      <c r="C76">
        <v>2014</v>
      </c>
      <c r="D76" s="8">
        <v>0</v>
      </c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</row>
    <row r="77" spans="1:62" x14ac:dyDescent="0.25">
      <c r="A77" t="str">
        <f t="shared" si="38"/>
        <v/>
      </c>
      <c r="B77" t="str">
        <f t="shared" si="6"/>
        <v>Biogas</v>
      </c>
      <c r="C77" t="s">
        <v>185</v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62" x14ac:dyDescent="0.25">
      <c r="A78" t="str">
        <f t="shared" si="38"/>
        <v/>
      </c>
      <c r="B78" t="str">
        <f t="shared" si="6"/>
        <v>Biogas</v>
      </c>
      <c r="C78">
        <v>2010</v>
      </c>
      <c r="D78" s="8">
        <v>0</v>
      </c>
      <c r="E78" s="8">
        <v>0.08</v>
      </c>
      <c r="F78" s="8">
        <v>0</v>
      </c>
      <c r="G78" s="8">
        <v>0</v>
      </c>
      <c r="H78" s="8">
        <v>0</v>
      </c>
      <c r="I78" s="8">
        <v>0.89200000000000002</v>
      </c>
      <c r="J78" s="8">
        <v>0.185</v>
      </c>
      <c r="K78" s="8">
        <v>4.0000000000000001E-3</v>
      </c>
      <c r="L78" s="8">
        <v>0.378</v>
      </c>
      <c r="M78" s="8">
        <v>0.14799999999999999</v>
      </c>
      <c r="N78" s="8">
        <v>0</v>
      </c>
      <c r="O78" s="8">
        <v>1.2999999999999999E-2</v>
      </c>
      <c r="P78" s="8">
        <v>0</v>
      </c>
      <c r="Q78" s="8">
        <v>1.4999999999999999E-2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7.6999999999999999E-2</v>
      </c>
      <c r="Y78" s="8">
        <v>1.4999999999999999E-2</v>
      </c>
      <c r="Z78" s="8">
        <v>0.02</v>
      </c>
      <c r="AA78" s="8">
        <v>0</v>
      </c>
      <c r="AB78" s="8">
        <v>0.46800000000000003</v>
      </c>
      <c r="AC78" s="8">
        <v>0</v>
      </c>
      <c r="AD78" s="8">
        <v>0.03</v>
      </c>
      <c r="AE78" s="8">
        <v>0</v>
      </c>
    </row>
    <row r="79" spans="1:62" x14ac:dyDescent="0.25">
      <c r="A79" t="str">
        <f t="shared" si="38"/>
        <v/>
      </c>
      <c r="B79" t="str">
        <f t="shared" si="6"/>
        <v>Biogas</v>
      </c>
      <c r="C79">
        <v>2011</v>
      </c>
      <c r="D79" s="8">
        <v>0</v>
      </c>
      <c r="E79" s="8">
        <v>7.3999999999999996E-2</v>
      </c>
      <c r="F79" s="8">
        <v>0</v>
      </c>
      <c r="G79" s="8">
        <v>0</v>
      </c>
      <c r="H79" s="8">
        <v>0</v>
      </c>
      <c r="I79" s="8">
        <v>2.0369999999999999</v>
      </c>
      <c r="J79" s="8">
        <v>0.186</v>
      </c>
      <c r="K79" s="8">
        <v>0</v>
      </c>
      <c r="L79" s="8">
        <v>0.34699999999999998</v>
      </c>
      <c r="M79" s="8">
        <v>0.13800000000000001</v>
      </c>
      <c r="N79" s="8">
        <v>0</v>
      </c>
      <c r="O79" s="8">
        <v>1.4E-2</v>
      </c>
      <c r="P79" s="8">
        <v>0</v>
      </c>
      <c r="Q79" s="8">
        <v>1.2999999999999999E-2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8.2000000000000003E-2</v>
      </c>
      <c r="Y79" s="8">
        <v>1.6E-2</v>
      </c>
      <c r="Z79" s="8">
        <v>5.1999999999999998E-2</v>
      </c>
      <c r="AA79" s="8">
        <v>0</v>
      </c>
      <c r="AB79" s="8">
        <v>0.42699999999999999</v>
      </c>
      <c r="AC79" s="8">
        <v>0</v>
      </c>
      <c r="AD79" s="8">
        <v>4.8000000000000001E-2</v>
      </c>
      <c r="AE79" s="8">
        <v>0</v>
      </c>
    </row>
    <row r="80" spans="1:62" x14ac:dyDescent="0.25">
      <c r="A80" t="str">
        <f t="shared" si="38"/>
        <v/>
      </c>
      <c r="B80" t="str">
        <f t="shared" si="6"/>
        <v>Biogas</v>
      </c>
      <c r="C80">
        <v>2012</v>
      </c>
      <c r="D80" s="8">
        <v>0</v>
      </c>
      <c r="E80" s="8">
        <v>8.7999999999999995E-2</v>
      </c>
      <c r="F80" s="8">
        <v>0</v>
      </c>
      <c r="G80" s="8">
        <v>0</v>
      </c>
      <c r="H80" s="8">
        <v>0</v>
      </c>
      <c r="I80" s="8">
        <v>2.0830000000000002</v>
      </c>
      <c r="J80" s="8">
        <v>0.24299999999999999</v>
      </c>
      <c r="K80" s="8">
        <v>0</v>
      </c>
      <c r="L80" s="8">
        <v>0.34100000000000003</v>
      </c>
      <c r="M80" s="8">
        <v>0.127</v>
      </c>
      <c r="N80" s="8">
        <v>0</v>
      </c>
      <c r="O80" s="8">
        <v>1.9E-2</v>
      </c>
      <c r="P80" s="8">
        <v>0</v>
      </c>
      <c r="Q80" s="8">
        <v>1.4999999999999999E-2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0.151</v>
      </c>
      <c r="Y80" s="8">
        <v>1.4999999999999999E-2</v>
      </c>
      <c r="Z80" s="8">
        <v>3.6999999999999998E-2</v>
      </c>
      <c r="AA80" s="8">
        <v>0</v>
      </c>
      <c r="AB80" s="8">
        <v>0.26600000000000001</v>
      </c>
      <c r="AC80" s="8">
        <v>0</v>
      </c>
      <c r="AD80" s="8">
        <v>0</v>
      </c>
      <c r="AE80" s="8">
        <v>0</v>
      </c>
    </row>
    <row r="81" spans="1:31" x14ac:dyDescent="0.25">
      <c r="A81" t="str">
        <f t="shared" si="38"/>
        <v/>
      </c>
      <c r="B81" t="str">
        <f t="shared" si="6"/>
        <v>Biogas</v>
      </c>
      <c r="C81">
        <v>2013</v>
      </c>
      <c r="D81" s="8">
        <v>0</v>
      </c>
      <c r="E81" s="8">
        <v>8.7999999999999995E-2</v>
      </c>
      <c r="F81" s="8">
        <v>0</v>
      </c>
      <c r="G81" s="8">
        <v>0</v>
      </c>
      <c r="H81" s="8">
        <v>0</v>
      </c>
      <c r="I81" s="8">
        <v>3.4740000000000002</v>
      </c>
      <c r="J81" s="8">
        <v>0.08</v>
      </c>
      <c r="K81" s="8">
        <v>0</v>
      </c>
      <c r="L81" s="8">
        <v>0.379</v>
      </c>
      <c r="M81" s="8">
        <v>0.127</v>
      </c>
      <c r="N81" s="8">
        <v>0</v>
      </c>
      <c r="O81" s="8">
        <v>1E-3</v>
      </c>
      <c r="P81" s="8">
        <v>0</v>
      </c>
      <c r="Q81" s="8">
        <v>1.4E-2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8.7999999999999995E-2</v>
      </c>
      <c r="Y81" s="8">
        <v>1.4999999999999999E-2</v>
      </c>
      <c r="Z81" s="8">
        <v>1.7000000000000001E-2</v>
      </c>
      <c r="AA81" s="8">
        <v>0</v>
      </c>
      <c r="AB81" s="8">
        <v>0.35299999999999998</v>
      </c>
      <c r="AC81" s="8">
        <v>0</v>
      </c>
      <c r="AD81" s="8">
        <v>0</v>
      </c>
      <c r="AE81" s="8">
        <v>0</v>
      </c>
    </row>
    <row r="82" spans="1:31" x14ac:dyDescent="0.25">
      <c r="A82" t="str">
        <f t="shared" si="38"/>
        <v/>
      </c>
      <c r="B82" t="str">
        <f t="shared" si="6"/>
        <v>Biogas</v>
      </c>
      <c r="C82">
        <v>2014</v>
      </c>
      <c r="D82" s="8">
        <v>0</v>
      </c>
      <c r="E82" s="8">
        <v>7.5999999999999998E-2</v>
      </c>
      <c r="F82" s="8">
        <v>0</v>
      </c>
      <c r="G82" s="8">
        <v>0</v>
      </c>
      <c r="H82" s="8">
        <v>0</v>
      </c>
      <c r="I82" s="8">
        <v>4.1849999999999996</v>
      </c>
      <c r="J82" s="8">
        <v>0.317</v>
      </c>
      <c r="K82" s="8">
        <v>0</v>
      </c>
      <c r="L82" s="8">
        <v>0.39500000000000002</v>
      </c>
      <c r="M82" s="8">
        <v>0.127</v>
      </c>
      <c r="N82" s="8">
        <v>0</v>
      </c>
      <c r="O82" s="8">
        <v>0</v>
      </c>
      <c r="P82" s="8">
        <v>0</v>
      </c>
      <c r="Q82" s="8">
        <v>1.6E-2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0.27</v>
      </c>
      <c r="Y82" s="8">
        <v>1.4E-2</v>
      </c>
      <c r="Z82" s="8">
        <v>2E-3</v>
      </c>
      <c r="AA82" s="8">
        <v>0</v>
      </c>
      <c r="AB82" s="8">
        <v>0.19500000000000001</v>
      </c>
      <c r="AC82" s="8">
        <v>0</v>
      </c>
      <c r="AD82" s="8">
        <v>0</v>
      </c>
      <c r="AE82" s="8">
        <v>0</v>
      </c>
    </row>
    <row r="83" spans="1:31" x14ac:dyDescent="0.25">
      <c r="A83" t="str">
        <f t="shared" si="38"/>
        <v/>
      </c>
      <c r="B83" t="str">
        <f t="shared" si="6"/>
        <v>Biogasoline</v>
      </c>
      <c r="C83" t="s">
        <v>186</v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x14ac:dyDescent="0.25">
      <c r="A84" t="str">
        <f t="shared" ref="A84:A136" si="40">IFERROR(VLOOKUP(B84,$AG$16:$AH$24,2,FALSE),"")</f>
        <v/>
      </c>
      <c r="B84" t="str">
        <f t="shared" si="6"/>
        <v>Biogasoline</v>
      </c>
      <c r="C84">
        <v>2010</v>
      </c>
      <c r="D84" s="8">
        <v>0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</row>
    <row r="85" spans="1:31" x14ac:dyDescent="0.25">
      <c r="A85" t="str">
        <f t="shared" si="40"/>
        <v/>
      </c>
      <c r="B85" t="str">
        <f t="shared" ref="B85:B136" si="41">IF(ISNUMBER(C85),B84,C85)</f>
        <v>Biogasoline</v>
      </c>
      <c r="C85">
        <v>2011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</row>
    <row r="86" spans="1:31" x14ac:dyDescent="0.25">
      <c r="A86" t="str">
        <f t="shared" si="40"/>
        <v/>
      </c>
      <c r="B86" t="str">
        <f t="shared" si="41"/>
        <v>Biogasoline</v>
      </c>
      <c r="C86">
        <v>2012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</row>
    <row r="87" spans="1:31" x14ac:dyDescent="0.25">
      <c r="A87" t="str">
        <f t="shared" si="40"/>
        <v/>
      </c>
      <c r="B87" t="str">
        <f t="shared" si="41"/>
        <v>Biogasoline</v>
      </c>
      <c r="C87">
        <v>2013</v>
      </c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</row>
    <row r="88" spans="1:31" x14ac:dyDescent="0.25">
      <c r="A88" t="str">
        <f t="shared" si="40"/>
        <v/>
      </c>
      <c r="B88" t="str">
        <f t="shared" si="41"/>
        <v>Biogasoline</v>
      </c>
      <c r="C88">
        <v>2014</v>
      </c>
      <c r="D88" s="8">
        <v>0</v>
      </c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</row>
    <row r="89" spans="1:31" x14ac:dyDescent="0.25">
      <c r="A89" t="str">
        <f t="shared" si="40"/>
        <v>ELCWOO</v>
      </c>
      <c r="B89" t="str">
        <f t="shared" si="41"/>
        <v>Biomass and renewable wastes</v>
      </c>
      <c r="C89" t="s">
        <v>178</v>
      </c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25">
      <c r="A90" t="str">
        <f t="shared" si="40"/>
        <v>ELCWOO</v>
      </c>
      <c r="B90" t="str">
        <f t="shared" si="41"/>
        <v>Biomass and renewable wastes</v>
      </c>
      <c r="C90">
        <v>2010</v>
      </c>
      <c r="D90" s="8">
        <v>0</v>
      </c>
      <c r="E90" s="8">
        <v>23.696100000000001</v>
      </c>
      <c r="F90" s="8">
        <v>0</v>
      </c>
      <c r="G90" s="8">
        <v>0.09</v>
      </c>
      <c r="H90" s="8">
        <v>1.1359999999999999</v>
      </c>
      <c r="I90" s="8">
        <v>29.165199999999999</v>
      </c>
      <c r="J90" s="8">
        <v>21.097999999999999</v>
      </c>
      <c r="K90" s="8">
        <v>3.8069999999999999</v>
      </c>
      <c r="L90" s="8">
        <v>24.087</v>
      </c>
      <c r="M90" s="8">
        <v>12.028</v>
      </c>
      <c r="N90" s="8">
        <v>0</v>
      </c>
      <c r="O90" s="8">
        <v>0.20799999999999999</v>
      </c>
      <c r="P90" s="8">
        <v>1.7999999999999999E-2</v>
      </c>
      <c r="Q90" s="8">
        <v>3.4068999999999998</v>
      </c>
      <c r="R90" s="8">
        <v>8.0370000000000008</v>
      </c>
      <c r="S90" s="8">
        <v>9.5000000000000001E-2</v>
      </c>
      <c r="T90" s="8">
        <v>6.1909999999999998</v>
      </c>
      <c r="U90" s="8">
        <v>0.51800000000000002</v>
      </c>
      <c r="V90" s="8">
        <v>0</v>
      </c>
      <c r="W90" s="8">
        <v>5.5229999999999997</v>
      </c>
      <c r="X90" s="8">
        <v>6.452</v>
      </c>
      <c r="Y90" s="8">
        <v>1.893</v>
      </c>
      <c r="Z90" s="8">
        <v>1.768</v>
      </c>
      <c r="AA90" s="8">
        <v>8.4000000000000005E-2</v>
      </c>
      <c r="AB90" s="8">
        <v>52.1004</v>
      </c>
      <c r="AC90" s="8">
        <v>0.26900000000000002</v>
      </c>
      <c r="AD90" s="8">
        <v>2.7639999999999998</v>
      </c>
      <c r="AE90" s="8">
        <v>1.0069999999999999</v>
      </c>
    </row>
    <row r="91" spans="1:31" x14ac:dyDescent="0.25">
      <c r="A91" t="str">
        <f t="shared" si="40"/>
        <v>ELCWOO</v>
      </c>
      <c r="B91" t="str">
        <f t="shared" si="41"/>
        <v>Biomass and renewable wastes</v>
      </c>
      <c r="C91">
        <v>2011</v>
      </c>
      <c r="D91" s="8">
        <v>0</v>
      </c>
      <c r="E91" s="8">
        <v>19.436</v>
      </c>
      <c r="F91" s="8">
        <v>0</v>
      </c>
      <c r="G91" s="8">
        <v>9.0999999999999998E-2</v>
      </c>
      <c r="H91" s="8">
        <v>1.4630000000000001</v>
      </c>
      <c r="I91" s="8">
        <v>30.428699999999999</v>
      </c>
      <c r="J91" s="8">
        <v>19.0623</v>
      </c>
      <c r="K91" s="8">
        <v>5.0030000000000001</v>
      </c>
      <c r="L91" s="8">
        <v>22.792999999999999</v>
      </c>
      <c r="M91" s="8">
        <v>9.8670000000000009</v>
      </c>
      <c r="N91" s="8">
        <v>0</v>
      </c>
      <c r="O91" s="8">
        <v>0.52300000000000002</v>
      </c>
      <c r="P91" s="8">
        <v>0</v>
      </c>
      <c r="Q91" s="8">
        <v>3.6857000000000002</v>
      </c>
      <c r="R91" s="8">
        <v>7.51</v>
      </c>
      <c r="S91" s="8">
        <v>0.10100000000000001</v>
      </c>
      <c r="T91" s="8">
        <v>5.4349999999999996</v>
      </c>
      <c r="U91" s="8">
        <v>0.4</v>
      </c>
      <c r="V91" s="8">
        <v>0</v>
      </c>
      <c r="W91" s="8">
        <v>5.3220000000000001</v>
      </c>
      <c r="X91" s="8">
        <v>6.3419999999999996</v>
      </c>
      <c r="Y91" s="8">
        <v>1.788</v>
      </c>
      <c r="Z91" s="8">
        <v>2.875</v>
      </c>
      <c r="AA91" s="8">
        <v>0.09</v>
      </c>
      <c r="AB91" s="8">
        <v>49.485999999999997</v>
      </c>
      <c r="AC91" s="8">
        <v>0.34699999999999998</v>
      </c>
      <c r="AD91" s="8">
        <v>2.8180000000000001</v>
      </c>
      <c r="AE91" s="8">
        <v>2.8039999999999998</v>
      </c>
    </row>
    <row r="92" spans="1:31" x14ac:dyDescent="0.25">
      <c r="A92" t="str">
        <f t="shared" si="40"/>
        <v>ELCWOO</v>
      </c>
      <c r="B92" t="str">
        <f t="shared" si="41"/>
        <v>Biomass and renewable wastes</v>
      </c>
      <c r="C92">
        <v>2012</v>
      </c>
      <c r="D92" s="8">
        <v>0</v>
      </c>
      <c r="E92" s="8">
        <v>22.495999999999999</v>
      </c>
      <c r="F92" s="8">
        <v>0.17699999999999999</v>
      </c>
      <c r="G92" s="8">
        <v>0.125</v>
      </c>
      <c r="H92" s="8">
        <v>1.1779999999999999</v>
      </c>
      <c r="I92" s="8">
        <v>39.251600000000003</v>
      </c>
      <c r="J92" s="8">
        <v>20.675000000000001</v>
      </c>
      <c r="K92" s="8">
        <v>4.0279999999999996</v>
      </c>
      <c r="L92" s="8">
        <v>26.725000000000001</v>
      </c>
      <c r="M92" s="8">
        <v>13.005000000000001</v>
      </c>
      <c r="N92" s="8">
        <v>0</v>
      </c>
      <c r="O92" s="8">
        <v>0.82899999999999996</v>
      </c>
      <c r="P92" s="8">
        <v>0</v>
      </c>
      <c r="Q92" s="8">
        <v>3.976</v>
      </c>
      <c r="R92" s="8">
        <v>9.2360000000000007</v>
      </c>
      <c r="S92" s="8">
        <v>0.10199999999999999</v>
      </c>
      <c r="T92" s="8">
        <v>5.9039999999999999</v>
      </c>
      <c r="U92" s="8">
        <v>0.23</v>
      </c>
      <c r="V92" s="8">
        <v>0</v>
      </c>
      <c r="W92" s="8">
        <v>2.3E-2</v>
      </c>
      <c r="X92" s="8">
        <v>7.3109999999999999</v>
      </c>
      <c r="Y92" s="8">
        <v>1.7</v>
      </c>
      <c r="Z92" s="8">
        <v>1.9690000000000001</v>
      </c>
      <c r="AA92" s="8">
        <v>7.2999999999999995E-2</v>
      </c>
      <c r="AB92" s="8">
        <v>46.206200000000003</v>
      </c>
      <c r="AC92" s="8">
        <v>0.41599999999999998</v>
      </c>
      <c r="AD92" s="8">
        <v>3.0049999999999999</v>
      </c>
      <c r="AE92" s="8">
        <v>3.5760000000000001</v>
      </c>
    </row>
    <row r="93" spans="1:31" x14ac:dyDescent="0.25">
      <c r="A93" t="str">
        <f t="shared" si="40"/>
        <v>ELCWOO</v>
      </c>
      <c r="B93" t="str">
        <f t="shared" si="41"/>
        <v>Biomass and renewable wastes</v>
      </c>
      <c r="C93">
        <v>2013</v>
      </c>
      <c r="D93" s="8">
        <v>0</v>
      </c>
      <c r="E93" s="8">
        <v>23.565799999999999</v>
      </c>
      <c r="F93" s="8">
        <v>0.17699999999999999</v>
      </c>
      <c r="G93" s="8">
        <v>5.2999999999999999E-2</v>
      </c>
      <c r="H93" s="8">
        <v>1.2869999999999999</v>
      </c>
      <c r="I93" s="8">
        <v>33.248100000000001</v>
      </c>
      <c r="J93" s="8">
        <v>20.406400000000001</v>
      </c>
      <c r="K93" s="8">
        <v>4.2539999999999996</v>
      </c>
      <c r="L93" s="8">
        <v>27.144300000000001</v>
      </c>
      <c r="M93" s="8">
        <v>15.151</v>
      </c>
      <c r="N93" s="8">
        <v>0</v>
      </c>
      <c r="O93" s="8">
        <v>1.86</v>
      </c>
      <c r="P93" s="8">
        <v>0</v>
      </c>
      <c r="Q93" s="8">
        <v>4.0077999999999996</v>
      </c>
      <c r="R93" s="8">
        <v>8.7780000000000005</v>
      </c>
      <c r="S93" s="8">
        <v>0.11600000000000001</v>
      </c>
      <c r="T93" s="8">
        <v>5.9880000000000004</v>
      </c>
      <c r="U93" s="8">
        <v>0.26900000000000002</v>
      </c>
      <c r="V93" s="8">
        <v>0</v>
      </c>
      <c r="W93" s="8">
        <v>7.5999999999999998E-2</v>
      </c>
      <c r="X93" s="8">
        <v>7.8196000000000003</v>
      </c>
      <c r="Y93" s="8">
        <v>2.0099999999999998</v>
      </c>
      <c r="Z93" s="8">
        <v>1.7110000000000001</v>
      </c>
      <c r="AA93" s="8">
        <v>7.9000000000000001E-2</v>
      </c>
      <c r="AB93" s="8">
        <v>42.128</v>
      </c>
      <c r="AC93" s="8">
        <v>0.38300000000000001</v>
      </c>
      <c r="AD93" s="8">
        <v>2.99</v>
      </c>
      <c r="AE93" s="8">
        <v>1.4019999999999999</v>
      </c>
    </row>
    <row r="94" spans="1:31" x14ac:dyDescent="0.25">
      <c r="A94" t="str">
        <f t="shared" si="40"/>
        <v>ELCWOO</v>
      </c>
      <c r="B94" t="str">
        <f t="shared" si="41"/>
        <v>Biomass and renewable wastes</v>
      </c>
      <c r="C94">
        <v>2014</v>
      </c>
      <c r="D94" s="8">
        <v>0</v>
      </c>
      <c r="E94" s="8">
        <v>24.2438</v>
      </c>
      <c r="F94" s="8">
        <v>0.17199999999999999</v>
      </c>
      <c r="G94" s="8">
        <v>0.23699999999999999</v>
      </c>
      <c r="H94" s="8">
        <v>1.151</v>
      </c>
      <c r="I94" s="8">
        <v>34.992100000000001</v>
      </c>
      <c r="J94" s="8">
        <v>19.873000000000001</v>
      </c>
      <c r="K94" s="8">
        <v>3.27</v>
      </c>
      <c r="L94" s="8">
        <v>29.7014</v>
      </c>
      <c r="M94" s="8">
        <v>17.271999999999998</v>
      </c>
      <c r="N94" s="8">
        <v>0</v>
      </c>
      <c r="O94" s="8">
        <v>1.55</v>
      </c>
      <c r="P94" s="8">
        <v>0</v>
      </c>
      <c r="Q94" s="8">
        <v>3.4807000000000001</v>
      </c>
      <c r="R94" s="8">
        <v>12.691000000000001</v>
      </c>
      <c r="S94" s="8">
        <v>0.123</v>
      </c>
      <c r="T94" s="8">
        <v>5.8360000000000003</v>
      </c>
      <c r="U94" s="8">
        <v>0.35499999999999998</v>
      </c>
      <c r="V94" s="8">
        <v>0</v>
      </c>
      <c r="W94" s="8">
        <v>0.42199999999999999</v>
      </c>
      <c r="X94" s="8">
        <v>8.0402000000000005</v>
      </c>
      <c r="Y94" s="8">
        <v>1.742</v>
      </c>
      <c r="Z94" s="8">
        <v>1.718</v>
      </c>
      <c r="AA94" s="8">
        <v>0.09</v>
      </c>
      <c r="AB94" s="8">
        <v>38.71</v>
      </c>
      <c r="AC94" s="8">
        <v>0.28699999999999998</v>
      </c>
      <c r="AD94" s="8">
        <v>2.2000000000000002</v>
      </c>
      <c r="AE94" s="8">
        <v>1.583</v>
      </c>
    </row>
    <row r="95" spans="1:31" x14ac:dyDescent="0.25">
      <c r="A95" t="str">
        <f t="shared" si="40"/>
        <v>ELCGEO</v>
      </c>
      <c r="B95" t="str">
        <f t="shared" si="41"/>
        <v>Geothermal Energy</v>
      </c>
      <c r="C95" t="s">
        <v>179</v>
      </c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25">
      <c r="A96" t="str">
        <f t="shared" si="40"/>
        <v>ELCGEO</v>
      </c>
      <c r="B96" t="str">
        <f t="shared" si="41"/>
        <v>Geothermal Energy</v>
      </c>
      <c r="C96">
        <v>2010</v>
      </c>
      <c r="D96" s="8">
        <v>0</v>
      </c>
      <c r="E96" s="8">
        <v>1.075</v>
      </c>
      <c r="F96" s="8">
        <v>0.17599999999999999</v>
      </c>
      <c r="G96" s="8">
        <v>0</v>
      </c>
      <c r="H96" s="8">
        <v>0</v>
      </c>
      <c r="I96" s="8">
        <v>0.45</v>
      </c>
      <c r="J96" s="8">
        <v>0.21199999999999999</v>
      </c>
      <c r="K96" s="8">
        <v>0</v>
      </c>
      <c r="L96" s="8">
        <v>0</v>
      </c>
      <c r="M96" s="8">
        <v>6.3979999999999997</v>
      </c>
      <c r="N96" s="8">
        <v>0</v>
      </c>
      <c r="O96" s="8">
        <v>0.245</v>
      </c>
      <c r="P96" s="8">
        <v>24.983000000000001</v>
      </c>
      <c r="Q96" s="8">
        <v>1.1779999999999999</v>
      </c>
      <c r="R96" s="8">
        <v>0.19</v>
      </c>
      <c r="S96" s="8">
        <v>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0</v>
      </c>
      <c r="Z96" s="8">
        <v>1.0999999999999999E-2</v>
      </c>
      <c r="AA96" s="8">
        <v>0</v>
      </c>
      <c r="AB96" s="8">
        <v>0</v>
      </c>
      <c r="AC96" s="8">
        <v>8.3000000000000004E-2</v>
      </c>
      <c r="AD96" s="8">
        <v>0.27800000000000002</v>
      </c>
      <c r="AE96" s="8">
        <v>0</v>
      </c>
    </row>
    <row r="97" spans="1:31" x14ac:dyDescent="0.25">
      <c r="A97" t="str">
        <f t="shared" si="40"/>
        <v>ELCGEO</v>
      </c>
      <c r="B97" t="str">
        <f t="shared" si="41"/>
        <v>Geothermal Energy</v>
      </c>
      <c r="C97">
        <v>2011</v>
      </c>
      <c r="D97" s="8">
        <v>0</v>
      </c>
      <c r="E97" s="8">
        <v>1.0469999999999999</v>
      </c>
      <c r="F97" s="8">
        <v>0.11</v>
      </c>
      <c r="G97" s="8">
        <v>0</v>
      </c>
      <c r="H97" s="8">
        <v>0</v>
      </c>
      <c r="I97" s="8">
        <v>0.10100000000000001</v>
      </c>
      <c r="J97" s="8">
        <v>0.16600000000000001</v>
      </c>
      <c r="K97" s="8">
        <v>0</v>
      </c>
      <c r="L97" s="8">
        <v>0</v>
      </c>
      <c r="M97" s="8">
        <v>5.9820000000000002</v>
      </c>
      <c r="N97" s="8">
        <v>0</v>
      </c>
      <c r="O97" s="8">
        <v>0.29099999999999998</v>
      </c>
      <c r="P97" s="8">
        <v>25.542000000000002</v>
      </c>
      <c r="Q97" s="8">
        <v>1.1779999999999999</v>
      </c>
      <c r="R97" s="8">
        <v>0.13500000000000001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8.9999999999999993E-3</v>
      </c>
      <c r="AA97" s="8">
        <v>0</v>
      </c>
      <c r="AB97" s="8">
        <v>0</v>
      </c>
      <c r="AC97" s="8">
        <v>7.1999999999999995E-2</v>
      </c>
      <c r="AD97" s="8">
        <v>0.20799999999999999</v>
      </c>
      <c r="AE97" s="8">
        <v>0</v>
      </c>
    </row>
    <row r="98" spans="1:31" x14ac:dyDescent="0.25">
      <c r="A98" t="str">
        <f t="shared" si="40"/>
        <v>ELCGEO</v>
      </c>
      <c r="B98" t="str">
        <f t="shared" si="41"/>
        <v>Geothermal Energy</v>
      </c>
      <c r="C98">
        <v>2012</v>
      </c>
      <c r="D98" s="8">
        <v>0</v>
      </c>
      <c r="E98" s="8">
        <v>1.1559999999999999</v>
      </c>
      <c r="F98" s="8">
        <v>0.12</v>
      </c>
      <c r="G98" s="8">
        <v>0</v>
      </c>
      <c r="H98" s="8">
        <v>0</v>
      </c>
      <c r="I98" s="8">
        <v>0.17100000000000001</v>
      </c>
      <c r="J98" s="8">
        <v>0.28799999999999998</v>
      </c>
      <c r="K98" s="8">
        <v>0</v>
      </c>
      <c r="L98" s="8">
        <v>0</v>
      </c>
      <c r="M98" s="8">
        <v>6.367</v>
      </c>
      <c r="N98" s="8">
        <v>0</v>
      </c>
      <c r="O98" s="8">
        <v>0.41899999999999998</v>
      </c>
      <c r="P98" s="8">
        <v>26.100999999999999</v>
      </c>
      <c r="Q98" s="8">
        <v>1.3</v>
      </c>
      <c r="R98" s="8">
        <v>0.158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7.0000000000000001E-3</v>
      </c>
      <c r="AA98" s="8">
        <v>0</v>
      </c>
      <c r="AB98" s="8">
        <v>0</v>
      </c>
      <c r="AC98" s="8">
        <v>8.4000000000000005E-2</v>
      </c>
      <c r="AD98" s="8">
        <v>0.19</v>
      </c>
      <c r="AE98" s="8">
        <v>0</v>
      </c>
    </row>
    <row r="99" spans="1:31" x14ac:dyDescent="0.25">
      <c r="A99" t="str">
        <f t="shared" si="40"/>
        <v>ELCGEO</v>
      </c>
      <c r="B99" t="str">
        <f t="shared" si="41"/>
        <v>Geothermal Energy</v>
      </c>
      <c r="C99">
        <v>2013</v>
      </c>
      <c r="D99" s="8">
        <v>0</v>
      </c>
      <c r="E99" s="8">
        <v>1.1870000000000001</v>
      </c>
      <c r="F99" s="8">
        <v>0.13600000000000001</v>
      </c>
      <c r="G99" s="8">
        <v>0</v>
      </c>
      <c r="H99" s="8">
        <v>0</v>
      </c>
      <c r="I99" s="8">
        <v>0.41299999999999998</v>
      </c>
      <c r="J99" s="8">
        <v>0.22900000000000001</v>
      </c>
      <c r="K99" s="8">
        <v>0</v>
      </c>
      <c r="L99" s="8">
        <v>0</v>
      </c>
      <c r="M99" s="8">
        <v>7.758</v>
      </c>
      <c r="N99" s="8">
        <v>0</v>
      </c>
      <c r="O99" s="8">
        <v>0.61399999999999999</v>
      </c>
      <c r="P99" s="8">
        <v>24.843</v>
      </c>
      <c r="Q99" s="8">
        <v>1.3009999999999999</v>
      </c>
      <c r="R99" s="8">
        <v>7.0000000000000007E-2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1.7000000000000001E-2</v>
      </c>
      <c r="AA99" s="8">
        <v>0</v>
      </c>
      <c r="AB99" s="8">
        <v>0</v>
      </c>
      <c r="AC99" s="8">
        <v>7.8E-2</v>
      </c>
      <c r="AD99" s="8">
        <v>0.20399999999999999</v>
      </c>
      <c r="AE99" s="8">
        <v>0</v>
      </c>
    </row>
    <row r="100" spans="1:31" x14ac:dyDescent="0.25">
      <c r="A100" t="str">
        <f t="shared" si="40"/>
        <v>ELCGEO</v>
      </c>
      <c r="B100" t="str">
        <f t="shared" si="41"/>
        <v>Geothermal Energy</v>
      </c>
      <c r="C100">
        <v>2014</v>
      </c>
      <c r="D100" s="8">
        <v>0</v>
      </c>
      <c r="E100" s="8">
        <v>1.085</v>
      </c>
      <c r="F100" s="8">
        <v>0.12</v>
      </c>
      <c r="G100" s="8">
        <v>0</v>
      </c>
      <c r="H100" s="8">
        <v>0</v>
      </c>
      <c r="I100" s="8">
        <v>0.60899999999999999</v>
      </c>
      <c r="J100" s="8">
        <v>0.16600000000000001</v>
      </c>
      <c r="K100" s="8">
        <v>0</v>
      </c>
      <c r="L100" s="8">
        <v>0</v>
      </c>
      <c r="M100" s="8">
        <v>7.8810000000000002</v>
      </c>
      <c r="N100" s="8">
        <v>0</v>
      </c>
      <c r="O100" s="8">
        <v>1.35</v>
      </c>
      <c r="P100" s="8">
        <v>30.009</v>
      </c>
      <c r="Q100" s="8">
        <v>1.5289999999999999</v>
      </c>
      <c r="R100" s="8">
        <v>7.8E-2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0.33700000000000002</v>
      </c>
      <c r="AA100" s="8">
        <v>0</v>
      </c>
      <c r="AB100" s="8">
        <v>0</v>
      </c>
      <c r="AC100" s="8">
        <v>6.2E-2</v>
      </c>
      <c r="AD100" s="8">
        <v>0.24</v>
      </c>
      <c r="AE100" s="8">
        <v>0</v>
      </c>
    </row>
    <row r="101" spans="1:31" x14ac:dyDescent="0.25">
      <c r="A101" t="str">
        <f t="shared" si="40"/>
        <v/>
      </c>
      <c r="B101" t="str">
        <f t="shared" si="41"/>
        <v>Liquid biofuels</v>
      </c>
      <c r="C101" t="s">
        <v>187</v>
      </c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25">
      <c r="A102" t="str">
        <f t="shared" si="40"/>
        <v/>
      </c>
      <c r="B102" t="str">
        <f t="shared" si="41"/>
        <v>Liquid biofuels</v>
      </c>
      <c r="C102">
        <v>2010</v>
      </c>
      <c r="D102" s="8">
        <v>0</v>
      </c>
      <c r="E102" s="8">
        <v>1E-4</v>
      </c>
      <c r="F102" s="8">
        <v>0</v>
      </c>
      <c r="G102" s="8">
        <v>0</v>
      </c>
      <c r="H102" s="8">
        <v>0</v>
      </c>
      <c r="I102" s="8">
        <v>0.2742</v>
      </c>
      <c r="J102" s="8">
        <v>1.9279999999999999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8.9999999999999998E-4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7.2824</v>
      </c>
      <c r="AC102" s="8">
        <v>0</v>
      </c>
      <c r="AD102" s="8">
        <v>0</v>
      </c>
      <c r="AE102" s="8">
        <v>0</v>
      </c>
    </row>
    <row r="103" spans="1:31" x14ac:dyDescent="0.25">
      <c r="A103" t="str">
        <f t="shared" si="40"/>
        <v/>
      </c>
      <c r="B103" t="str">
        <f t="shared" si="41"/>
        <v>Liquid biofuels</v>
      </c>
      <c r="C103">
        <v>2011</v>
      </c>
      <c r="D103" s="8">
        <v>0</v>
      </c>
      <c r="E103" s="8">
        <v>0</v>
      </c>
      <c r="F103" s="8">
        <v>0</v>
      </c>
      <c r="G103" s="8">
        <v>0</v>
      </c>
      <c r="H103" s="8">
        <v>0</v>
      </c>
      <c r="I103" s="8">
        <v>7.2700000000000001E-2</v>
      </c>
      <c r="J103" s="8">
        <v>0.77529999999999999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6.9999999999999999E-4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3.6120000000000001</v>
      </c>
      <c r="AC103" s="8">
        <v>0</v>
      </c>
      <c r="AD103" s="8">
        <v>0</v>
      </c>
      <c r="AE103" s="8">
        <v>0</v>
      </c>
    </row>
    <row r="104" spans="1:31" x14ac:dyDescent="0.25">
      <c r="A104" t="str">
        <f t="shared" si="40"/>
        <v/>
      </c>
      <c r="B104" t="str">
        <f t="shared" si="41"/>
        <v>Liquid biofuels</v>
      </c>
      <c r="C104">
        <v>2012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5.9999999999999995E-4</v>
      </c>
      <c r="J104" s="8">
        <v>0.93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1E-3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4.4542000000000002</v>
      </c>
      <c r="AC104" s="8">
        <v>0</v>
      </c>
      <c r="AD104" s="8">
        <v>0</v>
      </c>
      <c r="AE104" s="8">
        <v>0</v>
      </c>
    </row>
    <row r="105" spans="1:31" x14ac:dyDescent="0.25">
      <c r="A105" t="str">
        <f t="shared" si="40"/>
        <v/>
      </c>
      <c r="B105" t="str">
        <f t="shared" si="41"/>
        <v>Liquid biofuels</v>
      </c>
      <c r="C105">
        <v>2013</v>
      </c>
      <c r="D105" s="8">
        <v>0</v>
      </c>
      <c r="E105" s="8">
        <v>1.18E-2</v>
      </c>
      <c r="F105" s="8">
        <v>0</v>
      </c>
      <c r="G105" s="8">
        <v>0</v>
      </c>
      <c r="H105" s="8">
        <v>0</v>
      </c>
      <c r="I105" s="8">
        <v>2.81E-2</v>
      </c>
      <c r="J105" s="8">
        <v>0.82040000000000002</v>
      </c>
      <c r="K105" s="8">
        <v>0</v>
      </c>
      <c r="L105" s="8">
        <v>2.9999999999999997E-4</v>
      </c>
      <c r="M105" s="8">
        <v>0</v>
      </c>
      <c r="N105" s="8">
        <v>0</v>
      </c>
      <c r="O105" s="8">
        <v>0</v>
      </c>
      <c r="P105" s="8">
        <v>0</v>
      </c>
      <c r="Q105" s="8">
        <v>8.0000000000000004E-4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0.2576</v>
      </c>
      <c r="Y105" s="8">
        <v>0</v>
      </c>
      <c r="Z105" s="8">
        <v>0</v>
      </c>
      <c r="AA105" s="8">
        <v>0</v>
      </c>
      <c r="AB105" s="8">
        <v>3.234</v>
      </c>
      <c r="AC105" s="8">
        <v>0</v>
      </c>
      <c r="AD105" s="8">
        <v>0</v>
      </c>
      <c r="AE105" s="8">
        <v>0</v>
      </c>
    </row>
    <row r="106" spans="1:31" x14ac:dyDescent="0.25">
      <c r="A106" t="str">
        <f t="shared" si="40"/>
        <v/>
      </c>
      <c r="B106" t="str">
        <f t="shared" si="41"/>
        <v>Liquid biofuels</v>
      </c>
      <c r="C106">
        <v>2014</v>
      </c>
      <c r="D106" s="8">
        <v>0</v>
      </c>
      <c r="E106" s="8">
        <v>2.2800000000000001E-2</v>
      </c>
      <c r="F106" s="8">
        <v>0</v>
      </c>
      <c r="G106" s="8">
        <v>0</v>
      </c>
      <c r="H106" s="8">
        <v>0</v>
      </c>
      <c r="I106" s="8">
        <v>2.81E-2</v>
      </c>
      <c r="J106" s="8">
        <v>0.78400000000000003</v>
      </c>
      <c r="K106" s="8">
        <v>0</v>
      </c>
      <c r="L106" s="8">
        <v>7.4000000000000003E-3</v>
      </c>
      <c r="M106" s="8">
        <v>0</v>
      </c>
      <c r="N106" s="8">
        <v>0</v>
      </c>
      <c r="O106" s="8">
        <v>0</v>
      </c>
      <c r="P106" s="8">
        <v>0</v>
      </c>
      <c r="Q106" s="8">
        <v>1.2699999999999999E-2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0.1472</v>
      </c>
      <c r="Y106" s="8">
        <v>0</v>
      </c>
      <c r="Z106" s="8">
        <v>0</v>
      </c>
      <c r="AA106" s="8">
        <v>0</v>
      </c>
      <c r="AB106" s="8">
        <v>1.8480000000000001</v>
      </c>
      <c r="AC106" s="8">
        <v>0</v>
      </c>
      <c r="AD106" s="8">
        <v>0</v>
      </c>
      <c r="AE106" s="8">
        <v>0</v>
      </c>
    </row>
    <row r="107" spans="1:31" x14ac:dyDescent="0.25">
      <c r="A107" t="str">
        <f t="shared" si="40"/>
        <v/>
      </c>
      <c r="B107" t="str">
        <f t="shared" si="41"/>
        <v>Municipal waste (renewable)</v>
      </c>
      <c r="C107" t="s">
        <v>181</v>
      </c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25">
      <c r="A108" t="str">
        <f t="shared" si="40"/>
        <v/>
      </c>
      <c r="B108" t="str">
        <f t="shared" si="41"/>
        <v>Municipal waste (renewable)</v>
      </c>
      <c r="C108">
        <v>2010</v>
      </c>
      <c r="D108" s="8">
        <v>0</v>
      </c>
      <c r="E108" s="8">
        <v>0.71199999999999997</v>
      </c>
      <c r="F108" s="8">
        <v>0</v>
      </c>
      <c r="G108" s="8">
        <v>0</v>
      </c>
      <c r="H108" s="8">
        <v>0</v>
      </c>
      <c r="I108" s="8">
        <v>16.995999999999999</v>
      </c>
      <c r="J108" s="8">
        <v>1.85</v>
      </c>
      <c r="K108" s="8">
        <v>0</v>
      </c>
      <c r="L108" s="8">
        <v>0.61799999999999999</v>
      </c>
      <c r="M108" s="8">
        <v>6.9089999999999998</v>
      </c>
      <c r="N108" s="8">
        <v>0</v>
      </c>
      <c r="O108" s="8">
        <v>0</v>
      </c>
      <c r="P108" s="8">
        <v>1.7999999999999999E-2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5.5229999999999997</v>
      </c>
      <c r="X108" s="8">
        <v>1.62</v>
      </c>
      <c r="Y108" s="8">
        <v>0</v>
      </c>
      <c r="Z108" s="8">
        <v>0</v>
      </c>
      <c r="AA108" s="8">
        <v>0</v>
      </c>
      <c r="AB108" s="8">
        <v>4.8</v>
      </c>
      <c r="AC108" s="8">
        <v>0</v>
      </c>
      <c r="AD108" s="8">
        <v>6.7000000000000004E-2</v>
      </c>
      <c r="AE108" s="8">
        <v>0.94199999999999995</v>
      </c>
    </row>
    <row r="109" spans="1:31" x14ac:dyDescent="0.25">
      <c r="A109" t="str">
        <f t="shared" si="40"/>
        <v/>
      </c>
      <c r="B109" t="str">
        <f t="shared" si="41"/>
        <v>Municipal waste (renewable)</v>
      </c>
      <c r="C109">
        <v>2011</v>
      </c>
      <c r="D109" s="8">
        <v>0</v>
      </c>
      <c r="E109" s="8">
        <v>0.77500000000000002</v>
      </c>
      <c r="F109" s="8">
        <v>0</v>
      </c>
      <c r="G109" s="8">
        <v>0</v>
      </c>
      <c r="H109" s="8">
        <v>0</v>
      </c>
      <c r="I109" s="8">
        <v>19.082999999999998</v>
      </c>
      <c r="J109" s="8">
        <v>1.92</v>
      </c>
      <c r="K109" s="8">
        <v>0</v>
      </c>
      <c r="L109" s="8">
        <v>0.45700000000000002</v>
      </c>
      <c r="M109" s="8">
        <v>3.6389999999999998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5.3220000000000001</v>
      </c>
      <c r="X109" s="8">
        <v>1.8</v>
      </c>
      <c r="Y109" s="8">
        <v>0</v>
      </c>
      <c r="Z109" s="8">
        <v>0</v>
      </c>
      <c r="AA109" s="8">
        <v>0</v>
      </c>
      <c r="AB109" s="8">
        <v>2.4369999999999998</v>
      </c>
      <c r="AC109" s="8">
        <v>0</v>
      </c>
      <c r="AD109" s="8">
        <v>0.06</v>
      </c>
      <c r="AE109" s="8">
        <v>1.1879999999999999</v>
      </c>
    </row>
    <row r="110" spans="1:31" x14ac:dyDescent="0.25">
      <c r="A110" t="str">
        <f t="shared" si="40"/>
        <v/>
      </c>
      <c r="B110" t="str">
        <f t="shared" si="41"/>
        <v>Municipal waste (renewable)</v>
      </c>
      <c r="C110">
        <v>2012</v>
      </c>
      <c r="D110" s="8">
        <v>0</v>
      </c>
      <c r="E110" s="8">
        <v>0.85299999999999998</v>
      </c>
      <c r="F110" s="8">
        <v>0.17699999999999999</v>
      </c>
      <c r="G110" s="8">
        <v>0</v>
      </c>
      <c r="H110" s="8">
        <v>0</v>
      </c>
      <c r="I110" s="8">
        <v>21.402999999999999</v>
      </c>
      <c r="J110" s="8">
        <v>1.6859999999999999</v>
      </c>
      <c r="K110" s="8">
        <v>0</v>
      </c>
      <c r="L110" s="8">
        <v>0.55300000000000005</v>
      </c>
      <c r="M110" s="8">
        <v>5.1529999999999996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1.95</v>
      </c>
      <c r="Y110" s="8">
        <v>0</v>
      </c>
      <c r="Z110" s="8">
        <v>0</v>
      </c>
      <c r="AA110" s="8">
        <v>0</v>
      </c>
      <c r="AB110" s="8">
        <v>2.3780000000000001</v>
      </c>
      <c r="AC110" s="8">
        <v>0</v>
      </c>
      <c r="AD110" s="8">
        <v>5.1999999999999998E-2</v>
      </c>
      <c r="AE110" s="8">
        <v>1.383</v>
      </c>
    </row>
    <row r="111" spans="1:31" x14ac:dyDescent="0.25">
      <c r="A111" t="str">
        <f t="shared" si="40"/>
        <v/>
      </c>
      <c r="B111" t="str">
        <f t="shared" si="41"/>
        <v>Municipal waste (renewable)</v>
      </c>
      <c r="C111">
        <v>2013</v>
      </c>
      <c r="D111" s="8">
        <v>0</v>
      </c>
      <c r="E111" s="8">
        <v>0.82499999999999996</v>
      </c>
      <c r="F111" s="8">
        <v>0.17699999999999999</v>
      </c>
      <c r="G111" s="8">
        <v>0</v>
      </c>
      <c r="H111" s="8">
        <v>0</v>
      </c>
      <c r="I111" s="8">
        <v>18.574999999999999</v>
      </c>
      <c r="J111" s="8">
        <v>1.7509999999999999</v>
      </c>
      <c r="K111" s="8">
        <v>0</v>
      </c>
      <c r="L111" s="8">
        <v>0.32200000000000001</v>
      </c>
      <c r="M111" s="8">
        <v>4.6710000000000003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0</v>
      </c>
      <c r="X111" s="8">
        <v>2.08</v>
      </c>
      <c r="Y111" s="8">
        <v>0</v>
      </c>
      <c r="Z111" s="8">
        <v>0</v>
      </c>
      <c r="AA111" s="8">
        <v>0</v>
      </c>
      <c r="AB111" s="8">
        <v>2.2429999999999999</v>
      </c>
      <c r="AC111" s="8">
        <v>0</v>
      </c>
      <c r="AD111" s="8">
        <v>4.3999999999999997E-2</v>
      </c>
      <c r="AE111" s="8">
        <v>1.1080000000000001</v>
      </c>
    </row>
    <row r="112" spans="1:31" x14ac:dyDescent="0.25">
      <c r="A112" t="str">
        <f t="shared" si="40"/>
        <v/>
      </c>
      <c r="B112" t="str">
        <f t="shared" si="41"/>
        <v>Municipal waste (renewable)</v>
      </c>
      <c r="C112">
        <v>2014</v>
      </c>
      <c r="D112" s="8">
        <v>0</v>
      </c>
      <c r="E112" s="8">
        <v>0.83099999999999996</v>
      </c>
      <c r="F112" s="8">
        <v>0.17199999999999999</v>
      </c>
      <c r="G112" s="8">
        <v>0</v>
      </c>
      <c r="H112" s="8">
        <v>0</v>
      </c>
      <c r="I112" s="8">
        <v>17.109000000000002</v>
      </c>
      <c r="J112" s="8">
        <v>1.653</v>
      </c>
      <c r="K112" s="8">
        <v>0</v>
      </c>
      <c r="L112" s="8">
        <v>0.69099999999999995</v>
      </c>
      <c r="M112" s="8">
        <v>4.6710000000000003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2.5430000000000001</v>
      </c>
      <c r="Y112" s="8">
        <v>1.6E-2</v>
      </c>
      <c r="Z112" s="8">
        <v>4.1000000000000002E-2</v>
      </c>
      <c r="AA112" s="8">
        <v>0</v>
      </c>
      <c r="AB112" s="8">
        <v>2.0390000000000001</v>
      </c>
      <c r="AC112" s="8">
        <v>0</v>
      </c>
      <c r="AD112" s="8">
        <v>0</v>
      </c>
      <c r="AE112" s="8">
        <v>1.355</v>
      </c>
    </row>
    <row r="113" spans="1:31" x14ac:dyDescent="0.25">
      <c r="A113" t="str">
        <f t="shared" si="40"/>
        <v/>
      </c>
      <c r="B113" t="str">
        <f t="shared" si="41"/>
        <v>Other liquid biofuels</v>
      </c>
      <c r="C113" t="s">
        <v>193</v>
      </c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25">
      <c r="A114" t="str">
        <f t="shared" si="40"/>
        <v/>
      </c>
      <c r="B114" t="str">
        <f t="shared" si="41"/>
        <v>Other liquid biofuels</v>
      </c>
      <c r="C114">
        <v>2010</v>
      </c>
      <c r="D114" s="8">
        <v>0</v>
      </c>
      <c r="E114" s="8">
        <v>1E-4</v>
      </c>
      <c r="F114" s="8">
        <v>0</v>
      </c>
      <c r="G114" s="8">
        <v>0</v>
      </c>
      <c r="H114" s="8">
        <v>0</v>
      </c>
      <c r="I114" s="8">
        <v>0.2742</v>
      </c>
      <c r="J114" s="8">
        <v>1.9279999999999999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8.9999999999999998E-4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7.2824</v>
      </c>
      <c r="AC114" s="8">
        <v>0</v>
      </c>
      <c r="AD114" s="8">
        <v>0</v>
      </c>
      <c r="AE114" s="8">
        <v>0</v>
      </c>
    </row>
    <row r="115" spans="1:31" x14ac:dyDescent="0.25">
      <c r="A115" t="str">
        <f t="shared" si="40"/>
        <v/>
      </c>
      <c r="B115" t="str">
        <f t="shared" si="41"/>
        <v>Other liquid biofuels</v>
      </c>
      <c r="C115">
        <v>2011</v>
      </c>
      <c r="D115" s="8">
        <v>0</v>
      </c>
      <c r="E115" s="8">
        <v>0</v>
      </c>
      <c r="F115" s="8">
        <v>0</v>
      </c>
      <c r="G115" s="8">
        <v>0</v>
      </c>
      <c r="H115" s="8">
        <v>0</v>
      </c>
      <c r="I115" s="8">
        <v>7.2700000000000001E-2</v>
      </c>
      <c r="J115" s="8">
        <v>0.77529999999999999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6.9999999999999999E-4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3.6120000000000001</v>
      </c>
      <c r="AC115" s="8">
        <v>0</v>
      </c>
      <c r="AD115" s="8">
        <v>0</v>
      </c>
      <c r="AE115" s="8">
        <v>0</v>
      </c>
    </row>
    <row r="116" spans="1:31" x14ac:dyDescent="0.25">
      <c r="A116" t="str">
        <f t="shared" si="40"/>
        <v/>
      </c>
      <c r="B116" t="str">
        <f t="shared" si="41"/>
        <v>Other liquid biofuels</v>
      </c>
      <c r="C116">
        <v>2012</v>
      </c>
      <c r="D116" s="8">
        <v>0</v>
      </c>
      <c r="E116" s="8">
        <v>0</v>
      </c>
      <c r="F116" s="8">
        <v>0</v>
      </c>
      <c r="G116" s="8">
        <v>0</v>
      </c>
      <c r="H116" s="8">
        <v>0</v>
      </c>
      <c r="I116" s="8">
        <v>5.9999999999999995E-4</v>
      </c>
      <c r="J116" s="8">
        <v>0.93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1E-3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4.4542000000000002</v>
      </c>
      <c r="AC116" s="8">
        <v>0</v>
      </c>
      <c r="AD116" s="8">
        <v>0</v>
      </c>
      <c r="AE116" s="8">
        <v>0</v>
      </c>
    </row>
    <row r="117" spans="1:31" x14ac:dyDescent="0.25">
      <c r="A117" t="str">
        <f t="shared" si="40"/>
        <v/>
      </c>
      <c r="B117" t="str">
        <f t="shared" si="41"/>
        <v>Other liquid biofuels</v>
      </c>
      <c r="C117">
        <v>2013</v>
      </c>
      <c r="D117" s="8">
        <v>0</v>
      </c>
      <c r="E117" s="8">
        <v>1.18E-2</v>
      </c>
      <c r="F117" s="8">
        <v>0</v>
      </c>
      <c r="G117" s="8">
        <v>0</v>
      </c>
      <c r="H117" s="8">
        <v>0</v>
      </c>
      <c r="I117" s="8">
        <v>2.81E-2</v>
      </c>
      <c r="J117" s="8">
        <v>0.82040000000000002</v>
      </c>
      <c r="K117" s="8">
        <v>0</v>
      </c>
      <c r="L117" s="8">
        <v>2.9999999999999997E-4</v>
      </c>
      <c r="M117" s="8">
        <v>0</v>
      </c>
      <c r="N117" s="8">
        <v>0</v>
      </c>
      <c r="O117" s="8">
        <v>0</v>
      </c>
      <c r="P117" s="8">
        <v>0</v>
      </c>
      <c r="Q117" s="8">
        <v>8.0000000000000004E-4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0.2576</v>
      </c>
      <c r="Y117" s="8">
        <v>0</v>
      </c>
      <c r="Z117" s="8">
        <v>0</v>
      </c>
      <c r="AA117" s="8">
        <v>0</v>
      </c>
      <c r="AB117" s="8">
        <v>3.234</v>
      </c>
      <c r="AC117" s="8">
        <v>0</v>
      </c>
      <c r="AD117" s="8">
        <v>0</v>
      </c>
      <c r="AE117" s="8">
        <v>0</v>
      </c>
    </row>
    <row r="118" spans="1:31" x14ac:dyDescent="0.25">
      <c r="A118" t="str">
        <f t="shared" si="40"/>
        <v/>
      </c>
      <c r="B118" t="str">
        <f t="shared" si="41"/>
        <v>Other liquid biofuels</v>
      </c>
      <c r="C118">
        <v>2014</v>
      </c>
      <c r="D118" s="8">
        <v>0</v>
      </c>
      <c r="E118" s="8">
        <v>2.2800000000000001E-2</v>
      </c>
      <c r="F118" s="8">
        <v>0</v>
      </c>
      <c r="G118" s="8">
        <v>0</v>
      </c>
      <c r="H118" s="8">
        <v>0</v>
      </c>
      <c r="I118" s="8">
        <v>2.81E-2</v>
      </c>
      <c r="J118" s="8">
        <v>0.78400000000000003</v>
      </c>
      <c r="K118" s="8">
        <v>0</v>
      </c>
      <c r="L118" s="8">
        <v>7.4000000000000003E-3</v>
      </c>
      <c r="M118" s="8">
        <v>0</v>
      </c>
      <c r="N118" s="8">
        <v>0</v>
      </c>
      <c r="O118" s="8">
        <v>0</v>
      </c>
      <c r="P118" s="8">
        <v>0</v>
      </c>
      <c r="Q118" s="8">
        <v>1.2699999999999999E-2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0.1472</v>
      </c>
      <c r="Y118" s="8">
        <v>0</v>
      </c>
      <c r="Z118" s="8">
        <v>0</v>
      </c>
      <c r="AA118" s="8">
        <v>0</v>
      </c>
      <c r="AB118" s="8">
        <v>1.8480000000000001</v>
      </c>
      <c r="AC118" s="8">
        <v>0</v>
      </c>
      <c r="AD118" s="8">
        <v>0</v>
      </c>
      <c r="AE118" s="8">
        <v>0</v>
      </c>
    </row>
    <row r="119" spans="1:31" x14ac:dyDescent="0.25">
      <c r="A119" t="str">
        <f t="shared" si="40"/>
        <v/>
      </c>
      <c r="B119" t="str">
        <f t="shared" si="41"/>
        <v>Renewable energies</v>
      </c>
      <c r="C119" t="s">
        <v>182</v>
      </c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25">
      <c r="A120" t="str">
        <f t="shared" si="40"/>
        <v/>
      </c>
      <c r="B120" t="str">
        <f t="shared" si="41"/>
        <v>Renewable energies</v>
      </c>
      <c r="C120">
        <v>2010</v>
      </c>
      <c r="D120" s="8">
        <v>0</v>
      </c>
      <c r="E120" s="8">
        <v>24.819099999999999</v>
      </c>
      <c r="F120" s="8">
        <v>0.17599999999999999</v>
      </c>
      <c r="G120" s="8">
        <v>0.09</v>
      </c>
      <c r="H120" s="8">
        <v>1.1359999999999999</v>
      </c>
      <c r="I120" s="8">
        <v>29.615200000000002</v>
      </c>
      <c r="J120" s="8">
        <v>21.452999999999999</v>
      </c>
      <c r="K120" s="8">
        <v>3.8069999999999999</v>
      </c>
      <c r="L120" s="8">
        <v>24.087</v>
      </c>
      <c r="M120" s="8">
        <v>18.425999999999998</v>
      </c>
      <c r="N120" s="8">
        <v>0</v>
      </c>
      <c r="O120" s="8">
        <v>0.45800000000000002</v>
      </c>
      <c r="P120" s="8">
        <v>25.001000000000001</v>
      </c>
      <c r="Q120" s="8">
        <v>4.5849000000000002</v>
      </c>
      <c r="R120" s="8">
        <v>8.2270000000000003</v>
      </c>
      <c r="S120" s="8">
        <v>9.5000000000000001E-2</v>
      </c>
      <c r="T120" s="8">
        <v>6.1909999999999998</v>
      </c>
      <c r="U120" s="8">
        <v>0.51800000000000002</v>
      </c>
      <c r="V120" s="8">
        <v>0</v>
      </c>
      <c r="W120" s="8">
        <v>5.5229999999999997</v>
      </c>
      <c r="X120" s="8">
        <v>6.452</v>
      </c>
      <c r="Y120" s="8">
        <v>1.893</v>
      </c>
      <c r="Z120" s="8">
        <v>1.7789999999999999</v>
      </c>
      <c r="AA120" s="8">
        <v>8.4000000000000005E-2</v>
      </c>
      <c r="AB120" s="8">
        <v>52.1004</v>
      </c>
      <c r="AC120" s="8">
        <v>0.35199999999999998</v>
      </c>
      <c r="AD120" s="8">
        <v>3.0430000000000001</v>
      </c>
      <c r="AE120" s="8">
        <v>1.0069999999999999</v>
      </c>
    </row>
    <row r="121" spans="1:31" x14ac:dyDescent="0.25">
      <c r="A121" t="str">
        <f t="shared" si="40"/>
        <v/>
      </c>
      <c r="B121" t="str">
        <f t="shared" si="41"/>
        <v>Renewable energies</v>
      </c>
      <c r="C121">
        <v>2011</v>
      </c>
      <c r="D121" s="8">
        <v>0</v>
      </c>
      <c r="E121" s="8">
        <v>20.54</v>
      </c>
      <c r="F121" s="8">
        <v>0.11</v>
      </c>
      <c r="G121" s="8">
        <v>9.0999999999999998E-2</v>
      </c>
      <c r="H121" s="8">
        <v>1.4630000000000001</v>
      </c>
      <c r="I121" s="8">
        <v>30.529699999999998</v>
      </c>
      <c r="J121" s="8">
        <v>19.4453</v>
      </c>
      <c r="K121" s="8">
        <v>5.0030000000000001</v>
      </c>
      <c r="L121" s="8">
        <v>22.792999999999999</v>
      </c>
      <c r="M121" s="8">
        <v>15.849</v>
      </c>
      <c r="N121" s="8">
        <v>0</v>
      </c>
      <c r="O121" s="8">
        <v>0.81899999999999995</v>
      </c>
      <c r="P121" s="8">
        <v>25.542000000000002</v>
      </c>
      <c r="Q121" s="8">
        <v>4.8647</v>
      </c>
      <c r="R121" s="8">
        <v>7.6449999999999996</v>
      </c>
      <c r="S121" s="8">
        <v>0.10100000000000001</v>
      </c>
      <c r="T121" s="8">
        <v>5.4349999999999996</v>
      </c>
      <c r="U121" s="8">
        <v>0.4</v>
      </c>
      <c r="V121" s="8">
        <v>0</v>
      </c>
      <c r="W121" s="8">
        <v>5.3220000000000001</v>
      </c>
      <c r="X121" s="8">
        <v>6.3419999999999996</v>
      </c>
      <c r="Y121" s="8">
        <v>1.788</v>
      </c>
      <c r="Z121" s="8">
        <v>2.8839999999999999</v>
      </c>
      <c r="AA121" s="8">
        <v>0.09</v>
      </c>
      <c r="AB121" s="8">
        <v>49.485999999999997</v>
      </c>
      <c r="AC121" s="8">
        <v>0.41899999999999998</v>
      </c>
      <c r="AD121" s="8">
        <v>3.028</v>
      </c>
      <c r="AE121" s="8">
        <v>2.8039999999999998</v>
      </c>
    </row>
    <row r="122" spans="1:31" x14ac:dyDescent="0.25">
      <c r="A122" t="str">
        <f t="shared" si="40"/>
        <v/>
      </c>
      <c r="B122" t="str">
        <f t="shared" si="41"/>
        <v>Renewable energies</v>
      </c>
      <c r="C122">
        <v>2012</v>
      </c>
      <c r="D122" s="8">
        <v>0</v>
      </c>
      <c r="E122" s="8">
        <v>23.715</v>
      </c>
      <c r="F122" s="8">
        <v>0.29699999999999999</v>
      </c>
      <c r="G122" s="8">
        <v>0.125</v>
      </c>
      <c r="H122" s="8">
        <v>1.1779999999999999</v>
      </c>
      <c r="I122" s="8">
        <v>39.433599999999998</v>
      </c>
      <c r="J122" s="8">
        <v>21.308</v>
      </c>
      <c r="K122" s="8">
        <v>4.0279999999999996</v>
      </c>
      <c r="L122" s="8">
        <v>26.725000000000001</v>
      </c>
      <c r="M122" s="8">
        <v>19.372</v>
      </c>
      <c r="N122" s="8">
        <v>0</v>
      </c>
      <c r="O122" s="8">
        <v>1.2529999999999999</v>
      </c>
      <c r="P122" s="8">
        <v>26.100999999999999</v>
      </c>
      <c r="Q122" s="8">
        <v>5.2770000000000001</v>
      </c>
      <c r="R122" s="8">
        <v>9.3940000000000001</v>
      </c>
      <c r="S122" s="8">
        <v>0.10199999999999999</v>
      </c>
      <c r="T122" s="8">
        <v>5.9039999999999999</v>
      </c>
      <c r="U122" s="8">
        <v>0.23</v>
      </c>
      <c r="V122" s="8">
        <v>0</v>
      </c>
      <c r="W122" s="8">
        <v>2.3E-2</v>
      </c>
      <c r="X122" s="8">
        <v>7.3109999999999999</v>
      </c>
      <c r="Y122" s="8">
        <v>1.7</v>
      </c>
      <c r="Z122" s="8">
        <v>1.976</v>
      </c>
      <c r="AA122" s="8">
        <v>7.2999999999999995E-2</v>
      </c>
      <c r="AB122" s="8">
        <v>46.206200000000003</v>
      </c>
      <c r="AC122" s="8">
        <v>0.5</v>
      </c>
      <c r="AD122" s="8">
        <v>3.1970000000000001</v>
      </c>
      <c r="AE122" s="8">
        <v>3.5760000000000001</v>
      </c>
    </row>
    <row r="123" spans="1:31" x14ac:dyDescent="0.25">
      <c r="A123" t="str">
        <f t="shared" si="40"/>
        <v/>
      </c>
      <c r="B123" t="str">
        <f t="shared" si="41"/>
        <v>Renewable energies</v>
      </c>
      <c r="C123">
        <v>2013</v>
      </c>
      <c r="D123" s="8">
        <v>0</v>
      </c>
      <c r="E123" s="8">
        <v>24.815799999999999</v>
      </c>
      <c r="F123" s="8">
        <v>0.313</v>
      </c>
      <c r="G123" s="8">
        <v>5.2999999999999999E-2</v>
      </c>
      <c r="H123" s="8">
        <v>1.2869999999999999</v>
      </c>
      <c r="I123" s="8">
        <v>33.662100000000002</v>
      </c>
      <c r="J123" s="8">
        <v>21.110399999999998</v>
      </c>
      <c r="K123" s="8">
        <v>4.2539999999999996</v>
      </c>
      <c r="L123" s="8">
        <v>27.144300000000001</v>
      </c>
      <c r="M123" s="8">
        <v>22.908999999999999</v>
      </c>
      <c r="N123" s="8">
        <v>0</v>
      </c>
      <c r="O123" s="8">
        <v>2.4740000000000002</v>
      </c>
      <c r="P123" s="8">
        <v>24.843</v>
      </c>
      <c r="Q123" s="8">
        <v>5.3108000000000004</v>
      </c>
      <c r="R123" s="8">
        <v>8.8480000000000008</v>
      </c>
      <c r="S123" s="8">
        <v>0.11600000000000001</v>
      </c>
      <c r="T123" s="8">
        <v>5.9880000000000004</v>
      </c>
      <c r="U123" s="8">
        <v>0.26900000000000002</v>
      </c>
      <c r="V123" s="8">
        <v>0</v>
      </c>
      <c r="W123" s="8">
        <v>7.5999999999999998E-2</v>
      </c>
      <c r="X123" s="8">
        <v>7.8196000000000003</v>
      </c>
      <c r="Y123" s="8">
        <v>2.0099999999999998</v>
      </c>
      <c r="Z123" s="8">
        <v>1.728</v>
      </c>
      <c r="AA123" s="8">
        <v>7.9000000000000001E-2</v>
      </c>
      <c r="AB123" s="8">
        <v>42.128</v>
      </c>
      <c r="AC123" s="8">
        <v>0.46100000000000002</v>
      </c>
      <c r="AD123" s="8">
        <v>3.1949999999999998</v>
      </c>
      <c r="AE123" s="8">
        <v>1.4019999999999999</v>
      </c>
    </row>
    <row r="124" spans="1:31" x14ac:dyDescent="0.25">
      <c r="A124" t="str">
        <f t="shared" si="40"/>
        <v/>
      </c>
      <c r="B124" t="str">
        <f t="shared" si="41"/>
        <v>Renewable energies</v>
      </c>
      <c r="C124">
        <v>2014</v>
      </c>
      <c r="D124" s="8">
        <v>0</v>
      </c>
      <c r="E124" s="8">
        <v>25.396799999999999</v>
      </c>
      <c r="F124" s="8">
        <v>0.29199999999999998</v>
      </c>
      <c r="G124" s="8">
        <v>0.23699999999999999</v>
      </c>
      <c r="H124" s="8">
        <v>1.151</v>
      </c>
      <c r="I124" s="8">
        <v>35.612099999999998</v>
      </c>
      <c r="J124" s="8">
        <v>20.701000000000001</v>
      </c>
      <c r="K124" s="8">
        <v>3.27</v>
      </c>
      <c r="L124" s="8">
        <v>29.7014</v>
      </c>
      <c r="M124" s="8">
        <v>25.152999999999999</v>
      </c>
      <c r="N124" s="8">
        <v>0</v>
      </c>
      <c r="O124" s="8">
        <v>2.9</v>
      </c>
      <c r="P124" s="8">
        <v>30.009</v>
      </c>
      <c r="Q124" s="8">
        <v>5.0117000000000003</v>
      </c>
      <c r="R124" s="8">
        <v>12.769</v>
      </c>
      <c r="S124" s="8">
        <v>0.123</v>
      </c>
      <c r="T124" s="8">
        <v>5.8360000000000003</v>
      </c>
      <c r="U124" s="8">
        <v>0.35499999999999998</v>
      </c>
      <c r="V124" s="8">
        <v>0</v>
      </c>
      <c r="W124" s="8">
        <v>0.42199999999999999</v>
      </c>
      <c r="X124" s="8">
        <v>8.0402000000000005</v>
      </c>
      <c r="Y124" s="8">
        <v>1.742</v>
      </c>
      <c r="Z124" s="8">
        <v>2.0550000000000002</v>
      </c>
      <c r="AA124" s="8">
        <v>0.09</v>
      </c>
      <c r="AB124" s="8">
        <v>38.71</v>
      </c>
      <c r="AC124" s="8">
        <v>0.34899999999999998</v>
      </c>
      <c r="AD124" s="8">
        <v>2.4409999999999998</v>
      </c>
      <c r="AE124" s="8">
        <v>1.583</v>
      </c>
    </row>
    <row r="125" spans="1:31" x14ac:dyDescent="0.25">
      <c r="A125" t="str">
        <f t="shared" si="40"/>
        <v>ELCSOL</v>
      </c>
      <c r="B125" t="str">
        <f t="shared" si="41"/>
        <v>Solar thermal</v>
      </c>
      <c r="C125" t="s">
        <v>180</v>
      </c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25">
      <c r="A126" t="str">
        <f t="shared" si="40"/>
        <v>ELCSOL</v>
      </c>
      <c r="B126" t="str">
        <f t="shared" si="41"/>
        <v>Solar thermal</v>
      </c>
      <c r="C126">
        <v>2010</v>
      </c>
      <c r="D126" s="8">
        <v>0</v>
      </c>
      <c r="E126" s="8">
        <v>4.8000000000000001E-2</v>
      </c>
      <c r="F126" s="8">
        <v>0</v>
      </c>
      <c r="G126" s="8">
        <v>0</v>
      </c>
      <c r="H126" s="8">
        <v>0</v>
      </c>
      <c r="I126" s="8">
        <v>0</v>
      </c>
      <c r="J126" s="8">
        <v>0.14299999999999999</v>
      </c>
      <c r="K126" s="8">
        <v>0</v>
      </c>
      <c r="L126" s="8">
        <v>0</v>
      </c>
      <c r="M126" s="8">
        <v>0</v>
      </c>
      <c r="N126" s="8">
        <v>0</v>
      </c>
      <c r="O126" s="8">
        <v>5.0000000000000001E-3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1E-3</v>
      </c>
      <c r="AE126" s="8">
        <v>0</v>
      </c>
    </row>
    <row r="127" spans="1:31" x14ac:dyDescent="0.25">
      <c r="A127" t="str">
        <f t="shared" si="40"/>
        <v>ELCSOL</v>
      </c>
      <c r="B127" t="str">
        <f t="shared" si="41"/>
        <v>Solar thermal</v>
      </c>
      <c r="C127">
        <v>2011</v>
      </c>
      <c r="D127" s="8">
        <v>0</v>
      </c>
      <c r="E127" s="8">
        <v>5.7000000000000002E-2</v>
      </c>
      <c r="F127" s="8">
        <v>0</v>
      </c>
      <c r="G127" s="8">
        <v>0</v>
      </c>
      <c r="H127" s="8">
        <v>0</v>
      </c>
      <c r="I127" s="8">
        <v>0</v>
      </c>
      <c r="J127" s="8">
        <v>0.217</v>
      </c>
      <c r="K127" s="8">
        <v>0</v>
      </c>
      <c r="L127" s="8">
        <v>0</v>
      </c>
      <c r="M127" s="8">
        <v>0</v>
      </c>
      <c r="N127" s="8">
        <v>0</v>
      </c>
      <c r="O127" s="8">
        <v>5.0000000000000001E-3</v>
      </c>
      <c r="P127" s="8">
        <v>0</v>
      </c>
      <c r="Q127" s="8">
        <v>1E-3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2E-3</v>
      </c>
      <c r="AE127" s="8">
        <v>0</v>
      </c>
    </row>
    <row r="128" spans="1:31" x14ac:dyDescent="0.25">
      <c r="A128" t="str">
        <f t="shared" si="40"/>
        <v>ELCSOL</v>
      </c>
      <c r="B128" t="str">
        <f t="shared" si="41"/>
        <v>Solar thermal</v>
      </c>
      <c r="C128">
        <v>2012</v>
      </c>
      <c r="D128" s="8">
        <v>0</v>
      </c>
      <c r="E128" s="8">
        <v>6.3E-2</v>
      </c>
      <c r="F128" s="8">
        <v>0</v>
      </c>
      <c r="G128" s="8">
        <v>0</v>
      </c>
      <c r="H128" s="8">
        <v>0</v>
      </c>
      <c r="I128" s="8">
        <v>1.0999999999999999E-2</v>
      </c>
      <c r="J128" s="8">
        <v>0.34499999999999997</v>
      </c>
      <c r="K128" s="8">
        <v>0</v>
      </c>
      <c r="L128" s="8">
        <v>0</v>
      </c>
      <c r="M128" s="8">
        <v>0</v>
      </c>
      <c r="N128" s="8">
        <v>0</v>
      </c>
      <c r="O128" s="8">
        <v>5.0000000000000001E-3</v>
      </c>
      <c r="P128" s="8">
        <v>0</v>
      </c>
      <c r="Q128" s="8">
        <v>1E-3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2E-3</v>
      </c>
      <c r="AE128" s="8">
        <v>0</v>
      </c>
    </row>
    <row r="129" spans="1:31" x14ac:dyDescent="0.25">
      <c r="A129" t="str">
        <f t="shared" si="40"/>
        <v>ELCSOL</v>
      </c>
      <c r="B129" t="str">
        <f t="shared" si="41"/>
        <v>Solar thermal</v>
      </c>
      <c r="C129">
        <v>2013</v>
      </c>
      <c r="D129" s="8">
        <v>0</v>
      </c>
      <c r="E129" s="8">
        <v>6.3E-2</v>
      </c>
      <c r="F129" s="8">
        <v>0</v>
      </c>
      <c r="G129" s="8">
        <v>0</v>
      </c>
      <c r="H129" s="8">
        <v>0</v>
      </c>
      <c r="I129" s="8">
        <v>1E-3</v>
      </c>
      <c r="J129" s="8">
        <v>0.47499999999999998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2E-3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1E-3</v>
      </c>
      <c r="AE129" s="8">
        <v>0</v>
      </c>
    </row>
    <row r="130" spans="1:31" x14ac:dyDescent="0.25">
      <c r="A130" t="str">
        <f t="shared" si="40"/>
        <v>ELCSOL</v>
      </c>
      <c r="B130" t="str">
        <f t="shared" si="41"/>
        <v>Solar thermal</v>
      </c>
      <c r="C130">
        <v>2014</v>
      </c>
      <c r="D130" s="8">
        <v>0</v>
      </c>
      <c r="E130" s="8">
        <v>6.8000000000000005E-2</v>
      </c>
      <c r="F130" s="8">
        <v>0</v>
      </c>
      <c r="G130" s="8">
        <v>0</v>
      </c>
      <c r="H130" s="8">
        <v>0</v>
      </c>
      <c r="I130" s="8">
        <v>1.0999999999999999E-2</v>
      </c>
      <c r="J130" s="8">
        <v>0.66200000000000003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2E-3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1E-3</v>
      </c>
      <c r="AE130" s="8">
        <v>0</v>
      </c>
    </row>
    <row r="131" spans="1:31" x14ac:dyDescent="0.25">
      <c r="A131" t="str">
        <f t="shared" si="40"/>
        <v/>
      </c>
      <c r="B131" t="str">
        <f t="shared" si="41"/>
        <v>Solid biofuels (excluding charcoal)</v>
      </c>
      <c r="C131" t="s">
        <v>188</v>
      </c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25">
      <c r="A132" t="str">
        <f t="shared" si="40"/>
        <v/>
      </c>
      <c r="B132" t="str">
        <f t="shared" si="41"/>
        <v>Solid biofuels (excluding charcoal)</v>
      </c>
      <c r="C132">
        <v>2010</v>
      </c>
      <c r="D132" s="8">
        <v>0</v>
      </c>
      <c r="E132" s="8">
        <v>22.904</v>
      </c>
      <c r="F132" s="8">
        <v>0</v>
      </c>
      <c r="G132" s="8">
        <v>0.09</v>
      </c>
      <c r="H132" s="8">
        <v>1.1359999999999999</v>
      </c>
      <c r="I132" s="8">
        <v>11.003</v>
      </c>
      <c r="J132" s="8">
        <v>17.135000000000002</v>
      </c>
      <c r="K132" s="8">
        <v>3.8029999999999999</v>
      </c>
      <c r="L132" s="8">
        <v>23.091000000000001</v>
      </c>
      <c r="M132" s="8">
        <v>4.9710000000000001</v>
      </c>
      <c r="N132" s="8">
        <v>0</v>
      </c>
      <c r="O132" s="8">
        <v>0.19500000000000001</v>
      </c>
      <c r="P132" s="8">
        <v>0</v>
      </c>
      <c r="Q132" s="8">
        <v>3.391</v>
      </c>
      <c r="R132" s="8">
        <v>8.0370000000000008</v>
      </c>
      <c r="S132" s="8">
        <v>9.5000000000000001E-2</v>
      </c>
      <c r="T132" s="8">
        <v>6.1909999999999998</v>
      </c>
      <c r="U132" s="8">
        <v>0.51800000000000002</v>
      </c>
      <c r="V132" s="8">
        <v>0</v>
      </c>
      <c r="W132" s="8">
        <v>0</v>
      </c>
      <c r="X132" s="8">
        <v>4.7549999999999999</v>
      </c>
      <c r="Y132" s="8">
        <v>1.8779999999999999</v>
      </c>
      <c r="Z132" s="8">
        <v>1.748</v>
      </c>
      <c r="AA132" s="8">
        <v>8.4000000000000005E-2</v>
      </c>
      <c r="AB132" s="8">
        <v>39.549999999999997</v>
      </c>
      <c r="AC132" s="8">
        <v>0.26900000000000002</v>
      </c>
      <c r="AD132" s="8">
        <v>2.6669999999999998</v>
      </c>
      <c r="AE132" s="8">
        <v>6.5000000000000002E-2</v>
      </c>
    </row>
    <row r="133" spans="1:31" x14ac:dyDescent="0.25">
      <c r="A133" t="str">
        <f t="shared" si="40"/>
        <v/>
      </c>
      <c r="B133" t="str">
        <f t="shared" si="41"/>
        <v>Solid biofuels (excluding charcoal)</v>
      </c>
      <c r="C133">
        <v>2011</v>
      </c>
      <c r="D133" s="8">
        <v>0</v>
      </c>
      <c r="E133" s="8">
        <v>18.587</v>
      </c>
      <c r="F133" s="8">
        <v>0</v>
      </c>
      <c r="G133" s="8">
        <v>9.0999999999999998E-2</v>
      </c>
      <c r="H133" s="8">
        <v>1.4630000000000001</v>
      </c>
      <c r="I133" s="8">
        <v>9.2360000000000007</v>
      </c>
      <c r="J133" s="8">
        <v>16.181000000000001</v>
      </c>
      <c r="K133" s="8">
        <v>5.0030000000000001</v>
      </c>
      <c r="L133" s="8">
        <v>21.989000000000001</v>
      </c>
      <c r="M133" s="8">
        <v>6.09</v>
      </c>
      <c r="N133" s="8">
        <v>0</v>
      </c>
      <c r="O133" s="8">
        <v>0.50900000000000001</v>
      </c>
      <c r="P133" s="8">
        <v>0</v>
      </c>
      <c r="Q133" s="8">
        <v>3.6720000000000002</v>
      </c>
      <c r="R133" s="8">
        <v>7.51</v>
      </c>
      <c r="S133" s="8">
        <v>0.10100000000000001</v>
      </c>
      <c r="T133" s="8">
        <v>5.4349999999999996</v>
      </c>
      <c r="U133" s="8">
        <v>0.4</v>
      </c>
      <c r="V133" s="8">
        <v>0</v>
      </c>
      <c r="W133" s="8">
        <v>0</v>
      </c>
      <c r="X133" s="8">
        <v>4.46</v>
      </c>
      <c r="Y133" s="8">
        <v>1.772</v>
      </c>
      <c r="Z133" s="8">
        <v>2.823</v>
      </c>
      <c r="AA133" s="8">
        <v>0.09</v>
      </c>
      <c r="AB133" s="8">
        <v>43.01</v>
      </c>
      <c r="AC133" s="8">
        <v>0.34699999999999998</v>
      </c>
      <c r="AD133" s="8">
        <v>2.71</v>
      </c>
      <c r="AE133" s="8">
        <v>1.6160000000000001</v>
      </c>
    </row>
    <row r="134" spans="1:31" x14ac:dyDescent="0.25">
      <c r="A134" t="str">
        <f t="shared" si="40"/>
        <v/>
      </c>
      <c r="B134" t="str">
        <f t="shared" si="41"/>
        <v>Solid biofuels (excluding charcoal)</v>
      </c>
      <c r="C134">
        <v>2012</v>
      </c>
      <c r="D134" s="8">
        <v>0</v>
      </c>
      <c r="E134" s="8">
        <v>21.555</v>
      </c>
      <c r="F134" s="8">
        <v>0</v>
      </c>
      <c r="G134" s="8">
        <v>0.125</v>
      </c>
      <c r="H134" s="8">
        <v>1.1779999999999999</v>
      </c>
      <c r="I134" s="8">
        <v>15.765000000000001</v>
      </c>
      <c r="J134" s="8">
        <v>17.815999999999999</v>
      </c>
      <c r="K134" s="8">
        <v>4.0279999999999996</v>
      </c>
      <c r="L134" s="8">
        <v>25.831</v>
      </c>
      <c r="M134" s="8">
        <v>7.7249999999999996</v>
      </c>
      <c r="N134" s="8">
        <v>0</v>
      </c>
      <c r="O134" s="8">
        <v>0.81</v>
      </c>
      <c r="P134" s="8">
        <v>0</v>
      </c>
      <c r="Q134" s="8">
        <v>3.96</v>
      </c>
      <c r="R134" s="8">
        <v>9.2360000000000007</v>
      </c>
      <c r="S134" s="8">
        <v>0.10199999999999999</v>
      </c>
      <c r="T134" s="8">
        <v>5.9039999999999999</v>
      </c>
      <c r="U134" s="8">
        <v>0.23</v>
      </c>
      <c r="V134" s="8">
        <v>0</v>
      </c>
      <c r="W134" s="8">
        <v>2.3E-2</v>
      </c>
      <c r="X134" s="8">
        <v>5.21</v>
      </c>
      <c r="Y134" s="8">
        <v>1.6850000000000001</v>
      </c>
      <c r="Z134" s="8">
        <v>1.9319999999999999</v>
      </c>
      <c r="AA134" s="8">
        <v>7.2999999999999995E-2</v>
      </c>
      <c r="AB134" s="8">
        <v>39.107999999999997</v>
      </c>
      <c r="AC134" s="8">
        <v>0.41599999999999998</v>
      </c>
      <c r="AD134" s="8">
        <v>2.9529999999999998</v>
      </c>
      <c r="AE134" s="8">
        <v>2.1930000000000001</v>
      </c>
    </row>
    <row r="135" spans="1:31" x14ac:dyDescent="0.25">
      <c r="A135" t="str">
        <f t="shared" si="40"/>
        <v/>
      </c>
      <c r="B135" t="str">
        <f t="shared" si="41"/>
        <v>Solid biofuels (excluding charcoal)</v>
      </c>
      <c r="C135">
        <v>2013</v>
      </c>
      <c r="D135" s="8">
        <v>0</v>
      </c>
      <c r="E135" s="8">
        <v>22.640999999999998</v>
      </c>
      <c r="F135" s="8">
        <v>0</v>
      </c>
      <c r="G135" s="8">
        <v>5.2999999999999999E-2</v>
      </c>
      <c r="H135" s="8">
        <v>1.2869999999999999</v>
      </c>
      <c r="I135" s="8">
        <v>11.170999999999999</v>
      </c>
      <c r="J135" s="8">
        <v>17.754999999999999</v>
      </c>
      <c r="K135" s="8">
        <v>4.2539999999999996</v>
      </c>
      <c r="L135" s="8">
        <v>26.443000000000001</v>
      </c>
      <c r="M135" s="8">
        <v>10.353</v>
      </c>
      <c r="N135" s="8">
        <v>0</v>
      </c>
      <c r="O135" s="8">
        <v>1.859</v>
      </c>
      <c r="P135" s="8">
        <v>0</v>
      </c>
      <c r="Q135" s="8">
        <v>3.9929999999999999</v>
      </c>
      <c r="R135" s="8">
        <v>8.7780000000000005</v>
      </c>
      <c r="S135" s="8">
        <v>0.11600000000000001</v>
      </c>
      <c r="T135" s="8">
        <v>5.9880000000000004</v>
      </c>
      <c r="U135" s="8">
        <v>0.26900000000000002</v>
      </c>
      <c r="V135" s="8">
        <v>0</v>
      </c>
      <c r="W135" s="8">
        <v>7.5999999999999998E-2</v>
      </c>
      <c r="X135" s="8">
        <v>5.3940000000000001</v>
      </c>
      <c r="Y135" s="8">
        <v>1.9950000000000001</v>
      </c>
      <c r="Z135" s="8">
        <v>1.694</v>
      </c>
      <c r="AA135" s="8">
        <v>7.9000000000000001E-2</v>
      </c>
      <c r="AB135" s="8">
        <v>36.298000000000002</v>
      </c>
      <c r="AC135" s="8">
        <v>0.38300000000000001</v>
      </c>
      <c r="AD135" s="8">
        <v>2.9460000000000002</v>
      </c>
      <c r="AE135" s="8">
        <v>0.29399999999999998</v>
      </c>
    </row>
    <row r="136" spans="1:31" x14ac:dyDescent="0.25">
      <c r="A136" t="str">
        <f t="shared" si="40"/>
        <v/>
      </c>
      <c r="B136" t="str">
        <f t="shared" si="41"/>
        <v>Solid biofuels (excluding charcoal)</v>
      </c>
      <c r="C136">
        <v>2014</v>
      </c>
      <c r="D136" s="8">
        <v>0</v>
      </c>
      <c r="E136" s="8">
        <v>23.314</v>
      </c>
      <c r="F136" s="8">
        <v>0</v>
      </c>
      <c r="G136" s="8">
        <v>0.23699999999999999</v>
      </c>
      <c r="H136" s="8">
        <v>1.151</v>
      </c>
      <c r="I136" s="8">
        <v>13.67</v>
      </c>
      <c r="J136" s="8">
        <v>17.119</v>
      </c>
      <c r="K136" s="8">
        <v>3.27</v>
      </c>
      <c r="L136" s="8">
        <v>28.608000000000001</v>
      </c>
      <c r="M136" s="8">
        <v>12.474</v>
      </c>
      <c r="N136" s="8">
        <v>0</v>
      </c>
      <c r="O136" s="8">
        <v>1.55</v>
      </c>
      <c r="P136" s="8">
        <v>0</v>
      </c>
      <c r="Q136" s="8">
        <v>3.452</v>
      </c>
      <c r="R136" s="8">
        <v>12.691000000000001</v>
      </c>
      <c r="S136" s="8">
        <v>0.123</v>
      </c>
      <c r="T136" s="8">
        <v>5.8360000000000003</v>
      </c>
      <c r="U136" s="8">
        <v>0.35499999999999998</v>
      </c>
      <c r="V136" s="8">
        <v>0</v>
      </c>
      <c r="W136" s="8">
        <v>0.42199999999999999</v>
      </c>
      <c r="X136" s="8">
        <v>5.08</v>
      </c>
      <c r="Y136" s="8">
        <v>1.712</v>
      </c>
      <c r="Z136" s="8">
        <v>1.675</v>
      </c>
      <c r="AA136" s="8">
        <v>0.09</v>
      </c>
      <c r="AB136" s="8">
        <v>34.628</v>
      </c>
      <c r="AC136" s="8">
        <v>0.28699999999999998</v>
      </c>
      <c r="AD136" s="8">
        <v>2.2000000000000002</v>
      </c>
      <c r="AE136" s="8">
        <v>0.22800000000000001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3:AM135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ColWidth="9" defaultRowHeight="15" x14ac:dyDescent="0.25"/>
  <cols>
    <col min="1" max="1" width="37.7109375" customWidth="1"/>
    <col min="2" max="2" width="16.28515625" customWidth="1"/>
    <col min="3" max="3" width="5.5703125" customWidth="1"/>
    <col min="4" max="4" width="4.5703125" customWidth="1"/>
    <col min="5" max="5" width="5.5703125" customWidth="1"/>
    <col min="6" max="6" width="4.5703125" customWidth="1"/>
    <col min="7" max="7" width="5.5703125" customWidth="1"/>
    <col min="8" max="8" width="6.5703125" customWidth="1"/>
    <col min="9" max="10" width="5.5703125" customWidth="1"/>
    <col min="11" max="12" width="4.5703125" customWidth="1"/>
    <col min="13" max="14" width="5.5703125" customWidth="1"/>
    <col min="15" max="15" width="4.5703125" customWidth="1"/>
    <col min="16" max="16" width="5.5703125" customWidth="1"/>
    <col min="17" max="17" width="4.5703125" customWidth="1"/>
    <col min="18" max="18" width="5.5703125" customWidth="1"/>
    <col min="19" max="19" width="4.5703125" customWidth="1"/>
    <col min="20" max="20" width="5.5703125" customWidth="1"/>
    <col min="21" max="21" width="4.5703125" customWidth="1"/>
    <col min="22" max="22" width="5.5703125" customWidth="1"/>
    <col min="23" max="26" width="4.5703125" customWidth="1"/>
    <col min="27" max="28" width="5.5703125" customWidth="1"/>
    <col min="29" max="29" width="6.5703125" customWidth="1"/>
    <col min="30" max="30" width="4.5703125" customWidth="1"/>
    <col min="31" max="33" width="5.5703125" customWidth="1"/>
    <col min="34" max="34" width="4.5703125" customWidth="1"/>
    <col min="35" max="35" width="5.5703125" customWidth="1"/>
    <col min="36" max="36" width="4.5703125" customWidth="1"/>
    <col min="37" max="38" width="6.5703125" customWidth="1"/>
    <col min="39" max="39" width="4.5703125" customWidth="1"/>
    <col min="40" max="40" width="11.28515625" bestFit="1" customWidth="1"/>
  </cols>
  <sheetData>
    <row r="3" spans="1:39" x14ac:dyDescent="0.25">
      <c r="A3" t="s">
        <v>159</v>
      </c>
      <c r="B3" t="s">
        <v>118</v>
      </c>
    </row>
    <row r="4" spans="1:39" x14ac:dyDescent="0.25">
      <c r="A4" t="s">
        <v>120</v>
      </c>
      <c r="B4" t="s">
        <v>121</v>
      </c>
      <c r="C4" t="s">
        <v>122</v>
      </c>
      <c r="D4" t="s">
        <v>123</v>
      </c>
      <c r="E4" t="s">
        <v>124</v>
      </c>
      <c r="F4" t="s">
        <v>160</v>
      </c>
      <c r="G4" t="s">
        <v>125</v>
      </c>
      <c r="H4" t="s">
        <v>126</v>
      </c>
      <c r="I4" t="s">
        <v>127</v>
      </c>
      <c r="J4" t="s">
        <v>128</v>
      </c>
      <c r="K4" t="s">
        <v>161</v>
      </c>
      <c r="L4" t="s">
        <v>162</v>
      </c>
      <c r="M4" t="s">
        <v>129</v>
      </c>
      <c r="N4" t="s">
        <v>130</v>
      </c>
      <c r="O4" t="s">
        <v>131</v>
      </c>
      <c r="P4" t="s">
        <v>132</v>
      </c>
      <c r="Q4" t="s">
        <v>163</v>
      </c>
      <c r="R4" t="s">
        <v>133</v>
      </c>
      <c r="S4" t="s">
        <v>134</v>
      </c>
      <c r="T4" t="s">
        <v>135</v>
      </c>
      <c r="U4" t="s">
        <v>136</v>
      </c>
      <c r="V4" t="s">
        <v>137</v>
      </c>
      <c r="W4" t="s">
        <v>138</v>
      </c>
      <c r="X4" t="s">
        <v>164</v>
      </c>
      <c r="Y4" t="s">
        <v>139</v>
      </c>
      <c r="Z4" t="s">
        <v>165</v>
      </c>
      <c r="AA4" t="s">
        <v>140</v>
      </c>
      <c r="AB4" t="s">
        <v>141</v>
      </c>
      <c r="AC4" t="s">
        <v>142</v>
      </c>
      <c r="AD4" t="s">
        <v>166</v>
      </c>
      <c r="AE4" t="s">
        <v>143</v>
      </c>
      <c r="AF4" t="s">
        <v>144</v>
      </c>
      <c r="AG4" t="s">
        <v>145</v>
      </c>
      <c r="AH4" t="s">
        <v>146</v>
      </c>
      <c r="AI4" t="s">
        <v>147</v>
      </c>
      <c r="AJ4" t="s">
        <v>167</v>
      </c>
      <c r="AK4" t="s">
        <v>168</v>
      </c>
      <c r="AL4" t="s">
        <v>148</v>
      </c>
      <c r="AM4" t="s">
        <v>149</v>
      </c>
    </row>
    <row r="5" spans="1:39" x14ac:dyDescent="0.25">
      <c r="A5" s="12" t="s">
        <v>169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13" t="s">
        <v>170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spans="1:39" x14ac:dyDescent="0.25">
      <c r="A7" s="14" t="s">
        <v>172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 spans="1:39" x14ac:dyDescent="0.25">
      <c r="A8" s="15">
        <v>2010</v>
      </c>
      <c r="B8" s="6">
        <v>0</v>
      </c>
      <c r="C8" s="6">
        <v>38.201000000000001</v>
      </c>
      <c r="D8" s="6">
        <v>0.25600000000000001</v>
      </c>
      <c r="E8" s="6">
        <v>12.736000000000001</v>
      </c>
      <c r="F8" s="6">
        <v>0</v>
      </c>
      <c r="G8" s="6">
        <v>32.942999999999998</v>
      </c>
      <c r="H8" s="6">
        <v>199.047</v>
      </c>
      <c r="I8" s="6">
        <v>36.387999999999998</v>
      </c>
      <c r="J8" s="6">
        <v>18.689</v>
      </c>
      <c r="K8" s="6">
        <v>0</v>
      </c>
      <c r="L8" s="6">
        <v>0</v>
      </c>
      <c r="M8" s="6">
        <v>65.783000000000001</v>
      </c>
      <c r="N8" s="6">
        <v>25.335000000000001</v>
      </c>
      <c r="O8" s="6">
        <v>4.0750000000000002</v>
      </c>
      <c r="P8" s="6">
        <v>19.553000000000001</v>
      </c>
      <c r="Q8" s="6">
        <v>0</v>
      </c>
      <c r="R8" s="6">
        <v>25.689</v>
      </c>
      <c r="S8" s="6">
        <v>4.585</v>
      </c>
      <c r="T8" s="6">
        <v>20.780999999999999</v>
      </c>
      <c r="U8" s="6">
        <v>0.16400000000000001</v>
      </c>
      <c r="V8" s="6">
        <v>14.885999999999999</v>
      </c>
      <c r="W8" s="6">
        <v>4.6689999999999996</v>
      </c>
      <c r="X8" s="6">
        <v>0</v>
      </c>
      <c r="Y8" s="6">
        <v>3.2320000000000002</v>
      </c>
      <c r="Z8" s="6">
        <v>0</v>
      </c>
      <c r="AA8" s="6">
        <v>30.779</v>
      </c>
      <c r="AB8" s="6">
        <v>15.035</v>
      </c>
      <c r="AC8" s="6">
        <v>154.875</v>
      </c>
      <c r="AD8" s="6">
        <v>0</v>
      </c>
      <c r="AE8" s="6">
        <v>28.835000000000001</v>
      </c>
      <c r="AF8" s="6">
        <v>31.815999999999999</v>
      </c>
      <c r="AG8" s="6">
        <v>72.656999999999996</v>
      </c>
      <c r="AH8" s="6">
        <v>2.3969999999999998</v>
      </c>
      <c r="AI8" s="6">
        <v>20.829000000000001</v>
      </c>
      <c r="AJ8" s="6">
        <v>0</v>
      </c>
      <c r="AK8" s="6">
        <v>442.26600000000002</v>
      </c>
      <c r="AL8" s="6">
        <v>95.495000000000005</v>
      </c>
      <c r="AM8" s="6">
        <v>0.28000000000000003</v>
      </c>
    </row>
    <row r="9" spans="1:39" x14ac:dyDescent="0.25">
      <c r="A9" s="15">
        <v>2011</v>
      </c>
      <c r="B9" s="6">
        <v>0</v>
      </c>
      <c r="C9" s="6">
        <v>34.340000000000003</v>
      </c>
      <c r="D9" s="6">
        <v>0.89300000000000002</v>
      </c>
      <c r="E9" s="6">
        <v>11.491</v>
      </c>
      <c r="F9" s="6">
        <v>0</v>
      </c>
      <c r="G9" s="6">
        <v>28.161000000000001</v>
      </c>
      <c r="H9" s="6">
        <v>189.108</v>
      </c>
      <c r="I9" s="6">
        <v>31.678999999999998</v>
      </c>
      <c r="J9" s="6">
        <v>17.245000000000001</v>
      </c>
      <c r="K9" s="6">
        <v>0</v>
      </c>
      <c r="L9" s="6">
        <v>0</v>
      </c>
      <c r="M9" s="6">
        <v>57.814</v>
      </c>
      <c r="N9" s="6">
        <v>19.488</v>
      </c>
      <c r="O9" s="6">
        <v>3.7570000000000001</v>
      </c>
      <c r="P9" s="6">
        <v>22.873000000000001</v>
      </c>
      <c r="Q9" s="6">
        <v>0</v>
      </c>
      <c r="R9" s="6">
        <v>26.248000000000001</v>
      </c>
      <c r="S9" s="6">
        <v>4.8650000000000002</v>
      </c>
      <c r="T9" s="6">
        <v>18.311</v>
      </c>
      <c r="U9" s="6">
        <v>0.19700000000000001</v>
      </c>
      <c r="V9" s="6">
        <v>12.881</v>
      </c>
      <c r="W9" s="6">
        <v>4.319</v>
      </c>
      <c r="X9" s="6">
        <v>0</v>
      </c>
      <c r="Y9" s="6">
        <v>2.3879999999999999</v>
      </c>
      <c r="Z9" s="6">
        <v>0</v>
      </c>
      <c r="AA9" s="6">
        <v>29.035</v>
      </c>
      <c r="AB9" s="6">
        <v>15.913</v>
      </c>
      <c r="AC9" s="6">
        <v>126.34</v>
      </c>
      <c r="AD9" s="6">
        <v>0</v>
      </c>
      <c r="AE9" s="6">
        <v>25.617000000000001</v>
      </c>
      <c r="AF9" s="6">
        <v>33.64</v>
      </c>
      <c r="AG9" s="6">
        <v>63.198999999999998</v>
      </c>
      <c r="AH9" s="6">
        <v>2.6520000000000001</v>
      </c>
      <c r="AI9" s="6">
        <v>17.818999999999999</v>
      </c>
      <c r="AJ9" s="6">
        <v>0</v>
      </c>
      <c r="AK9" s="6">
        <v>438.226</v>
      </c>
      <c r="AL9" s="6">
        <v>97.233999999999995</v>
      </c>
      <c r="AM9" s="6">
        <v>0.2</v>
      </c>
    </row>
    <row r="10" spans="1:39" x14ac:dyDescent="0.25">
      <c r="A10" s="15">
        <v>2012</v>
      </c>
      <c r="B10" s="6">
        <v>0</v>
      </c>
      <c r="C10" s="6">
        <v>39.311999999999998</v>
      </c>
      <c r="D10" s="6">
        <v>0.61</v>
      </c>
      <c r="E10" s="6">
        <v>8.8710000000000004</v>
      </c>
      <c r="F10" s="6">
        <v>0</v>
      </c>
      <c r="G10" s="6">
        <v>32.470999999999997</v>
      </c>
      <c r="H10" s="6">
        <v>197.59899999999999</v>
      </c>
      <c r="I10" s="6">
        <v>37.871000000000002</v>
      </c>
      <c r="J10" s="6">
        <v>18.713999999999999</v>
      </c>
      <c r="K10" s="6">
        <v>0</v>
      </c>
      <c r="L10" s="6">
        <v>0</v>
      </c>
      <c r="M10" s="6">
        <v>67.665000000000006</v>
      </c>
      <c r="N10" s="6">
        <v>66.403999999999996</v>
      </c>
      <c r="O10" s="6">
        <v>3.2930000000000001</v>
      </c>
      <c r="P10" s="6">
        <v>27.358000000000001</v>
      </c>
      <c r="Q10" s="6">
        <v>0</v>
      </c>
      <c r="R10" s="6">
        <v>26.798999999999999</v>
      </c>
      <c r="S10" s="6">
        <v>5.2770000000000001</v>
      </c>
      <c r="T10" s="6">
        <v>19.998999999999999</v>
      </c>
      <c r="U10" s="6">
        <v>0.17799999999999999</v>
      </c>
      <c r="V10" s="6">
        <v>12.609</v>
      </c>
      <c r="W10" s="6">
        <v>4.0049999999999999</v>
      </c>
      <c r="X10" s="6">
        <v>0</v>
      </c>
      <c r="Y10" s="6">
        <v>1.728</v>
      </c>
      <c r="Z10" s="6">
        <v>0</v>
      </c>
      <c r="AA10" s="6">
        <v>19.73</v>
      </c>
      <c r="AB10" s="6">
        <v>14.606999999999999</v>
      </c>
      <c r="AC10" s="6">
        <v>135.21899999999999</v>
      </c>
      <c r="AD10" s="6">
        <v>0</v>
      </c>
      <c r="AE10" s="6">
        <v>19.224</v>
      </c>
      <c r="AF10" s="6">
        <v>30.126000000000001</v>
      </c>
      <c r="AG10" s="6">
        <v>60.052999999999997</v>
      </c>
      <c r="AH10" s="6">
        <v>2.61</v>
      </c>
      <c r="AI10" s="6">
        <v>17.405999999999999</v>
      </c>
      <c r="AJ10" s="6">
        <v>0</v>
      </c>
      <c r="AK10" s="6">
        <v>407.75299999999999</v>
      </c>
      <c r="AL10" s="6">
        <v>102.86199999999999</v>
      </c>
      <c r="AM10" s="6">
        <v>0.24</v>
      </c>
    </row>
    <row r="11" spans="1:39" x14ac:dyDescent="0.25">
      <c r="A11" s="15">
        <v>2013</v>
      </c>
      <c r="B11" s="6">
        <v>0</v>
      </c>
      <c r="C11" s="6">
        <v>42.533999999999999</v>
      </c>
      <c r="D11" s="6">
        <v>0.58099999999999996</v>
      </c>
      <c r="E11" s="6">
        <v>6.5490000000000004</v>
      </c>
      <c r="F11" s="6">
        <v>0</v>
      </c>
      <c r="G11" s="6">
        <v>30.940999999999999</v>
      </c>
      <c r="H11" s="6">
        <v>179.99199999999999</v>
      </c>
      <c r="I11" s="6">
        <v>37.561999999999998</v>
      </c>
      <c r="J11" s="6">
        <v>15.807</v>
      </c>
      <c r="K11" s="6">
        <v>0</v>
      </c>
      <c r="L11" s="6">
        <v>0</v>
      </c>
      <c r="M11" s="6">
        <v>59.073999999999998</v>
      </c>
      <c r="N11" s="6">
        <v>74.899000000000001</v>
      </c>
      <c r="O11" s="6">
        <v>3.2909999999999999</v>
      </c>
      <c r="P11" s="6">
        <v>27.99</v>
      </c>
      <c r="Q11" s="6">
        <v>0</v>
      </c>
      <c r="R11" s="6">
        <v>25.541</v>
      </c>
      <c r="S11" s="6">
        <v>5.3109999999999999</v>
      </c>
      <c r="T11" s="6">
        <v>17.722999999999999</v>
      </c>
      <c r="U11" s="6">
        <v>0.23200000000000001</v>
      </c>
      <c r="V11" s="6">
        <v>10.647</v>
      </c>
      <c r="W11" s="6">
        <v>4.1420000000000003</v>
      </c>
      <c r="X11" s="6">
        <v>0</v>
      </c>
      <c r="Y11" s="6">
        <v>1.2509999999999999</v>
      </c>
      <c r="Z11" s="6">
        <v>0</v>
      </c>
      <c r="AA11" s="6">
        <v>20.890999999999998</v>
      </c>
      <c r="AB11" s="6">
        <v>14.878</v>
      </c>
      <c r="AC11" s="6">
        <v>130.13399999999999</v>
      </c>
      <c r="AD11" s="6">
        <v>0</v>
      </c>
      <c r="AE11" s="6">
        <v>23.975999999999999</v>
      </c>
      <c r="AF11" s="6">
        <v>30.683</v>
      </c>
      <c r="AG11" s="6">
        <v>54.018000000000001</v>
      </c>
      <c r="AH11" s="6">
        <v>2.3879999999999999</v>
      </c>
      <c r="AI11" s="6">
        <v>15.202999999999999</v>
      </c>
      <c r="AJ11" s="6">
        <v>0</v>
      </c>
      <c r="AK11" s="6">
        <v>403.30200000000002</v>
      </c>
      <c r="AL11" s="6">
        <v>102.69199999999999</v>
      </c>
      <c r="AM11" s="6">
        <v>0.24</v>
      </c>
    </row>
    <row r="12" spans="1:39" x14ac:dyDescent="0.25">
      <c r="A12" s="15">
        <v>2014</v>
      </c>
      <c r="B12" s="6">
        <v>0.57699999999999996</v>
      </c>
      <c r="C12" s="6">
        <v>42.393999999999998</v>
      </c>
      <c r="D12" s="6">
        <v>0.63500000000000001</v>
      </c>
      <c r="E12" s="6">
        <v>7.9240000000000004</v>
      </c>
      <c r="F12" s="6">
        <v>0</v>
      </c>
      <c r="G12" s="6">
        <v>25.904</v>
      </c>
      <c r="H12" s="6">
        <v>162.59399999999999</v>
      </c>
      <c r="I12" s="6">
        <v>38.625999999999998</v>
      </c>
      <c r="J12" s="6">
        <v>13.286</v>
      </c>
      <c r="K12" s="6">
        <v>0</v>
      </c>
      <c r="L12" s="6">
        <v>0</v>
      </c>
      <c r="M12" s="6">
        <v>62.09</v>
      </c>
      <c r="N12" s="6">
        <v>65.05</v>
      </c>
      <c r="O12" s="6">
        <v>2.726</v>
      </c>
      <c r="P12" s="6">
        <v>23.539000000000001</v>
      </c>
      <c r="Q12" s="6">
        <v>0</v>
      </c>
      <c r="R12" s="6">
        <v>30.722000000000001</v>
      </c>
      <c r="S12" s="6">
        <v>5.0119999999999996</v>
      </c>
      <c r="T12" s="6">
        <v>19.515000000000001</v>
      </c>
      <c r="U12" s="6">
        <v>0.20300000000000001</v>
      </c>
      <c r="V12" s="6">
        <v>9.2040000000000006</v>
      </c>
      <c r="W12" s="6">
        <v>3.7090000000000001</v>
      </c>
      <c r="X12" s="6">
        <v>0</v>
      </c>
      <c r="Y12" s="6">
        <v>1.6879999999999999</v>
      </c>
      <c r="Z12" s="6">
        <v>0</v>
      </c>
      <c r="AA12" s="6">
        <v>28.091000000000001</v>
      </c>
      <c r="AB12" s="6">
        <v>14.672000000000001</v>
      </c>
      <c r="AC12" s="6">
        <v>118.04900000000001</v>
      </c>
      <c r="AD12" s="6">
        <v>0</v>
      </c>
      <c r="AE12" s="6">
        <v>21.12</v>
      </c>
      <c r="AF12" s="6">
        <v>26.260999999999999</v>
      </c>
      <c r="AG12" s="6">
        <v>50.271000000000001</v>
      </c>
      <c r="AH12" s="6">
        <v>2.04</v>
      </c>
      <c r="AI12" s="6">
        <v>12.318</v>
      </c>
      <c r="AJ12" s="6">
        <v>0</v>
      </c>
      <c r="AK12" s="6">
        <v>283.34399999999999</v>
      </c>
      <c r="AL12" s="6">
        <v>105.17700000000001</v>
      </c>
      <c r="AM12" s="6">
        <v>0.12</v>
      </c>
    </row>
    <row r="13" spans="1:39" x14ac:dyDescent="0.25">
      <c r="A13" s="14" t="s">
        <v>173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</row>
    <row r="14" spans="1:39" x14ac:dyDescent="0.25">
      <c r="A14" s="15">
        <v>2010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2.9000000000000001E-2</v>
      </c>
      <c r="H14" s="6">
        <v>0</v>
      </c>
      <c r="I14" s="6">
        <v>0.151</v>
      </c>
      <c r="J14" s="6">
        <v>0</v>
      </c>
      <c r="K14" s="6">
        <v>0</v>
      </c>
      <c r="L14" s="6">
        <v>0</v>
      </c>
      <c r="M14" s="6">
        <v>0.60799999999999998</v>
      </c>
      <c r="N14" s="6">
        <v>0</v>
      </c>
      <c r="O14" s="6">
        <v>0</v>
      </c>
      <c r="P14" s="6">
        <v>0</v>
      </c>
      <c r="Q14" s="6">
        <v>0</v>
      </c>
      <c r="R14" s="6">
        <v>0.67</v>
      </c>
      <c r="S14" s="6">
        <v>0</v>
      </c>
      <c r="T14" s="6">
        <v>1.4E-2</v>
      </c>
      <c r="U14" s="6">
        <v>0</v>
      </c>
      <c r="V14" s="6">
        <v>7.0000000000000001E-3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3.0459999999999998</v>
      </c>
      <c r="AC14" s="6">
        <v>0</v>
      </c>
      <c r="AD14" s="6">
        <v>0</v>
      </c>
      <c r="AE14" s="6">
        <v>0</v>
      </c>
      <c r="AF14" s="6">
        <v>0</v>
      </c>
      <c r="AG14" s="6">
        <v>5.8070000000000004</v>
      </c>
      <c r="AH14" s="6">
        <v>0</v>
      </c>
      <c r="AI14" s="6">
        <v>1.0999999999999999E-2</v>
      </c>
      <c r="AJ14" s="6">
        <v>0</v>
      </c>
      <c r="AK14" s="6">
        <v>0</v>
      </c>
      <c r="AL14" s="6">
        <v>0</v>
      </c>
      <c r="AM14" s="6">
        <v>0</v>
      </c>
    </row>
    <row r="15" spans="1:39" x14ac:dyDescent="0.25">
      <c r="A15" s="15">
        <v>2011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3.2000000000000001E-2</v>
      </c>
      <c r="H15" s="6">
        <v>0</v>
      </c>
      <c r="I15" s="6">
        <v>0.25900000000000001</v>
      </c>
      <c r="J15" s="6">
        <v>0</v>
      </c>
      <c r="K15" s="6">
        <v>0</v>
      </c>
      <c r="L15" s="6">
        <v>0</v>
      </c>
      <c r="M15" s="6">
        <v>0.59</v>
      </c>
      <c r="N15" s="6">
        <v>0</v>
      </c>
      <c r="O15" s="6">
        <v>0</v>
      </c>
      <c r="P15" s="6">
        <v>0</v>
      </c>
      <c r="Q15" s="6">
        <v>0</v>
      </c>
      <c r="R15" s="6">
        <v>0.70599999999999996</v>
      </c>
      <c r="S15" s="6">
        <v>0</v>
      </c>
      <c r="T15" s="6">
        <v>1.4E-2</v>
      </c>
      <c r="U15" s="6">
        <v>0</v>
      </c>
      <c r="V15" s="6">
        <v>7.0000000000000001E-3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2.52</v>
      </c>
      <c r="AC15" s="6">
        <v>0</v>
      </c>
      <c r="AD15" s="6">
        <v>0</v>
      </c>
      <c r="AE15" s="6">
        <v>0</v>
      </c>
      <c r="AF15" s="6">
        <v>0</v>
      </c>
      <c r="AG15" s="6">
        <v>4.7990000000000004</v>
      </c>
      <c r="AH15" s="6">
        <v>0</v>
      </c>
      <c r="AI15" s="6">
        <v>1.0999999999999999E-2</v>
      </c>
      <c r="AJ15" s="6">
        <v>0</v>
      </c>
      <c r="AK15" s="6">
        <v>0</v>
      </c>
      <c r="AL15" s="6">
        <v>0</v>
      </c>
      <c r="AM15" s="6">
        <v>0</v>
      </c>
    </row>
    <row r="16" spans="1:39" x14ac:dyDescent="0.25">
      <c r="A16" s="15">
        <v>2012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2.9000000000000001E-2</v>
      </c>
      <c r="H16" s="6">
        <v>0</v>
      </c>
      <c r="I16" s="6">
        <v>0.69099999999999995</v>
      </c>
      <c r="J16" s="6">
        <v>0</v>
      </c>
      <c r="K16" s="6">
        <v>0</v>
      </c>
      <c r="L16" s="6">
        <v>0</v>
      </c>
      <c r="M16" s="6">
        <v>0.77</v>
      </c>
      <c r="N16" s="6">
        <v>1.0999999999999999E-2</v>
      </c>
      <c r="O16" s="6">
        <v>0</v>
      </c>
      <c r="P16" s="6">
        <v>0</v>
      </c>
      <c r="Q16" s="6">
        <v>0</v>
      </c>
      <c r="R16" s="6">
        <v>0.69799999999999995</v>
      </c>
      <c r="S16" s="6">
        <v>0</v>
      </c>
      <c r="T16" s="6">
        <v>1.0999999999999999E-2</v>
      </c>
      <c r="U16" s="6">
        <v>0</v>
      </c>
      <c r="V16" s="6">
        <v>1.0999999999999999E-2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3.3730000000000002</v>
      </c>
      <c r="AC16" s="6">
        <v>0</v>
      </c>
      <c r="AD16" s="6">
        <v>0</v>
      </c>
      <c r="AE16" s="6">
        <v>0</v>
      </c>
      <c r="AF16" s="6">
        <v>0</v>
      </c>
      <c r="AG16" s="6">
        <v>6.4550000000000001</v>
      </c>
      <c r="AH16" s="6">
        <v>0</v>
      </c>
      <c r="AI16" s="6">
        <v>6.8000000000000005E-2</v>
      </c>
      <c r="AJ16" s="6">
        <v>0</v>
      </c>
      <c r="AK16" s="6">
        <v>0</v>
      </c>
      <c r="AL16" s="6">
        <v>0</v>
      </c>
      <c r="AM16" s="6">
        <v>0</v>
      </c>
    </row>
    <row r="17" spans="1:39" x14ac:dyDescent="0.25">
      <c r="A17" s="15">
        <v>2013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2.9000000000000001E-2</v>
      </c>
      <c r="H17" s="6">
        <v>0</v>
      </c>
      <c r="I17" s="6">
        <v>0.55800000000000005</v>
      </c>
      <c r="J17" s="6">
        <v>0</v>
      </c>
      <c r="K17" s="6">
        <v>0</v>
      </c>
      <c r="L17" s="6">
        <v>0</v>
      </c>
      <c r="M17" s="6">
        <v>0.68</v>
      </c>
      <c r="N17" s="6">
        <v>2.1999999999999999E-2</v>
      </c>
      <c r="O17" s="6">
        <v>0</v>
      </c>
      <c r="P17" s="6">
        <v>0</v>
      </c>
      <c r="Q17" s="6">
        <v>0</v>
      </c>
      <c r="R17" s="6">
        <v>0.69799999999999995</v>
      </c>
      <c r="S17" s="6">
        <v>0</v>
      </c>
      <c r="T17" s="6">
        <v>1.0999999999999999E-2</v>
      </c>
      <c r="U17" s="6">
        <v>0</v>
      </c>
      <c r="V17" s="6">
        <v>1.4E-2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3.6</v>
      </c>
      <c r="AC17" s="6">
        <v>0</v>
      </c>
      <c r="AD17" s="6">
        <v>0</v>
      </c>
      <c r="AE17" s="6">
        <v>0</v>
      </c>
      <c r="AF17" s="6">
        <v>0</v>
      </c>
      <c r="AG17" s="6">
        <v>5.2519999999999998</v>
      </c>
      <c r="AH17" s="6">
        <v>0</v>
      </c>
      <c r="AI17" s="6">
        <v>4.2999999999999997E-2</v>
      </c>
      <c r="AJ17" s="6">
        <v>0</v>
      </c>
      <c r="AK17" s="6">
        <v>0</v>
      </c>
      <c r="AL17" s="6">
        <v>0</v>
      </c>
      <c r="AM17" s="6">
        <v>0</v>
      </c>
    </row>
    <row r="18" spans="1:39" x14ac:dyDescent="0.25">
      <c r="A18" s="15">
        <v>2014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5.8000000000000003E-2</v>
      </c>
      <c r="H18" s="6">
        <v>0</v>
      </c>
      <c r="I18" s="6">
        <v>0.45400000000000001</v>
      </c>
      <c r="J18" s="6">
        <v>0</v>
      </c>
      <c r="K18" s="6">
        <v>0</v>
      </c>
      <c r="L18" s="6">
        <v>0</v>
      </c>
      <c r="M18" s="6">
        <v>0.875</v>
      </c>
      <c r="N18" s="6">
        <v>6.8000000000000005E-2</v>
      </c>
      <c r="O18" s="6">
        <v>0</v>
      </c>
      <c r="P18" s="6">
        <v>1.4E-2</v>
      </c>
      <c r="Q18" s="6">
        <v>0</v>
      </c>
      <c r="R18" s="6">
        <v>0.71299999999999997</v>
      </c>
      <c r="S18" s="6">
        <v>0</v>
      </c>
      <c r="T18" s="6">
        <v>1.0999999999999999E-2</v>
      </c>
      <c r="U18" s="6">
        <v>0</v>
      </c>
      <c r="V18" s="6">
        <v>7.0000000000000001E-3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3.121</v>
      </c>
      <c r="AC18" s="6">
        <v>0</v>
      </c>
      <c r="AD18" s="6">
        <v>0</v>
      </c>
      <c r="AE18" s="6">
        <v>0</v>
      </c>
      <c r="AF18" s="6">
        <v>0</v>
      </c>
      <c r="AG18" s="6">
        <v>6.4939999999999998</v>
      </c>
      <c r="AH18" s="6">
        <v>0</v>
      </c>
      <c r="AI18" s="6">
        <v>5.8000000000000003E-2</v>
      </c>
      <c r="AJ18" s="6">
        <v>0</v>
      </c>
      <c r="AK18" s="6">
        <v>0</v>
      </c>
      <c r="AL18" s="6">
        <v>0</v>
      </c>
      <c r="AM18" s="6">
        <v>0</v>
      </c>
    </row>
    <row r="19" spans="1:39" x14ac:dyDescent="0.25">
      <c r="A19" s="14" t="s">
        <v>174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</row>
    <row r="20" spans="1:39" x14ac:dyDescent="0.25">
      <c r="A20" s="15">
        <v>2010</v>
      </c>
      <c r="B20" s="6">
        <v>0</v>
      </c>
      <c r="C20" s="6">
        <v>10.228999999999999</v>
      </c>
      <c r="D20" s="6">
        <v>0.08</v>
      </c>
      <c r="E20" s="6">
        <v>11.406000000000001</v>
      </c>
      <c r="F20" s="6">
        <v>0</v>
      </c>
      <c r="G20" s="6">
        <v>25.991</v>
      </c>
      <c r="H20" s="6">
        <v>110.53100000000001</v>
      </c>
      <c r="I20" s="6">
        <v>9.8149999999999995</v>
      </c>
      <c r="J20" s="6">
        <v>11.750999999999999</v>
      </c>
      <c r="K20" s="6">
        <v>0</v>
      </c>
      <c r="L20" s="6">
        <v>0</v>
      </c>
      <c r="M20" s="6">
        <v>16.335999999999999</v>
      </c>
      <c r="N20" s="6">
        <v>0</v>
      </c>
      <c r="O20" s="6">
        <v>2.9409999999999998</v>
      </c>
      <c r="P20" s="6">
        <v>17.263000000000002</v>
      </c>
      <c r="Q20" s="6">
        <v>0</v>
      </c>
      <c r="R20" s="6">
        <v>0</v>
      </c>
      <c r="S20" s="6">
        <v>0</v>
      </c>
      <c r="T20" s="6">
        <v>11.454000000000001</v>
      </c>
      <c r="U20" s="6">
        <v>6.9000000000000006E-2</v>
      </c>
      <c r="V20" s="6">
        <v>8</v>
      </c>
      <c r="W20" s="6">
        <v>3.9540000000000002</v>
      </c>
      <c r="X20" s="6">
        <v>0</v>
      </c>
      <c r="Y20" s="6">
        <v>1.5880000000000001</v>
      </c>
      <c r="Z20" s="6">
        <v>0</v>
      </c>
      <c r="AA20" s="6">
        <v>9.42</v>
      </c>
      <c r="AB20" s="6">
        <v>0.7</v>
      </c>
      <c r="AC20" s="6">
        <v>12.023</v>
      </c>
      <c r="AD20" s="6">
        <v>0</v>
      </c>
      <c r="AE20" s="6">
        <v>22.954000000000001</v>
      </c>
      <c r="AF20" s="6">
        <v>18.891999999999999</v>
      </c>
      <c r="AG20" s="6">
        <v>1.722</v>
      </c>
      <c r="AH20" s="6">
        <v>1.875</v>
      </c>
      <c r="AI20" s="6">
        <v>17.484000000000002</v>
      </c>
      <c r="AJ20" s="6">
        <v>0</v>
      </c>
      <c r="AK20" s="6">
        <v>402.44900000000001</v>
      </c>
      <c r="AL20" s="6">
        <v>78.811999999999998</v>
      </c>
      <c r="AM20" s="6">
        <v>0</v>
      </c>
    </row>
    <row r="21" spans="1:39" x14ac:dyDescent="0.25">
      <c r="A21" s="15">
        <v>2011</v>
      </c>
      <c r="B21" s="6">
        <v>0</v>
      </c>
      <c r="C21" s="6">
        <v>10.75</v>
      </c>
      <c r="D21" s="6">
        <v>0.78300000000000003</v>
      </c>
      <c r="E21" s="6">
        <v>9.8699999999999992</v>
      </c>
      <c r="F21" s="6">
        <v>0</v>
      </c>
      <c r="G21" s="6">
        <v>22.026</v>
      </c>
      <c r="H21" s="6">
        <v>96.06</v>
      </c>
      <c r="I21" s="6">
        <v>8.43</v>
      </c>
      <c r="J21" s="6">
        <v>10.098000000000001</v>
      </c>
      <c r="K21" s="6">
        <v>0</v>
      </c>
      <c r="L21" s="6">
        <v>0</v>
      </c>
      <c r="M21" s="6">
        <v>14.196999999999999</v>
      </c>
      <c r="N21" s="6">
        <v>0</v>
      </c>
      <c r="O21" s="6">
        <v>2.5840000000000001</v>
      </c>
      <c r="P21" s="6">
        <v>20.263000000000002</v>
      </c>
      <c r="Q21" s="6">
        <v>0</v>
      </c>
      <c r="R21" s="6">
        <v>0</v>
      </c>
      <c r="S21" s="6">
        <v>0</v>
      </c>
      <c r="T21" s="6">
        <v>9.8460000000000001</v>
      </c>
      <c r="U21" s="6">
        <v>9.6000000000000002E-2</v>
      </c>
      <c r="V21" s="6">
        <v>6.8949999999999996</v>
      </c>
      <c r="W21" s="6">
        <v>3.8069999999999999</v>
      </c>
      <c r="X21" s="6">
        <v>0</v>
      </c>
      <c r="Y21" s="6">
        <v>1.6679999999999999</v>
      </c>
      <c r="Z21" s="6">
        <v>0</v>
      </c>
      <c r="AA21" s="6">
        <v>8.5139999999999993</v>
      </c>
      <c r="AB21" s="6">
        <v>0.68799999999999994</v>
      </c>
      <c r="AC21" s="6">
        <v>10.643000000000001</v>
      </c>
      <c r="AD21" s="6">
        <v>0</v>
      </c>
      <c r="AE21" s="6">
        <v>19.241</v>
      </c>
      <c r="AF21" s="6">
        <v>20.896000000000001</v>
      </c>
      <c r="AG21" s="6">
        <v>1.0629999999999999</v>
      </c>
      <c r="AH21" s="6">
        <v>2.0630000000000002</v>
      </c>
      <c r="AI21" s="6">
        <v>14.438000000000001</v>
      </c>
      <c r="AJ21" s="6">
        <v>0</v>
      </c>
      <c r="AK21" s="6">
        <v>401.28300000000002</v>
      </c>
      <c r="AL21" s="6">
        <v>76.311999999999998</v>
      </c>
      <c r="AM21" s="6">
        <v>0</v>
      </c>
    </row>
    <row r="22" spans="1:39" x14ac:dyDescent="0.25">
      <c r="A22" s="15">
        <v>2012</v>
      </c>
      <c r="B22" s="6">
        <v>0</v>
      </c>
      <c r="C22" s="6">
        <v>12.077999999999999</v>
      </c>
      <c r="D22" s="6">
        <v>0.12</v>
      </c>
      <c r="E22" s="6">
        <v>8.1359999999999992</v>
      </c>
      <c r="F22" s="6">
        <v>0</v>
      </c>
      <c r="G22" s="6">
        <v>27.31</v>
      </c>
      <c r="H22" s="6">
        <v>90.548000000000002</v>
      </c>
      <c r="I22" s="6">
        <v>12.621</v>
      </c>
      <c r="J22" s="6">
        <v>12.606999999999999</v>
      </c>
      <c r="K22" s="6">
        <v>0</v>
      </c>
      <c r="L22" s="6">
        <v>0</v>
      </c>
      <c r="M22" s="6">
        <v>17.989000000000001</v>
      </c>
      <c r="N22" s="6">
        <v>27.361999999999998</v>
      </c>
      <c r="O22" s="6">
        <v>2.605</v>
      </c>
      <c r="P22" s="6">
        <v>24.248000000000001</v>
      </c>
      <c r="Q22" s="6">
        <v>0</v>
      </c>
      <c r="R22" s="6">
        <v>0</v>
      </c>
      <c r="S22" s="6">
        <v>0</v>
      </c>
      <c r="T22" s="6">
        <v>9.7119999999999997</v>
      </c>
      <c r="U22" s="6">
        <v>7.5999999999999998E-2</v>
      </c>
      <c r="V22" s="6">
        <v>6.2880000000000003</v>
      </c>
      <c r="W22" s="6">
        <v>3.6629999999999998</v>
      </c>
      <c r="X22" s="6">
        <v>0</v>
      </c>
      <c r="Y22" s="6">
        <v>1.048</v>
      </c>
      <c r="Z22" s="6">
        <v>0</v>
      </c>
      <c r="AA22" s="6">
        <v>9.0860000000000003</v>
      </c>
      <c r="AB22" s="6">
        <v>0.65800000000000003</v>
      </c>
      <c r="AC22" s="6">
        <v>10.502000000000001</v>
      </c>
      <c r="AD22" s="6">
        <v>0</v>
      </c>
      <c r="AE22" s="6">
        <v>13.702</v>
      </c>
      <c r="AF22" s="6">
        <v>19.814</v>
      </c>
      <c r="AG22" s="6">
        <v>1.1299999999999999</v>
      </c>
      <c r="AH22" s="6">
        <v>1.897</v>
      </c>
      <c r="AI22" s="6">
        <v>13.76</v>
      </c>
      <c r="AJ22" s="6">
        <v>0</v>
      </c>
      <c r="AK22" s="6">
        <v>371.62</v>
      </c>
      <c r="AL22" s="6">
        <v>83.296000000000006</v>
      </c>
      <c r="AM22" s="6">
        <v>0</v>
      </c>
    </row>
    <row r="23" spans="1:39" x14ac:dyDescent="0.25">
      <c r="A23" s="15">
        <v>2013</v>
      </c>
      <c r="B23" s="6">
        <v>0</v>
      </c>
      <c r="C23" s="6">
        <v>14.837</v>
      </c>
      <c r="D23" s="6">
        <v>7.4999999999999997E-2</v>
      </c>
      <c r="E23" s="6">
        <v>6.1070000000000002</v>
      </c>
      <c r="F23" s="6">
        <v>0</v>
      </c>
      <c r="G23" s="6">
        <v>26.111000000000001</v>
      </c>
      <c r="H23" s="6">
        <v>101.88200000000001</v>
      </c>
      <c r="I23" s="6">
        <v>12.837999999999999</v>
      </c>
      <c r="J23" s="6">
        <v>10.35</v>
      </c>
      <c r="K23" s="6">
        <v>0</v>
      </c>
      <c r="L23" s="6">
        <v>0</v>
      </c>
      <c r="M23" s="6">
        <v>14.090999999999999</v>
      </c>
      <c r="N23" s="6">
        <v>30.39</v>
      </c>
      <c r="O23" s="6">
        <v>2.92</v>
      </c>
      <c r="P23" s="6">
        <v>24.413</v>
      </c>
      <c r="Q23" s="6">
        <v>0</v>
      </c>
      <c r="R23" s="6">
        <v>0</v>
      </c>
      <c r="S23" s="6">
        <v>0</v>
      </c>
      <c r="T23" s="6">
        <v>7.8360000000000003</v>
      </c>
      <c r="U23" s="6">
        <v>0.11600000000000001</v>
      </c>
      <c r="V23" s="6">
        <v>4.4630000000000001</v>
      </c>
      <c r="W23" s="6">
        <v>3.4889999999999999</v>
      </c>
      <c r="X23" s="6">
        <v>0</v>
      </c>
      <c r="Y23" s="6">
        <v>1.171</v>
      </c>
      <c r="Z23" s="6">
        <v>0</v>
      </c>
      <c r="AA23" s="6">
        <v>9.6969999999999992</v>
      </c>
      <c r="AB23" s="6">
        <v>0.54100000000000004</v>
      </c>
      <c r="AC23" s="6">
        <v>11.226000000000001</v>
      </c>
      <c r="AD23" s="6">
        <v>0</v>
      </c>
      <c r="AE23" s="6">
        <v>19.366</v>
      </c>
      <c r="AF23" s="6">
        <v>18.606999999999999</v>
      </c>
      <c r="AG23" s="6">
        <v>0.89500000000000002</v>
      </c>
      <c r="AH23" s="6">
        <v>1.677</v>
      </c>
      <c r="AI23" s="6">
        <v>11.61</v>
      </c>
      <c r="AJ23" s="6">
        <v>0</v>
      </c>
      <c r="AK23" s="6">
        <v>365.68400000000003</v>
      </c>
      <c r="AL23" s="6">
        <v>82.117000000000004</v>
      </c>
      <c r="AM23" s="6">
        <v>0</v>
      </c>
    </row>
    <row r="24" spans="1:39" x14ac:dyDescent="0.25">
      <c r="A24" s="15">
        <v>2014</v>
      </c>
      <c r="B24" s="6">
        <v>0</v>
      </c>
      <c r="C24" s="6">
        <v>13.916</v>
      </c>
      <c r="D24" s="6">
        <v>0.155</v>
      </c>
      <c r="E24" s="6">
        <v>7.141</v>
      </c>
      <c r="F24" s="6">
        <v>0</v>
      </c>
      <c r="G24" s="6">
        <v>21.914000000000001</v>
      </c>
      <c r="H24" s="6">
        <v>86.518000000000001</v>
      </c>
      <c r="I24" s="6">
        <v>14.519</v>
      </c>
      <c r="J24" s="6">
        <v>8.9250000000000007</v>
      </c>
      <c r="K24" s="6">
        <v>0</v>
      </c>
      <c r="L24" s="6">
        <v>0</v>
      </c>
      <c r="M24" s="6">
        <v>15.493</v>
      </c>
      <c r="N24" s="6">
        <v>23.053999999999998</v>
      </c>
      <c r="O24" s="6">
        <v>2.4780000000000002</v>
      </c>
      <c r="P24" s="6">
        <v>20.353999999999999</v>
      </c>
      <c r="Q24" s="6">
        <v>0</v>
      </c>
      <c r="R24" s="6">
        <v>0</v>
      </c>
      <c r="S24" s="6">
        <v>0</v>
      </c>
      <c r="T24" s="6">
        <v>5.9950000000000001</v>
      </c>
      <c r="U24" s="6">
        <v>0.08</v>
      </c>
      <c r="V24" s="6">
        <v>3.2890000000000001</v>
      </c>
      <c r="W24" s="6">
        <v>3.2810000000000001</v>
      </c>
      <c r="X24" s="6">
        <v>0</v>
      </c>
      <c r="Y24" s="6">
        <v>1.6879999999999999</v>
      </c>
      <c r="Z24" s="6">
        <v>0</v>
      </c>
      <c r="AA24" s="6">
        <v>9.1839999999999993</v>
      </c>
      <c r="AB24" s="6">
        <v>0.48199999999999998</v>
      </c>
      <c r="AC24" s="6">
        <v>9.4640000000000004</v>
      </c>
      <c r="AD24" s="6">
        <v>0</v>
      </c>
      <c r="AE24" s="6">
        <v>16.132999999999999</v>
      </c>
      <c r="AF24" s="6">
        <v>17.779</v>
      </c>
      <c r="AG24" s="6">
        <v>0.73</v>
      </c>
      <c r="AH24" s="6">
        <v>1.3680000000000001</v>
      </c>
      <c r="AI24" s="6">
        <v>9.7119999999999997</v>
      </c>
      <c r="AJ24" s="6">
        <v>0</v>
      </c>
      <c r="AK24" s="6">
        <v>251.56100000000001</v>
      </c>
      <c r="AL24" s="6">
        <v>86.33</v>
      </c>
      <c r="AM24" s="6">
        <v>0</v>
      </c>
    </row>
    <row r="25" spans="1:39" x14ac:dyDescent="0.25">
      <c r="A25" s="14" t="s">
        <v>182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 spans="1:39" x14ac:dyDescent="0.25">
      <c r="A26" s="15">
        <v>2010</v>
      </c>
      <c r="B26" s="6">
        <v>0</v>
      </c>
      <c r="C26" s="6">
        <v>24.818999999999999</v>
      </c>
      <c r="D26" s="6">
        <v>0.17599999999999999</v>
      </c>
      <c r="E26" s="6">
        <v>0.09</v>
      </c>
      <c r="F26" s="6">
        <v>0</v>
      </c>
      <c r="G26" s="6">
        <v>1.1359999999999999</v>
      </c>
      <c r="H26" s="6">
        <v>29.614999999999998</v>
      </c>
      <c r="I26" s="6">
        <v>21.452999999999999</v>
      </c>
      <c r="J26" s="6">
        <v>3.8069999999999999</v>
      </c>
      <c r="K26" s="6">
        <v>0</v>
      </c>
      <c r="L26" s="6">
        <v>0</v>
      </c>
      <c r="M26" s="6">
        <v>24.087</v>
      </c>
      <c r="N26" s="6">
        <v>18.425999999999998</v>
      </c>
      <c r="O26" s="6">
        <v>0</v>
      </c>
      <c r="P26" s="6">
        <v>0.45800000000000002</v>
      </c>
      <c r="Q26" s="6">
        <v>0</v>
      </c>
      <c r="R26" s="6">
        <v>25.001000000000001</v>
      </c>
      <c r="S26" s="6">
        <v>4.585</v>
      </c>
      <c r="T26" s="6">
        <v>8.2270000000000003</v>
      </c>
      <c r="U26" s="6">
        <v>9.5000000000000001E-2</v>
      </c>
      <c r="V26" s="6">
        <v>6.1909999999999998</v>
      </c>
      <c r="W26" s="6">
        <v>0.51800000000000002</v>
      </c>
      <c r="X26" s="6">
        <v>0</v>
      </c>
      <c r="Y26" s="6">
        <v>0</v>
      </c>
      <c r="Z26" s="6">
        <v>0</v>
      </c>
      <c r="AA26" s="6">
        <v>5.5229999999999997</v>
      </c>
      <c r="AB26" s="6">
        <v>6.452</v>
      </c>
      <c r="AC26" s="6">
        <v>1.893</v>
      </c>
      <c r="AD26" s="6">
        <v>0</v>
      </c>
      <c r="AE26" s="6">
        <v>1.7789999999999999</v>
      </c>
      <c r="AF26" s="6">
        <v>8.4000000000000005E-2</v>
      </c>
      <c r="AG26" s="6">
        <v>52.1</v>
      </c>
      <c r="AH26" s="6">
        <v>0.35199999999999998</v>
      </c>
      <c r="AI26" s="6">
        <v>3.0430000000000001</v>
      </c>
      <c r="AJ26" s="6">
        <v>0</v>
      </c>
      <c r="AK26" s="6">
        <v>2.7549999999999999</v>
      </c>
      <c r="AL26" s="6">
        <v>1.0069999999999999</v>
      </c>
      <c r="AM26" s="6">
        <v>0</v>
      </c>
    </row>
    <row r="27" spans="1:39" x14ac:dyDescent="0.25">
      <c r="A27" s="15">
        <v>2011</v>
      </c>
      <c r="B27" s="6">
        <v>0</v>
      </c>
      <c r="C27" s="6">
        <v>20.54</v>
      </c>
      <c r="D27" s="6">
        <v>0.11</v>
      </c>
      <c r="E27" s="6">
        <v>9.0999999999999998E-2</v>
      </c>
      <c r="F27" s="6">
        <v>0</v>
      </c>
      <c r="G27" s="6">
        <v>1.4630000000000001</v>
      </c>
      <c r="H27" s="6">
        <v>30.53</v>
      </c>
      <c r="I27" s="6">
        <v>19.445</v>
      </c>
      <c r="J27" s="6">
        <v>5.0030000000000001</v>
      </c>
      <c r="K27" s="6">
        <v>0</v>
      </c>
      <c r="L27" s="6">
        <v>0</v>
      </c>
      <c r="M27" s="6">
        <v>22.792999999999999</v>
      </c>
      <c r="N27" s="6">
        <v>15.849</v>
      </c>
      <c r="O27" s="6">
        <v>0</v>
      </c>
      <c r="P27" s="6">
        <v>0.81899999999999995</v>
      </c>
      <c r="Q27" s="6">
        <v>0</v>
      </c>
      <c r="R27" s="6">
        <v>25.542000000000002</v>
      </c>
      <c r="S27" s="6">
        <v>4.8650000000000002</v>
      </c>
      <c r="T27" s="6">
        <v>7.6449999999999996</v>
      </c>
      <c r="U27" s="6">
        <v>0.10100000000000001</v>
      </c>
      <c r="V27" s="6">
        <v>5.4349999999999996</v>
      </c>
      <c r="W27" s="6">
        <v>0.4</v>
      </c>
      <c r="X27" s="6">
        <v>0</v>
      </c>
      <c r="Y27" s="6">
        <v>0</v>
      </c>
      <c r="Z27" s="6">
        <v>0</v>
      </c>
      <c r="AA27" s="6">
        <v>5.3220000000000001</v>
      </c>
      <c r="AB27" s="6">
        <v>6.3419999999999996</v>
      </c>
      <c r="AC27" s="6">
        <v>1.788</v>
      </c>
      <c r="AD27" s="6">
        <v>0</v>
      </c>
      <c r="AE27" s="6">
        <v>2.8839999999999999</v>
      </c>
      <c r="AF27" s="6">
        <v>0.09</v>
      </c>
      <c r="AG27" s="6">
        <v>49.485999999999997</v>
      </c>
      <c r="AH27" s="6">
        <v>0.41899999999999998</v>
      </c>
      <c r="AI27" s="6">
        <v>3.028</v>
      </c>
      <c r="AJ27" s="6">
        <v>0</v>
      </c>
      <c r="AK27" s="6">
        <v>1.964</v>
      </c>
      <c r="AL27" s="6">
        <v>2.8039999999999998</v>
      </c>
      <c r="AM27" s="6">
        <v>0</v>
      </c>
    </row>
    <row r="28" spans="1:39" x14ac:dyDescent="0.25">
      <c r="A28" s="15">
        <v>2012</v>
      </c>
      <c r="B28" s="6">
        <v>0</v>
      </c>
      <c r="C28" s="6">
        <v>23.715</v>
      </c>
      <c r="D28" s="6">
        <v>0.29699999999999999</v>
      </c>
      <c r="E28" s="6">
        <v>0.125</v>
      </c>
      <c r="F28" s="6">
        <v>0</v>
      </c>
      <c r="G28" s="6">
        <v>1.1779999999999999</v>
      </c>
      <c r="H28" s="6">
        <v>39.433999999999997</v>
      </c>
      <c r="I28" s="6">
        <v>21.308</v>
      </c>
      <c r="J28" s="6">
        <v>4.0279999999999996</v>
      </c>
      <c r="K28" s="6">
        <v>0</v>
      </c>
      <c r="L28" s="6">
        <v>0</v>
      </c>
      <c r="M28" s="6">
        <v>26.725000000000001</v>
      </c>
      <c r="N28" s="6">
        <v>19.372</v>
      </c>
      <c r="O28" s="6">
        <v>0</v>
      </c>
      <c r="P28" s="6">
        <v>1.2529999999999999</v>
      </c>
      <c r="Q28" s="6">
        <v>0</v>
      </c>
      <c r="R28" s="6">
        <v>26.100999999999999</v>
      </c>
      <c r="S28" s="6">
        <v>5.2770000000000001</v>
      </c>
      <c r="T28" s="6">
        <v>9.3940000000000001</v>
      </c>
      <c r="U28" s="6">
        <v>0.10199999999999999</v>
      </c>
      <c r="V28" s="6">
        <v>5.9039999999999999</v>
      </c>
      <c r="W28" s="6">
        <v>0.23</v>
      </c>
      <c r="X28" s="6">
        <v>0</v>
      </c>
      <c r="Y28" s="6">
        <v>0</v>
      </c>
      <c r="Z28" s="6">
        <v>0</v>
      </c>
      <c r="AA28" s="6">
        <v>2.3E-2</v>
      </c>
      <c r="AB28" s="6">
        <v>7.3109999999999999</v>
      </c>
      <c r="AC28" s="6">
        <v>1.7</v>
      </c>
      <c r="AD28" s="6">
        <v>0</v>
      </c>
      <c r="AE28" s="6">
        <v>1.976</v>
      </c>
      <c r="AF28" s="6">
        <v>7.2999999999999995E-2</v>
      </c>
      <c r="AG28" s="6">
        <v>46.206000000000003</v>
      </c>
      <c r="AH28" s="6">
        <v>0.5</v>
      </c>
      <c r="AI28" s="6">
        <v>3.1970000000000001</v>
      </c>
      <c r="AJ28" s="6">
        <v>0</v>
      </c>
      <c r="AK28" s="6">
        <v>2.109</v>
      </c>
      <c r="AL28" s="6">
        <v>3.5760000000000001</v>
      </c>
      <c r="AM28" s="6">
        <v>0</v>
      </c>
    </row>
    <row r="29" spans="1:39" x14ac:dyDescent="0.25">
      <c r="A29" s="15">
        <v>2013</v>
      </c>
      <c r="B29" s="6">
        <v>0</v>
      </c>
      <c r="C29" s="6">
        <v>24.815999999999999</v>
      </c>
      <c r="D29" s="6">
        <v>0.313</v>
      </c>
      <c r="E29" s="6">
        <v>5.2999999999999999E-2</v>
      </c>
      <c r="F29" s="6">
        <v>0</v>
      </c>
      <c r="G29" s="6">
        <v>1.2869999999999999</v>
      </c>
      <c r="H29" s="6">
        <v>33.661999999999999</v>
      </c>
      <c r="I29" s="6">
        <v>21.11</v>
      </c>
      <c r="J29" s="6">
        <v>4.2539999999999996</v>
      </c>
      <c r="K29" s="6">
        <v>0</v>
      </c>
      <c r="L29" s="6">
        <v>0</v>
      </c>
      <c r="M29" s="6">
        <v>27.143999999999998</v>
      </c>
      <c r="N29" s="6">
        <v>22.908999999999999</v>
      </c>
      <c r="O29" s="6">
        <v>0</v>
      </c>
      <c r="P29" s="6">
        <v>2.4740000000000002</v>
      </c>
      <c r="Q29" s="6">
        <v>0</v>
      </c>
      <c r="R29" s="6">
        <v>24.843</v>
      </c>
      <c r="S29" s="6">
        <v>5.3109999999999999</v>
      </c>
      <c r="T29" s="6">
        <v>8.8480000000000008</v>
      </c>
      <c r="U29" s="6">
        <v>0.11600000000000001</v>
      </c>
      <c r="V29" s="6">
        <v>5.9880000000000004</v>
      </c>
      <c r="W29" s="6">
        <v>0.26900000000000002</v>
      </c>
      <c r="X29" s="6">
        <v>0</v>
      </c>
      <c r="Y29" s="6">
        <v>0</v>
      </c>
      <c r="Z29" s="6">
        <v>0</v>
      </c>
      <c r="AA29" s="6">
        <v>7.5999999999999998E-2</v>
      </c>
      <c r="AB29" s="6">
        <v>7.82</v>
      </c>
      <c r="AC29" s="6">
        <v>2.0099999999999998</v>
      </c>
      <c r="AD29" s="6">
        <v>0</v>
      </c>
      <c r="AE29" s="6">
        <v>1.728</v>
      </c>
      <c r="AF29" s="6">
        <v>7.9000000000000001E-2</v>
      </c>
      <c r="AG29" s="6">
        <v>42.128</v>
      </c>
      <c r="AH29" s="6">
        <v>0.46100000000000002</v>
      </c>
      <c r="AI29" s="6">
        <v>3.1949999999999998</v>
      </c>
      <c r="AJ29" s="6">
        <v>0</v>
      </c>
      <c r="AK29" s="6">
        <v>3.194</v>
      </c>
      <c r="AL29" s="6">
        <v>1.4019999999999999</v>
      </c>
      <c r="AM29" s="6">
        <v>0</v>
      </c>
    </row>
    <row r="30" spans="1:39" x14ac:dyDescent="0.25">
      <c r="A30" s="15">
        <v>2014</v>
      </c>
      <c r="B30" s="6">
        <v>0</v>
      </c>
      <c r="C30" s="6">
        <v>25.396999999999998</v>
      </c>
      <c r="D30" s="6">
        <v>0.29199999999999998</v>
      </c>
      <c r="E30" s="6">
        <v>0.23699999999999999</v>
      </c>
      <c r="F30" s="6">
        <v>0</v>
      </c>
      <c r="G30" s="6">
        <v>1.151</v>
      </c>
      <c r="H30" s="6">
        <v>35.612000000000002</v>
      </c>
      <c r="I30" s="6">
        <v>20.701000000000001</v>
      </c>
      <c r="J30" s="6">
        <v>3.27</v>
      </c>
      <c r="K30" s="6">
        <v>0</v>
      </c>
      <c r="L30" s="6">
        <v>0</v>
      </c>
      <c r="M30" s="6">
        <v>29.701000000000001</v>
      </c>
      <c r="N30" s="6">
        <v>25.152999999999999</v>
      </c>
      <c r="O30" s="6">
        <v>0</v>
      </c>
      <c r="P30" s="6">
        <v>2.9</v>
      </c>
      <c r="Q30" s="6">
        <v>0</v>
      </c>
      <c r="R30" s="6">
        <v>30.009</v>
      </c>
      <c r="S30" s="6">
        <v>5.0119999999999996</v>
      </c>
      <c r="T30" s="6">
        <v>12.769</v>
      </c>
      <c r="U30" s="6">
        <v>0.123</v>
      </c>
      <c r="V30" s="6">
        <v>5.8360000000000003</v>
      </c>
      <c r="W30" s="6">
        <v>0.35499999999999998</v>
      </c>
      <c r="X30" s="6">
        <v>0</v>
      </c>
      <c r="Y30" s="6">
        <v>0</v>
      </c>
      <c r="Z30" s="6">
        <v>0</v>
      </c>
      <c r="AA30" s="6">
        <v>0.42199999999999999</v>
      </c>
      <c r="AB30" s="6">
        <v>8.0399999999999991</v>
      </c>
      <c r="AC30" s="6">
        <v>1.742</v>
      </c>
      <c r="AD30" s="6">
        <v>0</v>
      </c>
      <c r="AE30" s="6">
        <v>2.0550000000000002</v>
      </c>
      <c r="AF30" s="6">
        <v>0.09</v>
      </c>
      <c r="AG30" s="6">
        <v>38.71</v>
      </c>
      <c r="AH30" s="6">
        <v>0.34899999999999998</v>
      </c>
      <c r="AI30" s="6">
        <v>2.4409999999999998</v>
      </c>
      <c r="AJ30" s="6">
        <v>0</v>
      </c>
      <c r="AK30" s="6">
        <v>1.4259999999999999</v>
      </c>
      <c r="AL30" s="6">
        <v>1.583</v>
      </c>
      <c r="AM30" s="6">
        <v>0</v>
      </c>
    </row>
    <row r="31" spans="1:39" x14ac:dyDescent="0.25">
      <c r="A31" s="14" t="s">
        <v>175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</row>
    <row r="32" spans="1:39" x14ac:dyDescent="0.25">
      <c r="A32" s="15">
        <v>2010</v>
      </c>
      <c r="B32" s="6">
        <v>0</v>
      </c>
      <c r="C32" s="6">
        <v>0</v>
      </c>
      <c r="D32" s="6">
        <v>0</v>
      </c>
      <c r="E32" s="6">
        <v>0.64700000000000002</v>
      </c>
      <c r="F32" s="6">
        <v>0</v>
      </c>
      <c r="G32" s="6">
        <v>4.4580000000000002</v>
      </c>
      <c r="H32" s="6">
        <v>29.375</v>
      </c>
      <c r="I32" s="6">
        <v>0.122</v>
      </c>
      <c r="J32" s="6">
        <v>1.01</v>
      </c>
      <c r="K32" s="6">
        <v>0</v>
      </c>
      <c r="L32" s="6">
        <v>0</v>
      </c>
      <c r="M32" s="6">
        <v>10.35</v>
      </c>
      <c r="N32" s="6">
        <v>0</v>
      </c>
      <c r="O32" s="6">
        <v>0</v>
      </c>
      <c r="P32" s="6">
        <v>1.5920000000000001</v>
      </c>
      <c r="Q32" s="6">
        <v>0</v>
      </c>
      <c r="R32" s="6">
        <v>0</v>
      </c>
      <c r="S32" s="6">
        <v>0</v>
      </c>
      <c r="T32" s="6">
        <v>0.26900000000000002</v>
      </c>
      <c r="U32" s="6">
        <v>0</v>
      </c>
      <c r="V32" s="6">
        <v>0.16700000000000001</v>
      </c>
      <c r="W32" s="6">
        <v>7.3999999999999996E-2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139.28800000000001</v>
      </c>
      <c r="AD32" s="6">
        <v>0</v>
      </c>
      <c r="AE32" s="6">
        <v>0.13400000000000001</v>
      </c>
      <c r="AF32" s="6">
        <v>5.9850000000000003</v>
      </c>
      <c r="AG32" s="6">
        <v>1.85</v>
      </c>
      <c r="AH32" s="6">
        <v>0</v>
      </c>
      <c r="AI32" s="6">
        <v>0.16400000000000001</v>
      </c>
      <c r="AJ32" s="6">
        <v>0</v>
      </c>
      <c r="AK32" s="6">
        <v>32.886000000000003</v>
      </c>
      <c r="AL32" s="6">
        <v>12.547000000000001</v>
      </c>
      <c r="AM32" s="6">
        <v>0</v>
      </c>
    </row>
    <row r="33" spans="1:39" x14ac:dyDescent="0.25">
      <c r="A33" s="15">
        <v>2011</v>
      </c>
      <c r="B33" s="6">
        <v>0</v>
      </c>
      <c r="C33" s="6">
        <v>0</v>
      </c>
      <c r="D33" s="6">
        <v>0</v>
      </c>
      <c r="E33" s="6">
        <v>1.075</v>
      </c>
      <c r="F33" s="6">
        <v>0</v>
      </c>
      <c r="G33" s="6">
        <v>3.5579999999999998</v>
      </c>
      <c r="H33" s="6">
        <v>32.177</v>
      </c>
      <c r="I33" s="6">
        <v>7.2999999999999995E-2</v>
      </c>
      <c r="J33" s="6">
        <v>0.624</v>
      </c>
      <c r="K33" s="6">
        <v>0</v>
      </c>
      <c r="L33" s="6">
        <v>0</v>
      </c>
      <c r="M33" s="6">
        <v>9.0210000000000008</v>
      </c>
      <c r="N33" s="6">
        <v>0</v>
      </c>
      <c r="O33" s="6">
        <v>0</v>
      </c>
      <c r="P33" s="6">
        <v>1.63</v>
      </c>
      <c r="Q33" s="6">
        <v>0</v>
      </c>
      <c r="R33" s="6">
        <v>0</v>
      </c>
      <c r="S33" s="6">
        <v>0</v>
      </c>
      <c r="T33" s="6">
        <v>0.27</v>
      </c>
      <c r="U33" s="6">
        <v>0</v>
      </c>
      <c r="V33" s="6">
        <v>0.14099999999999999</v>
      </c>
      <c r="W33" s="6">
        <v>7.1999999999999995E-2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112.765</v>
      </c>
      <c r="AD33" s="6">
        <v>0</v>
      </c>
      <c r="AE33" s="6">
        <v>0.126</v>
      </c>
      <c r="AF33" s="6">
        <v>6.6</v>
      </c>
      <c r="AG33" s="6">
        <v>2.3940000000000001</v>
      </c>
      <c r="AH33" s="6">
        <v>0</v>
      </c>
      <c r="AI33" s="6">
        <v>0.13900000000000001</v>
      </c>
      <c r="AJ33" s="6">
        <v>0</v>
      </c>
      <c r="AK33" s="6">
        <v>31.048999999999999</v>
      </c>
      <c r="AL33" s="6">
        <v>14.326000000000001</v>
      </c>
      <c r="AM33" s="6">
        <v>0</v>
      </c>
    </row>
    <row r="34" spans="1:39" x14ac:dyDescent="0.25">
      <c r="A34" s="15">
        <v>2012</v>
      </c>
      <c r="B34" s="6">
        <v>0</v>
      </c>
      <c r="C34" s="6">
        <v>0</v>
      </c>
      <c r="D34" s="6">
        <v>0</v>
      </c>
      <c r="E34" s="6">
        <v>0.33300000000000002</v>
      </c>
      <c r="F34" s="6">
        <v>0</v>
      </c>
      <c r="G34" s="6">
        <v>3.01</v>
      </c>
      <c r="H34" s="6">
        <v>33.582999999999998</v>
      </c>
      <c r="I34" s="6">
        <v>9.7000000000000003E-2</v>
      </c>
      <c r="J34" s="6">
        <v>0.71599999999999997</v>
      </c>
      <c r="K34" s="6">
        <v>0</v>
      </c>
      <c r="L34" s="6">
        <v>0</v>
      </c>
      <c r="M34" s="6">
        <v>10.994999999999999</v>
      </c>
      <c r="N34" s="6">
        <v>8.58</v>
      </c>
      <c r="O34" s="6">
        <v>0</v>
      </c>
      <c r="P34" s="6">
        <v>1.617</v>
      </c>
      <c r="Q34" s="6">
        <v>0</v>
      </c>
      <c r="R34" s="6">
        <v>0</v>
      </c>
      <c r="S34" s="6">
        <v>0</v>
      </c>
      <c r="T34" s="6">
        <v>0.22600000000000001</v>
      </c>
      <c r="U34" s="6">
        <v>0</v>
      </c>
      <c r="V34" s="6">
        <v>7.9000000000000001E-2</v>
      </c>
      <c r="W34" s="6">
        <v>7.1999999999999995E-2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121.54900000000001</v>
      </c>
      <c r="AD34" s="6">
        <v>0</v>
      </c>
      <c r="AE34" s="6">
        <v>8.5999999999999993E-2</v>
      </c>
      <c r="AF34" s="6">
        <v>5.9080000000000004</v>
      </c>
      <c r="AG34" s="6">
        <v>1.462</v>
      </c>
      <c r="AH34" s="6">
        <v>0</v>
      </c>
      <c r="AI34" s="6">
        <v>0.13700000000000001</v>
      </c>
      <c r="AJ34" s="6">
        <v>0</v>
      </c>
      <c r="AK34" s="6">
        <v>30.135000000000002</v>
      </c>
      <c r="AL34" s="6">
        <v>11.755000000000001</v>
      </c>
      <c r="AM34" s="6">
        <v>0</v>
      </c>
    </row>
    <row r="35" spans="1:39" x14ac:dyDescent="0.25">
      <c r="A35" s="15">
        <v>2013</v>
      </c>
      <c r="B35" s="6">
        <v>0</v>
      </c>
      <c r="C35" s="6">
        <v>0</v>
      </c>
      <c r="D35" s="6">
        <v>0</v>
      </c>
      <c r="E35" s="6">
        <v>0.23200000000000001</v>
      </c>
      <c r="F35" s="6">
        <v>0</v>
      </c>
      <c r="G35" s="6">
        <v>2.79</v>
      </c>
      <c r="H35" s="6">
        <v>16.984000000000002</v>
      </c>
      <c r="I35" s="6">
        <v>9.8000000000000004E-2</v>
      </c>
      <c r="J35" s="6">
        <v>0.56299999999999994</v>
      </c>
      <c r="K35" s="6">
        <v>0</v>
      </c>
      <c r="L35" s="6">
        <v>0</v>
      </c>
      <c r="M35" s="6">
        <v>10.945</v>
      </c>
      <c r="N35" s="6">
        <v>10.842000000000001</v>
      </c>
      <c r="O35" s="6">
        <v>0</v>
      </c>
      <c r="P35" s="6">
        <v>0.89500000000000002</v>
      </c>
      <c r="Q35" s="6">
        <v>0</v>
      </c>
      <c r="R35" s="6">
        <v>0</v>
      </c>
      <c r="S35" s="6">
        <v>0</v>
      </c>
      <c r="T35" s="6">
        <v>0.53200000000000003</v>
      </c>
      <c r="U35" s="6">
        <v>0</v>
      </c>
      <c r="V35" s="6">
        <v>9.6000000000000002E-2</v>
      </c>
      <c r="W35" s="6">
        <v>0.34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116.05500000000001</v>
      </c>
      <c r="AD35" s="6">
        <v>0</v>
      </c>
      <c r="AE35" s="6">
        <v>0.19</v>
      </c>
      <c r="AF35" s="6">
        <v>7.016</v>
      </c>
      <c r="AG35" s="6">
        <v>1.825</v>
      </c>
      <c r="AH35" s="6">
        <v>0</v>
      </c>
      <c r="AI35" s="6">
        <v>0.13800000000000001</v>
      </c>
      <c r="AJ35" s="6">
        <v>0</v>
      </c>
      <c r="AK35" s="6">
        <v>28.451000000000001</v>
      </c>
      <c r="AL35" s="6">
        <v>15.52</v>
      </c>
      <c r="AM35" s="6">
        <v>0</v>
      </c>
    </row>
    <row r="36" spans="1:39" x14ac:dyDescent="0.25">
      <c r="A36" s="15">
        <v>2014</v>
      </c>
      <c r="B36" s="6">
        <v>0</v>
      </c>
      <c r="C36" s="6">
        <v>0</v>
      </c>
      <c r="D36" s="6">
        <v>0</v>
      </c>
      <c r="E36" s="6">
        <v>0.28199999999999997</v>
      </c>
      <c r="F36" s="6">
        <v>0</v>
      </c>
      <c r="G36" s="6">
        <v>2.2690000000000001</v>
      </c>
      <c r="H36" s="6">
        <v>15.689</v>
      </c>
      <c r="I36" s="6">
        <v>7.3999999999999996E-2</v>
      </c>
      <c r="J36" s="6">
        <v>0.57099999999999995</v>
      </c>
      <c r="K36" s="6">
        <v>0</v>
      </c>
      <c r="L36" s="6">
        <v>0</v>
      </c>
      <c r="M36" s="6">
        <v>10.071</v>
      </c>
      <c r="N36" s="6">
        <v>9.49</v>
      </c>
      <c r="O36" s="6">
        <v>0</v>
      </c>
      <c r="P36" s="6">
        <v>0.10100000000000001</v>
      </c>
      <c r="Q36" s="6">
        <v>0</v>
      </c>
      <c r="R36" s="6">
        <v>0</v>
      </c>
      <c r="S36" s="6">
        <v>0</v>
      </c>
      <c r="T36" s="6">
        <v>0.20399999999999999</v>
      </c>
      <c r="U36" s="6">
        <v>0</v>
      </c>
      <c r="V36" s="6">
        <v>7.1999999999999995E-2</v>
      </c>
      <c r="W36" s="6">
        <v>7.1999999999999995E-2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105.89100000000001</v>
      </c>
      <c r="AD36" s="6">
        <v>0</v>
      </c>
      <c r="AE36" s="6">
        <v>0.26900000000000002</v>
      </c>
      <c r="AF36" s="6">
        <v>4.1500000000000004</v>
      </c>
      <c r="AG36" s="6">
        <v>1.5529999999999999</v>
      </c>
      <c r="AH36" s="6">
        <v>7.4999999999999997E-2</v>
      </c>
      <c r="AI36" s="6">
        <v>6.8000000000000005E-2</v>
      </c>
      <c r="AJ36" s="6">
        <v>0</v>
      </c>
      <c r="AK36" s="6">
        <v>26.792999999999999</v>
      </c>
      <c r="AL36" s="6">
        <v>13.108000000000001</v>
      </c>
      <c r="AM36" s="6">
        <v>0</v>
      </c>
    </row>
    <row r="37" spans="1:39" x14ac:dyDescent="0.25">
      <c r="A37" s="14" t="s">
        <v>176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</row>
    <row r="38" spans="1:39" x14ac:dyDescent="0.25">
      <c r="A38" s="15">
        <v>2010</v>
      </c>
      <c r="B38" s="6">
        <v>0</v>
      </c>
      <c r="C38" s="6">
        <v>1.4830000000000001</v>
      </c>
      <c r="D38" s="6">
        <v>0</v>
      </c>
      <c r="E38" s="6">
        <v>0.59299999999999997</v>
      </c>
      <c r="F38" s="6">
        <v>0</v>
      </c>
      <c r="G38" s="6">
        <v>0.88600000000000001</v>
      </c>
      <c r="H38" s="6">
        <v>7.8150000000000004</v>
      </c>
      <c r="I38" s="6">
        <v>3.3330000000000002</v>
      </c>
      <c r="J38" s="6">
        <v>2.12</v>
      </c>
      <c r="K38" s="6">
        <v>0</v>
      </c>
      <c r="L38" s="6">
        <v>0</v>
      </c>
      <c r="M38" s="6">
        <v>13.125999999999999</v>
      </c>
      <c r="N38" s="6">
        <v>0</v>
      </c>
      <c r="O38" s="6">
        <v>1.1339999999999999</v>
      </c>
      <c r="P38" s="6">
        <v>0.24</v>
      </c>
      <c r="Q38" s="6">
        <v>0</v>
      </c>
      <c r="R38" s="6">
        <v>0</v>
      </c>
      <c r="S38" s="6">
        <v>0</v>
      </c>
      <c r="T38" s="6">
        <v>0.81599999999999995</v>
      </c>
      <c r="U38" s="6">
        <v>0</v>
      </c>
      <c r="V38" s="6">
        <v>0.52</v>
      </c>
      <c r="W38" s="6">
        <v>0.123</v>
      </c>
      <c r="X38" s="6">
        <v>0</v>
      </c>
      <c r="Y38" s="6">
        <v>1.643</v>
      </c>
      <c r="Z38" s="6">
        <v>0</v>
      </c>
      <c r="AA38" s="6">
        <v>10.936999999999999</v>
      </c>
      <c r="AB38" s="6">
        <v>3.3420000000000001</v>
      </c>
      <c r="AC38" s="6">
        <v>1.583</v>
      </c>
      <c r="AD38" s="6">
        <v>0</v>
      </c>
      <c r="AE38" s="6">
        <v>3.9550000000000001</v>
      </c>
      <c r="AF38" s="6">
        <v>6.4669999999999996</v>
      </c>
      <c r="AG38" s="6">
        <v>7.9770000000000003</v>
      </c>
      <c r="AH38" s="6">
        <v>0.17</v>
      </c>
      <c r="AI38" s="6">
        <v>0</v>
      </c>
      <c r="AJ38" s="6">
        <v>0</v>
      </c>
      <c r="AK38" s="6">
        <v>4.1760000000000002</v>
      </c>
      <c r="AL38" s="6">
        <v>2.5219999999999998</v>
      </c>
      <c r="AM38" s="6">
        <v>0.28000000000000003</v>
      </c>
    </row>
    <row r="39" spans="1:39" x14ac:dyDescent="0.25">
      <c r="A39" s="15">
        <v>2011</v>
      </c>
      <c r="B39" s="6">
        <v>0</v>
      </c>
      <c r="C39" s="6">
        <v>1.1220000000000001</v>
      </c>
      <c r="D39" s="6">
        <v>0</v>
      </c>
      <c r="E39" s="6">
        <v>0.45500000000000002</v>
      </c>
      <c r="F39" s="6">
        <v>0</v>
      </c>
      <c r="G39" s="6">
        <v>0.52</v>
      </c>
      <c r="H39" s="6">
        <v>5.3659999999999997</v>
      </c>
      <c r="I39" s="6">
        <v>1.9</v>
      </c>
      <c r="J39" s="6">
        <v>1.52</v>
      </c>
      <c r="K39" s="6">
        <v>0</v>
      </c>
      <c r="L39" s="6">
        <v>0</v>
      </c>
      <c r="M39" s="6">
        <v>9.9730000000000008</v>
      </c>
      <c r="N39" s="6">
        <v>0</v>
      </c>
      <c r="O39" s="6">
        <v>1.1739999999999999</v>
      </c>
      <c r="P39" s="6">
        <v>0.16</v>
      </c>
      <c r="Q39" s="6">
        <v>0</v>
      </c>
      <c r="R39" s="6">
        <v>0</v>
      </c>
      <c r="S39" s="6">
        <v>0</v>
      </c>
      <c r="T39" s="6">
        <v>0.53600000000000003</v>
      </c>
      <c r="U39" s="6">
        <v>0</v>
      </c>
      <c r="V39" s="6">
        <v>0.40200000000000002</v>
      </c>
      <c r="W39" s="6">
        <v>0.04</v>
      </c>
      <c r="X39" s="6">
        <v>0</v>
      </c>
      <c r="Y39" s="6">
        <v>0.72</v>
      </c>
      <c r="Z39" s="6">
        <v>0</v>
      </c>
      <c r="AA39" s="6">
        <v>10.666</v>
      </c>
      <c r="AB39" s="6">
        <v>4.5629999999999997</v>
      </c>
      <c r="AC39" s="6">
        <v>1.03</v>
      </c>
      <c r="AD39" s="6">
        <v>0</v>
      </c>
      <c r="AE39" s="6">
        <v>3.3519999999999999</v>
      </c>
      <c r="AF39" s="6">
        <v>5.766</v>
      </c>
      <c r="AG39" s="6">
        <v>3.831</v>
      </c>
      <c r="AH39" s="6">
        <v>0.17</v>
      </c>
      <c r="AI39" s="6">
        <v>0</v>
      </c>
      <c r="AJ39" s="6">
        <v>0</v>
      </c>
      <c r="AK39" s="6">
        <v>3.93</v>
      </c>
      <c r="AL39" s="6">
        <v>2.9340000000000002</v>
      </c>
      <c r="AM39" s="6">
        <v>0.2</v>
      </c>
    </row>
    <row r="40" spans="1:39" x14ac:dyDescent="0.25">
      <c r="A40" s="15">
        <v>2012</v>
      </c>
      <c r="B40" s="6">
        <v>0</v>
      </c>
      <c r="C40" s="6">
        <v>1.4430000000000001</v>
      </c>
      <c r="D40" s="6">
        <v>0</v>
      </c>
      <c r="E40" s="6">
        <v>0.27700000000000002</v>
      </c>
      <c r="F40" s="6">
        <v>0</v>
      </c>
      <c r="G40" s="6">
        <v>0.48299999999999998</v>
      </c>
      <c r="H40" s="6">
        <v>7.6689999999999996</v>
      </c>
      <c r="I40" s="6">
        <v>1.774</v>
      </c>
      <c r="J40" s="6">
        <v>1.3620000000000001</v>
      </c>
      <c r="K40" s="6">
        <v>0</v>
      </c>
      <c r="L40" s="6">
        <v>0</v>
      </c>
      <c r="M40" s="6">
        <v>9.782</v>
      </c>
      <c r="N40" s="6">
        <v>5.9269999999999996</v>
      </c>
      <c r="O40" s="6">
        <v>0.68799999999999994</v>
      </c>
      <c r="P40" s="6">
        <v>0.24</v>
      </c>
      <c r="Q40" s="6">
        <v>0</v>
      </c>
      <c r="R40" s="6">
        <v>0</v>
      </c>
      <c r="S40" s="6">
        <v>0</v>
      </c>
      <c r="T40" s="6">
        <v>0.65600000000000003</v>
      </c>
      <c r="U40" s="6">
        <v>0</v>
      </c>
      <c r="V40" s="6">
        <v>0.32700000000000001</v>
      </c>
      <c r="W40" s="6">
        <v>0.04</v>
      </c>
      <c r="X40" s="6">
        <v>0</v>
      </c>
      <c r="Y40" s="6">
        <v>0.68</v>
      </c>
      <c r="Z40" s="6">
        <v>0</v>
      </c>
      <c r="AA40" s="6">
        <v>10.621</v>
      </c>
      <c r="AB40" s="6">
        <v>1.3149999999999999</v>
      </c>
      <c r="AC40" s="6">
        <v>1.341</v>
      </c>
      <c r="AD40" s="6">
        <v>0</v>
      </c>
      <c r="AE40" s="6">
        <v>3.45</v>
      </c>
      <c r="AF40" s="6">
        <v>4.3319999999999999</v>
      </c>
      <c r="AG40" s="6">
        <v>3.214</v>
      </c>
      <c r="AH40" s="6">
        <v>0.21299999999999999</v>
      </c>
      <c r="AI40" s="6">
        <v>0.04</v>
      </c>
      <c r="AJ40" s="6">
        <v>0</v>
      </c>
      <c r="AK40" s="6">
        <v>3.89</v>
      </c>
      <c r="AL40" s="6">
        <v>3.1219999999999999</v>
      </c>
      <c r="AM40" s="6">
        <v>0.24</v>
      </c>
    </row>
    <row r="41" spans="1:39" x14ac:dyDescent="0.25">
      <c r="A41" s="15">
        <v>2013</v>
      </c>
      <c r="B41" s="6">
        <v>0</v>
      </c>
      <c r="C41" s="6">
        <v>1.363</v>
      </c>
      <c r="D41" s="6">
        <v>0</v>
      </c>
      <c r="E41" s="6">
        <v>0.157</v>
      </c>
      <c r="F41" s="6">
        <v>0</v>
      </c>
      <c r="G41" s="6">
        <v>0.36599999999999999</v>
      </c>
      <c r="H41" s="6">
        <v>5.7229999999999999</v>
      </c>
      <c r="I41" s="6">
        <v>1.526</v>
      </c>
      <c r="J41" s="6">
        <v>0.64</v>
      </c>
      <c r="K41" s="6">
        <v>0</v>
      </c>
      <c r="L41" s="6">
        <v>0</v>
      </c>
      <c r="M41" s="6">
        <v>5.8879999999999999</v>
      </c>
      <c r="N41" s="6">
        <v>6.0650000000000004</v>
      </c>
      <c r="O41" s="6">
        <v>0.371</v>
      </c>
      <c r="P41" s="6">
        <v>0.20799999999999999</v>
      </c>
      <c r="Q41" s="6">
        <v>0</v>
      </c>
      <c r="R41" s="6">
        <v>0</v>
      </c>
      <c r="S41" s="6">
        <v>0</v>
      </c>
      <c r="T41" s="6">
        <v>0.496</v>
      </c>
      <c r="U41" s="6">
        <v>0</v>
      </c>
      <c r="V41" s="6">
        <v>8.5000000000000006E-2</v>
      </c>
      <c r="W41" s="6">
        <v>4.2999999999999997E-2</v>
      </c>
      <c r="X41" s="6">
        <v>0</v>
      </c>
      <c r="Y41" s="6">
        <v>0.08</v>
      </c>
      <c r="Z41" s="6">
        <v>0</v>
      </c>
      <c r="AA41" s="6">
        <v>11.118</v>
      </c>
      <c r="AB41" s="6">
        <v>0.83699999999999997</v>
      </c>
      <c r="AC41" s="6">
        <v>0.753</v>
      </c>
      <c r="AD41" s="6">
        <v>0</v>
      </c>
      <c r="AE41" s="6">
        <v>2.6709999999999998</v>
      </c>
      <c r="AF41" s="6">
        <v>4.9820000000000002</v>
      </c>
      <c r="AG41" s="6">
        <v>2.4220000000000002</v>
      </c>
      <c r="AH41" s="6">
        <v>0.25</v>
      </c>
      <c r="AI41" s="6">
        <v>0</v>
      </c>
      <c r="AJ41" s="6">
        <v>0</v>
      </c>
      <c r="AK41" s="6">
        <v>5.9720000000000004</v>
      </c>
      <c r="AL41" s="6">
        <v>2.6589999999999998</v>
      </c>
      <c r="AM41" s="6">
        <v>0.24</v>
      </c>
    </row>
    <row r="42" spans="1:39" x14ac:dyDescent="0.25">
      <c r="A42" s="15">
        <v>2014</v>
      </c>
      <c r="B42" s="6">
        <v>0.57699999999999996</v>
      </c>
      <c r="C42" s="6">
        <v>1.4470000000000001</v>
      </c>
      <c r="D42" s="6">
        <v>0</v>
      </c>
      <c r="E42" s="6">
        <v>0.26500000000000001</v>
      </c>
      <c r="F42" s="6">
        <v>0</v>
      </c>
      <c r="G42" s="6">
        <v>0.16</v>
      </c>
      <c r="H42" s="6">
        <v>4.7080000000000002</v>
      </c>
      <c r="I42" s="6">
        <v>1.526</v>
      </c>
      <c r="J42" s="6">
        <v>0.52</v>
      </c>
      <c r="K42" s="6">
        <v>0</v>
      </c>
      <c r="L42" s="6">
        <v>0</v>
      </c>
      <c r="M42" s="6">
        <v>5.3230000000000004</v>
      </c>
      <c r="N42" s="6">
        <v>2.6139999999999999</v>
      </c>
      <c r="O42" s="6">
        <v>0.248</v>
      </c>
      <c r="P42" s="6">
        <v>0.17</v>
      </c>
      <c r="Q42" s="6">
        <v>0</v>
      </c>
      <c r="R42" s="6">
        <v>0</v>
      </c>
      <c r="S42" s="6">
        <v>0</v>
      </c>
      <c r="T42" s="6">
        <v>0.53600000000000003</v>
      </c>
      <c r="U42" s="6">
        <v>0</v>
      </c>
      <c r="V42" s="6">
        <v>0</v>
      </c>
      <c r="W42" s="6">
        <v>0</v>
      </c>
      <c r="X42" s="6">
        <v>0</v>
      </c>
      <c r="Y42" s="6">
        <v>0</v>
      </c>
      <c r="Z42" s="6">
        <v>0</v>
      </c>
      <c r="AA42" s="6">
        <v>18.484999999999999</v>
      </c>
      <c r="AB42" s="6">
        <v>0.48599999999999999</v>
      </c>
      <c r="AC42" s="6">
        <v>0.753</v>
      </c>
      <c r="AD42" s="6">
        <v>0</v>
      </c>
      <c r="AE42" s="6">
        <v>2.6389999999999998</v>
      </c>
      <c r="AF42" s="6">
        <v>4.242</v>
      </c>
      <c r="AG42" s="6">
        <v>1.4239999999999999</v>
      </c>
      <c r="AH42" s="6">
        <v>0.248</v>
      </c>
      <c r="AI42" s="6">
        <v>0</v>
      </c>
      <c r="AJ42" s="6">
        <v>0</v>
      </c>
      <c r="AK42" s="6">
        <v>3.5640000000000001</v>
      </c>
      <c r="AL42" s="6">
        <v>2.8</v>
      </c>
      <c r="AM42" s="6">
        <v>0.12</v>
      </c>
    </row>
    <row r="43" spans="1:39" x14ac:dyDescent="0.25">
      <c r="A43" s="14" t="s">
        <v>177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</row>
    <row r="44" spans="1:39" x14ac:dyDescent="0.25">
      <c r="A44" s="15">
        <v>2010</v>
      </c>
      <c r="B44" s="6">
        <v>0</v>
      </c>
      <c r="C44" s="6">
        <v>1.67</v>
      </c>
      <c r="D44" s="6">
        <v>0</v>
      </c>
      <c r="E44" s="6">
        <v>0</v>
      </c>
      <c r="F44" s="6">
        <v>0</v>
      </c>
      <c r="G44" s="6">
        <v>0.443</v>
      </c>
      <c r="H44" s="6">
        <v>21.710999999999999</v>
      </c>
      <c r="I44" s="6">
        <v>1.5129999999999999</v>
      </c>
      <c r="J44" s="6">
        <v>0</v>
      </c>
      <c r="K44" s="6">
        <v>0</v>
      </c>
      <c r="L44" s="6">
        <v>0</v>
      </c>
      <c r="M44" s="6">
        <v>1.276</v>
      </c>
      <c r="N44" s="6">
        <v>6.9089999999999998</v>
      </c>
      <c r="O44" s="6">
        <v>0</v>
      </c>
      <c r="P44" s="6">
        <v>0</v>
      </c>
      <c r="Q44" s="6">
        <v>0</v>
      </c>
      <c r="R44" s="6">
        <v>1.7999999999999999E-2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v>0</v>
      </c>
      <c r="AA44" s="6">
        <v>4.8979999999999997</v>
      </c>
      <c r="AB44" s="6">
        <v>1.496</v>
      </c>
      <c r="AC44" s="6">
        <v>8.7999999999999995E-2</v>
      </c>
      <c r="AD44" s="6">
        <v>0</v>
      </c>
      <c r="AE44" s="6">
        <v>1.2E-2</v>
      </c>
      <c r="AF44" s="6">
        <v>0.38800000000000001</v>
      </c>
      <c r="AG44" s="6">
        <v>3.2</v>
      </c>
      <c r="AH44" s="6">
        <v>0</v>
      </c>
      <c r="AI44" s="6">
        <v>0.127</v>
      </c>
      <c r="AJ44" s="6">
        <v>0</v>
      </c>
      <c r="AK44" s="6">
        <v>0</v>
      </c>
      <c r="AL44" s="6">
        <v>0.60699999999999998</v>
      </c>
      <c r="AM44" s="6">
        <v>0</v>
      </c>
    </row>
    <row r="45" spans="1:39" x14ac:dyDescent="0.25">
      <c r="A45" s="15">
        <v>2011</v>
      </c>
      <c r="B45" s="6">
        <v>0</v>
      </c>
      <c r="C45" s="6">
        <v>1.9279999999999999</v>
      </c>
      <c r="D45" s="6">
        <v>0</v>
      </c>
      <c r="E45" s="6">
        <v>0</v>
      </c>
      <c r="F45" s="6">
        <v>0</v>
      </c>
      <c r="G45" s="6">
        <v>0.56200000000000006</v>
      </c>
      <c r="H45" s="6">
        <v>24.975000000000001</v>
      </c>
      <c r="I45" s="6">
        <v>1.571</v>
      </c>
      <c r="J45" s="6">
        <v>0</v>
      </c>
      <c r="K45" s="6">
        <v>0</v>
      </c>
      <c r="L45" s="6">
        <v>0</v>
      </c>
      <c r="M45" s="6">
        <v>1.24</v>
      </c>
      <c r="N45" s="6">
        <v>3.6389999999999998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4.5330000000000004</v>
      </c>
      <c r="AB45" s="6">
        <v>1.8</v>
      </c>
      <c r="AC45" s="6">
        <v>0.114</v>
      </c>
      <c r="AD45" s="6">
        <v>0</v>
      </c>
      <c r="AE45" s="6">
        <v>1.4E-2</v>
      </c>
      <c r="AF45" s="6">
        <v>0.28799999999999998</v>
      </c>
      <c r="AG45" s="6">
        <v>1.625</v>
      </c>
      <c r="AH45" s="6">
        <v>0</v>
      </c>
      <c r="AI45" s="6">
        <v>0.20300000000000001</v>
      </c>
      <c r="AJ45" s="6">
        <v>0</v>
      </c>
      <c r="AK45" s="6">
        <v>0</v>
      </c>
      <c r="AL45" s="6">
        <v>0.85699999999999998</v>
      </c>
      <c r="AM45" s="6">
        <v>0</v>
      </c>
    </row>
    <row r="46" spans="1:39" x14ac:dyDescent="0.25">
      <c r="A46" s="15">
        <v>2012</v>
      </c>
      <c r="B46" s="6">
        <v>0</v>
      </c>
      <c r="C46" s="6">
        <v>2.0760000000000001</v>
      </c>
      <c r="D46" s="6">
        <v>0.193</v>
      </c>
      <c r="E46" s="6">
        <v>0</v>
      </c>
      <c r="F46" s="6">
        <v>0</v>
      </c>
      <c r="G46" s="6">
        <v>0.46200000000000002</v>
      </c>
      <c r="H46" s="6">
        <v>26.364000000000001</v>
      </c>
      <c r="I46" s="6">
        <v>1.38</v>
      </c>
      <c r="J46" s="6">
        <v>0</v>
      </c>
      <c r="K46" s="6">
        <v>0</v>
      </c>
      <c r="L46" s="6">
        <v>0</v>
      </c>
      <c r="M46" s="6">
        <v>1.403</v>
      </c>
      <c r="N46" s="6">
        <v>5.1529999999999996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1.95</v>
      </c>
      <c r="AC46" s="6">
        <v>0.128</v>
      </c>
      <c r="AD46" s="6">
        <v>0</v>
      </c>
      <c r="AE46" s="6">
        <v>0.01</v>
      </c>
      <c r="AF46" s="6">
        <v>0</v>
      </c>
      <c r="AG46" s="6">
        <v>1.585</v>
      </c>
      <c r="AH46" s="6">
        <v>0</v>
      </c>
      <c r="AI46" s="6">
        <v>0.20300000000000001</v>
      </c>
      <c r="AJ46" s="6">
        <v>0</v>
      </c>
      <c r="AK46" s="6">
        <v>0</v>
      </c>
      <c r="AL46" s="6">
        <v>1.113</v>
      </c>
      <c r="AM46" s="6">
        <v>0</v>
      </c>
    </row>
    <row r="47" spans="1:39" x14ac:dyDescent="0.25">
      <c r="A47" s="15">
        <v>2013</v>
      </c>
      <c r="B47" s="6">
        <v>0</v>
      </c>
      <c r="C47" s="6">
        <v>1.518</v>
      </c>
      <c r="D47" s="6">
        <v>0.193</v>
      </c>
      <c r="E47" s="6">
        <v>0</v>
      </c>
      <c r="F47" s="6">
        <v>0</v>
      </c>
      <c r="G47" s="6">
        <v>0.35799999999999998</v>
      </c>
      <c r="H47" s="6">
        <v>21.741</v>
      </c>
      <c r="I47" s="6">
        <v>1.4319999999999999</v>
      </c>
      <c r="J47" s="6">
        <v>0</v>
      </c>
      <c r="K47" s="6">
        <v>0</v>
      </c>
      <c r="L47" s="6">
        <v>0</v>
      </c>
      <c r="M47" s="6">
        <v>0.32500000000000001</v>
      </c>
      <c r="N47" s="6">
        <v>4.6710000000000003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6">
        <v>0</v>
      </c>
      <c r="AA47" s="6">
        <v>0</v>
      </c>
      <c r="AB47" s="6">
        <v>2.08</v>
      </c>
      <c r="AC47" s="6">
        <v>8.8999999999999996E-2</v>
      </c>
      <c r="AD47" s="6">
        <v>0</v>
      </c>
      <c r="AE47" s="6">
        <v>2.1000000000000001E-2</v>
      </c>
      <c r="AF47" s="6">
        <v>0</v>
      </c>
      <c r="AG47" s="6">
        <v>1.496</v>
      </c>
      <c r="AH47" s="6">
        <v>0</v>
      </c>
      <c r="AI47" s="6">
        <v>0.218</v>
      </c>
      <c r="AJ47" s="6">
        <v>0</v>
      </c>
      <c r="AK47" s="6">
        <v>0</v>
      </c>
      <c r="AL47" s="6">
        <v>0.99399999999999999</v>
      </c>
      <c r="AM47" s="6">
        <v>0</v>
      </c>
    </row>
    <row r="48" spans="1:39" x14ac:dyDescent="0.25">
      <c r="A48" s="15">
        <v>2014</v>
      </c>
      <c r="B48" s="6">
        <v>0</v>
      </c>
      <c r="C48" s="6">
        <v>1.6339999999999999</v>
      </c>
      <c r="D48" s="6">
        <v>0.188</v>
      </c>
      <c r="E48" s="6">
        <v>0</v>
      </c>
      <c r="F48" s="6">
        <v>0</v>
      </c>
      <c r="G48" s="6">
        <v>0.35199999999999998</v>
      </c>
      <c r="H48" s="6">
        <v>20.065999999999999</v>
      </c>
      <c r="I48" s="6">
        <v>1.3520000000000001</v>
      </c>
      <c r="J48" s="6">
        <v>0</v>
      </c>
      <c r="K48" s="6">
        <v>0</v>
      </c>
      <c r="L48" s="6">
        <v>0</v>
      </c>
      <c r="M48" s="6">
        <v>0.627</v>
      </c>
      <c r="N48" s="6">
        <v>4.6710000000000003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2.5430000000000001</v>
      </c>
      <c r="AC48" s="6">
        <v>0.19900000000000001</v>
      </c>
      <c r="AD48" s="6">
        <v>0</v>
      </c>
      <c r="AE48" s="6">
        <v>2.5000000000000001E-2</v>
      </c>
      <c r="AF48" s="6">
        <v>0</v>
      </c>
      <c r="AG48" s="6">
        <v>1.36</v>
      </c>
      <c r="AH48" s="6">
        <v>0</v>
      </c>
      <c r="AI48" s="6">
        <v>0.04</v>
      </c>
      <c r="AJ48" s="6">
        <v>0</v>
      </c>
      <c r="AK48" s="6">
        <v>0</v>
      </c>
      <c r="AL48" s="6">
        <v>1.355</v>
      </c>
      <c r="AM48" s="6">
        <v>0</v>
      </c>
    </row>
    <row r="49" spans="1:39" x14ac:dyDescent="0.25">
      <c r="A49" s="13" t="s">
        <v>190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spans="1:39" x14ac:dyDescent="0.25">
      <c r="A50" s="14" t="s">
        <v>172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</row>
    <row r="51" spans="1:39" x14ac:dyDescent="0.25">
      <c r="A51" s="15">
        <v>2010</v>
      </c>
      <c r="B51" s="6">
        <v>0</v>
      </c>
      <c r="C51" s="6">
        <v>31.042999999999999</v>
      </c>
      <c r="D51" s="6">
        <v>0.16300000000000001</v>
      </c>
      <c r="E51" s="6">
        <v>14.118</v>
      </c>
      <c r="F51" s="6">
        <v>0</v>
      </c>
      <c r="G51" s="6">
        <v>28.997</v>
      </c>
      <c r="H51" s="6">
        <v>152.06299999999999</v>
      </c>
      <c r="I51" s="6">
        <v>36.183999999999997</v>
      </c>
      <c r="J51" s="6">
        <v>15.074</v>
      </c>
      <c r="K51" s="6">
        <v>0</v>
      </c>
      <c r="L51" s="6">
        <v>0</v>
      </c>
      <c r="M51" s="6">
        <v>61.186999999999998</v>
      </c>
      <c r="N51" s="6">
        <v>13.869</v>
      </c>
      <c r="O51" s="6">
        <v>3.0920000000000001</v>
      </c>
      <c r="P51" s="6">
        <v>15.236000000000001</v>
      </c>
      <c r="Q51" s="6">
        <v>0</v>
      </c>
      <c r="R51" s="6">
        <v>15.798999999999999</v>
      </c>
      <c r="S51" s="6">
        <v>2.8359999999999999</v>
      </c>
      <c r="T51" s="6">
        <v>20.434000000000001</v>
      </c>
      <c r="U51" s="6">
        <v>0.14000000000000001</v>
      </c>
      <c r="V51" s="6">
        <v>11.840999999999999</v>
      </c>
      <c r="W51" s="6">
        <v>4.1870000000000003</v>
      </c>
      <c r="X51" s="6">
        <v>0</v>
      </c>
      <c r="Y51" s="6">
        <v>2.9729999999999999</v>
      </c>
      <c r="Z51" s="6">
        <v>0</v>
      </c>
      <c r="AA51" s="6">
        <v>25.300999999999998</v>
      </c>
      <c r="AB51" s="6">
        <v>16.413</v>
      </c>
      <c r="AC51" s="6">
        <v>129.983</v>
      </c>
      <c r="AD51" s="6">
        <v>0</v>
      </c>
      <c r="AE51" s="6">
        <v>20.39</v>
      </c>
      <c r="AF51" s="6">
        <v>27.062000000000001</v>
      </c>
      <c r="AG51" s="6">
        <v>72.168000000000006</v>
      </c>
      <c r="AH51" s="6">
        <v>2.1190000000000002</v>
      </c>
      <c r="AI51" s="6">
        <v>18.204000000000001</v>
      </c>
      <c r="AJ51" s="6">
        <v>0</v>
      </c>
      <c r="AK51" s="6">
        <v>416.4</v>
      </c>
      <c r="AL51" s="6">
        <v>56.966999999999999</v>
      </c>
      <c r="AM51" s="6">
        <v>0.23100000000000001</v>
      </c>
    </row>
    <row r="52" spans="1:39" x14ac:dyDescent="0.25">
      <c r="A52" s="15">
        <v>2011</v>
      </c>
      <c r="B52" s="6">
        <v>0</v>
      </c>
      <c r="C52" s="6">
        <v>28.664000000000001</v>
      </c>
      <c r="D52" s="6">
        <v>0.80900000000000005</v>
      </c>
      <c r="E52" s="6">
        <v>13.672000000000001</v>
      </c>
      <c r="F52" s="6">
        <v>0</v>
      </c>
      <c r="G52" s="6">
        <v>24.594000000000001</v>
      </c>
      <c r="H52" s="6">
        <v>132.244</v>
      </c>
      <c r="I52" s="6">
        <v>32.112000000000002</v>
      </c>
      <c r="J52" s="6">
        <v>13.884</v>
      </c>
      <c r="K52" s="6">
        <v>0</v>
      </c>
      <c r="L52" s="6">
        <v>0</v>
      </c>
      <c r="M52" s="6">
        <v>52.877000000000002</v>
      </c>
      <c r="N52" s="6">
        <v>11.473000000000001</v>
      </c>
      <c r="O52" s="6">
        <v>3.0219999999999998</v>
      </c>
      <c r="P52" s="6">
        <v>18.321999999999999</v>
      </c>
      <c r="Q52" s="6">
        <v>0</v>
      </c>
      <c r="R52" s="6">
        <v>15.718</v>
      </c>
      <c r="S52" s="6">
        <v>3.2690000000000001</v>
      </c>
      <c r="T52" s="6">
        <v>20.367000000000001</v>
      </c>
      <c r="U52" s="6">
        <v>0.17100000000000001</v>
      </c>
      <c r="V52" s="6">
        <v>10.196</v>
      </c>
      <c r="W52" s="6">
        <v>3.9430000000000001</v>
      </c>
      <c r="X52" s="6">
        <v>0</v>
      </c>
      <c r="Y52" s="6">
        <v>2.2959999999999998</v>
      </c>
      <c r="Z52" s="6">
        <v>0</v>
      </c>
      <c r="AA52" s="6">
        <v>23.895</v>
      </c>
      <c r="AB52" s="6">
        <v>14.436</v>
      </c>
      <c r="AC52" s="6">
        <v>106.249</v>
      </c>
      <c r="AD52" s="6">
        <v>0</v>
      </c>
      <c r="AE52" s="6">
        <v>18.114000000000001</v>
      </c>
      <c r="AF52" s="6">
        <v>28.928999999999998</v>
      </c>
      <c r="AG52" s="6">
        <v>56.392000000000003</v>
      </c>
      <c r="AH52" s="6">
        <v>2.3090000000000002</v>
      </c>
      <c r="AI52" s="6">
        <v>15.398</v>
      </c>
      <c r="AJ52" s="6">
        <v>0</v>
      </c>
      <c r="AK52" s="6">
        <v>413.197</v>
      </c>
      <c r="AL52" s="6">
        <v>58.122</v>
      </c>
      <c r="AM52" s="6">
        <v>0.19</v>
      </c>
    </row>
    <row r="53" spans="1:39" x14ac:dyDescent="0.25">
      <c r="A53" s="15">
        <v>2012</v>
      </c>
      <c r="B53" s="6">
        <v>0</v>
      </c>
      <c r="C53" s="6">
        <v>32.832000000000001</v>
      </c>
      <c r="D53" s="6">
        <v>0.45500000000000002</v>
      </c>
      <c r="E53" s="6">
        <v>10.356</v>
      </c>
      <c r="F53" s="6">
        <v>0</v>
      </c>
      <c r="G53" s="6">
        <v>27.509</v>
      </c>
      <c r="H53" s="6">
        <v>135.40899999999999</v>
      </c>
      <c r="I53" s="6">
        <v>38.19</v>
      </c>
      <c r="J53" s="6">
        <v>14.859</v>
      </c>
      <c r="K53" s="6">
        <v>0</v>
      </c>
      <c r="L53" s="6">
        <v>0</v>
      </c>
      <c r="M53" s="6">
        <v>63.218000000000004</v>
      </c>
      <c r="N53" s="6">
        <v>51.929000000000002</v>
      </c>
      <c r="O53" s="6">
        <v>2.661</v>
      </c>
      <c r="P53" s="6">
        <v>24.018000000000001</v>
      </c>
      <c r="Q53" s="6">
        <v>0</v>
      </c>
      <c r="R53" s="6">
        <v>17.858000000000001</v>
      </c>
      <c r="S53" s="6">
        <v>3.742</v>
      </c>
      <c r="T53" s="6">
        <v>21.277999999999999</v>
      </c>
      <c r="U53" s="6">
        <v>0.16</v>
      </c>
      <c r="V53" s="6">
        <v>9.9640000000000004</v>
      </c>
      <c r="W53" s="6">
        <v>3.7480000000000002</v>
      </c>
      <c r="X53" s="6">
        <v>0</v>
      </c>
      <c r="Y53" s="6">
        <v>1.589</v>
      </c>
      <c r="Z53" s="6">
        <v>0</v>
      </c>
      <c r="AA53" s="6">
        <v>17.321999999999999</v>
      </c>
      <c r="AB53" s="6">
        <v>13.286</v>
      </c>
      <c r="AC53" s="6">
        <v>113.87</v>
      </c>
      <c r="AD53" s="6">
        <v>0</v>
      </c>
      <c r="AE53" s="6">
        <v>16.931999999999999</v>
      </c>
      <c r="AF53" s="6">
        <v>26.222999999999999</v>
      </c>
      <c r="AG53" s="6">
        <v>60.683</v>
      </c>
      <c r="AH53" s="6">
        <v>2.3210000000000002</v>
      </c>
      <c r="AI53" s="6">
        <v>14.859</v>
      </c>
      <c r="AJ53" s="6">
        <v>0</v>
      </c>
      <c r="AK53" s="6">
        <v>392.19099999999997</v>
      </c>
      <c r="AL53" s="6">
        <v>64.180999999999997</v>
      </c>
      <c r="AM53" s="6">
        <v>0.19500000000000001</v>
      </c>
    </row>
    <row r="54" spans="1:39" x14ac:dyDescent="0.25">
      <c r="A54" s="15">
        <v>2013</v>
      </c>
      <c r="B54" s="6">
        <v>0</v>
      </c>
      <c r="C54" s="6">
        <v>36.420999999999999</v>
      </c>
      <c r="D54" s="6">
        <v>0.40899999999999997</v>
      </c>
      <c r="E54" s="6">
        <v>8.0690000000000008</v>
      </c>
      <c r="F54" s="6">
        <v>0</v>
      </c>
      <c r="G54" s="6">
        <v>26.670999999999999</v>
      </c>
      <c r="H54" s="6">
        <v>139.43199999999999</v>
      </c>
      <c r="I54" s="6">
        <v>38.183</v>
      </c>
      <c r="J54" s="6">
        <v>12.454000000000001</v>
      </c>
      <c r="K54" s="6">
        <v>0</v>
      </c>
      <c r="L54" s="6">
        <v>0</v>
      </c>
      <c r="M54" s="6">
        <v>55.948999999999998</v>
      </c>
      <c r="N54" s="6">
        <v>59.683999999999997</v>
      </c>
      <c r="O54" s="6">
        <v>2.621</v>
      </c>
      <c r="P54" s="6">
        <v>24.881</v>
      </c>
      <c r="Q54" s="6">
        <v>0</v>
      </c>
      <c r="R54" s="6">
        <v>17.762</v>
      </c>
      <c r="S54" s="6">
        <v>3.7570000000000001</v>
      </c>
      <c r="T54" s="6">
        <v>19.033999999999999</v>
      </c>
      <c r="U54" s="6">
        <v>0.20399999999999999</v>
      </c>
      <c r="V54" s="6">
        <v>8.109</v>
      </c>
      <c r="W54" s="6">
        <v>3.7240000000000002</v>
      </c>
      <c r="X54" s="6">
        <v>0</v>
      </c>
      <c r="Y54" s="6">
        <v>1.1879999999999999</v>
      </c>
      <c r="Z54" s="6">
        <v>0</v>
      </c>
      <c r="AA54" s="6">
        <v>18.646000000000001</v>
      </c>
      <c r="AB54" s="6">
        <v>16.111999999999998</v>
      </c>
      <c r="AC54" s="6">
        <v>110.892</v>
      </c>
      <c r="AD54" s="6">
        <v>0</v>
      </c>
      <c r="AE54" s="6">
        <v>15.807</v>
      </c>
      <c r="AF54" s="6">
        <v>25.594000000000001</v>
      </c>
      <c r="AG54" s="6">
        <v>52.557000000000002</v>
      </c>
      <c r="AH54" s="6">
        <v>2.1789999999999998</v>
      </c>
      <c r="AI54" s="6">
        <v>12.86</v>
      </c>
      <c r="AJ54" s="6">
        <v>3.9929999999999999</v>
      </c>
      <c r="AK54" s="6">
        <v>373.55200000000002</v>
      </c>
      <c r="AL54" s="6">
        <v>64.117999999999995</v>
      </c>
      <c r="AM54" s="6">
        <v>0.21099999999999999</v>
      </c>
    </row>
    <row r="55" spans="1:39" x14ac:dyDescent="0.25">
      <c r="A55" s="15">
        <v>2014</v>
      </c>
      <c r="B55" s="6">
        <v>0</v>
      </c>
      <c r="C55" s="6">
        <v>36.078000000000003</v>
      </c>
      <c r="D55" s="6">
        <v>0.495</v>
      </c>
      <c r="E55" s="6">
        <v>8.8699999999999992</v>
      </c>
      <c r="F55" s="6">
        <v>0</v>
      </c>
      <c r="G55" s="6">
        <v>23.986000000000001</v>
      </c>
      <c r="H55" s="6">
        <v>119.919</v>
      </c>
      <c r="I55" s="6">
        <v>39.084000000000003</v>
      </c>
      <c r="J55" s="6">
        <v>10.404</v>
      </c>
      <c r="K55" s="6">
        <v>0</v>
      </c>
      <c r="L55" s="6">
        <v>0</v>
      </c>
      <c r="M55" s="6">
        <v>59.744999999999997</v>
      </c>
      <c r="N55" s="6">
        <v>50.796999999999997</v>
      </c>
      <c r="O55" s="6">
        <v>2.113</v>
      </c>
      <c r="P55" s="6">
        <v>22.245000000000001</v>
      </c>
      <c r="Q55" s="6">
        <v>0</v>
      </c>
      <c r="R55" s="6">
        <v>23.71</v>
      </c>
      <c r="S55" s="6">
        <v>3.508</v>
      </c>
      <c r="T55" s="6">
        <v>21.795999999999999</v>
      </c>
      <c r="U55" s="6">
        <v>0.17599999999999999</v>
      </c>
      <c r="V55" s="6">
        <v>7.0640000000000001</v>
      </c>
      <c r="W55" s="6">
        <v>3.5049999999999999</v>
      </c>
      <c r="X55" s="6">
        <v>0</v>
      </c>
      <c r="Y55" s="6">
        <v>1.5780000000000001</v>
      </c>
      <c r="Z55" s="6">
        <v>0</v>
      </c>
      <c r="AA55" s="6">
        <v>20.802</v>
      </c>
      <c r="AB55" s="6">
        <v>16.937999999999999</v>
      </c>
      <c r="AC55" s="6">
        <v>100.6</v>
      </c>
      <c r="AD55" s="6">
        <v>0</v>
      </c>
      <c r="AE55" s="6">
        <v>13.619</v>
      </c>
      <c r="AF55" s="6">
        <v>22.545000000000002</v>
      </c>
      <c r="AG55" s="6">
        <v>51.462000000000003</v>
      </c>
      <c r="AH55" s="6">
        <v>1.8120000000000001</v>
      </c>
      <c r="AI55" s="6">
        <v>10.862</v>
      </c>
      <c r="AJ55" s="6">
        <v>3.2519999999999998</v>
      </c>
      <c r="AK55" s="6">
        <v>261.803</v>
      </c>
      <c r="AL55" s="6">
        <v>68.024000000000001</v>
      </c>
      <c r="AM55" s="6">
        <v>0.249</v>
      </c>
    </row>
    <row r="56" spans="1:39" x14ac:dyDescent="0.25">
      <c r="A56" s="14" t="s">
        <v>191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</row>
    <row r="57" spans="1:39" x14ac:dyDescent="0.25">
      <c r="A57" s="15">
        <v>2010</v>
      </c>
      <c r="B57" s="6">
        <v>0</v>
      </c>
      <c r="C57" s="6">
        <v>31.042999999999999</v>
      </c>
      <c r="D57" s="6">
        <v>0.16300000000000001</v>
      </c>
      <c r="E57" s="6">
        <v>14.118</v>
      </c>
      <c r="F57" s="6">
        <v>0</v>
      </c>
      <c r="G57" s="6">
        <v>28.997</v>
      </c>
      <c r="H57" s="6">
        <v>152.06299999999999</v>
      </c>
      <c r="I57" s="6">
        <v>36.183999999999997</v>
      </c>
      <c r="J57" s="6">
        <v>15.074</v>
      </c>
      <c r="K57" s="6">
        <v>0</v>
      </c>
      <c r="L57" s="6">
        <v>0</v>
      </c>
      <c r="M57" s="6">
        <v>61.186999999999998</v>
      </c>
      <c r="N57" s="6">
        <v>13.869</v>
      </c>
      <c r="O57" s="6">
        <v>3.0920000000000001</v>
      </c>
      <c r="P57" s="6">
        <v>15.236000000000001</v>
      </c>
      <c r="Q57" s="6">
        <v>0</v>
      </c>
      <c r="R57" s="6">
        <v>15.798999999999999</v>
      </c>
      <c r="S57" s="6">
        <v>2.8359999999999999</v>
      </c>
      <c r="T57" s="6">
        <v>20.434000000000001</v>
      </c>
      <c r="U57" s="6">
        <v>0.14000000000000001</v>
      </c>
      <c r="V57" s="6">
        <v>11.840999999999999</v>
      </c>
      <c r="W57" s="6">
        <v>4.1870000000000003</v>
      </c>
      <c r="X57" s="6">
        <v>0</v>
      </c>
      <c r="Y57" s="6">
        <v>2.9729999999999999</v>
      </c>
      <c r="Z57" s="6">
        <v>0</v>
      </c>
      <c r="AA57" s="6">
        <v>25.300999999999998</v>
      </c>
      <c r="AB57" s="6">
        <v>16.413</v>
      </c>
      <c r="AC57" s="6">
        <v>129.983</v>
      </c>
      <c r="AD57" s="6">
        <v>0</v>
      </c>
      <c r="AE57" s="6">
        <v>20.39</v>
      </c>
      <c r="AF57" s="6">
        <v>27.062000000000001</v>
      </c>
      <c r="AG57" s="6">
        <v>72.168000000000006</v>
      </c>
      <c r="AH57" s="6">
        <v>2.1190000000000002</v>
      </c>
      <c r="AI57" s="6">
        <v>18.204000000000001</v>
      </c>
      <c r="AJ57" s="6">
        <v>0</v>
      </c>
      <c r="AK57" s="6">
        <v>416.4</v>
      </c>
      <c r="AL57" s="6">
        <v>56.966999999999999</v>
      </c>
      <c r="AM57" s="6">
        <v>0.23100000000000001</v>
      </c>
    </row>
    <row r="58" spans="1:39" x14ac:dyDescent="0.25">
      <c r="A58" s="15">
        <v>2011</v>
      </c>
      <c r="B58" s="6">
        <v>0</v>
      </c>
      <c r="C58" s="6">
        <v>28.664000000000001</v>
      </c>
      <c r="D58" s="6">
        <v>0.80900000000000005</v>
      </c>
      <c r="E58" s="6">
        <v>13.672000000000001</v>
      </c>
      <c r="F58" s="6">
        <v>0</v>
      </c>
      <c r="G58" s="6">
        <v>24.594000000000001</v>
      </c>
      <c r="H58" s="6">
        <v>132.244</v>
      </c>
      <c r="I58" s="6">
        <v>32.112000000000002</v>
      </c>
      <c r="J58" s="6">
        <v>13.884</v>
      </c>
      <c r="K58" s="6">
        <v>0</v>
      </c>
      <c r="L58" s="6">
        <v>0</v>
      </c>
      <c r="M58" s="6">
        <v>52.877000000000002</v>
      </c>
      <c r="N58" s="6">
        <v>11.473000000000001</v>
      </c>
      <c r="O58" s="6">
        <v>3.0219999999999998</v>
      </c>
      <c r="P58" s="6">
        <v>18.321999999999999</v>
      </c>
      <c r="Q58" s="6">
        <v>0</v>
      </c>
      <c r="R58" s="6">
        <v>15.718</v>
      </c>
      <c r="S58" s="6">
        <v>3.2690000000000001</v>
      </c>
      <c r="T58" s="6">
        <v>20.367000000000001</v>
      </c>
      <c r="U58" s="6">
        <v>0.17100000000000001</v>
      </c>
      <c r="V58" s="6">
        <v>10.196</v>
      </c>
      <c r="W58" s="6">
        <v>3.9430000000000001</v>
      </c>
      <c r="X58" s="6">
        <v>0</v>
      </c>
      <c r="Y58" s="6">
        <v>2.2959999999999998</v>
      </c>
      <c r="Z58" s="6">
        <v>0</v>
      </c>
      <c r="AA58" s="6">
        <v>23.895</v>
      </c>
      <c r="AB58" s="6">
        <v>14.436</v>
      </c>
      <c r="AC58" s="6">
        <v>106.249</v>
      </c>
      <c r="AD58" s="6">
        <v>0</v>
      </c>
      <c r="AE58" s="6">
        <v>18.114000000000001</v>
      </c>
      <c r="AF58" s="6">
        <v>28.928999999999998</v>
      </c>
      <c r="AG58" s="6">
        <v>56.392000000000003</v>
      </c>
      <c r="AH58" s="6">
        <v>2.3090000000000002</v>
      </c>
      <c r="AI58" s="6">
        <v>15.398</v>
      </c>
      <c r="AJ58" s="6">
        <v>0</v>
      </c>
      <c r="AK58" s="6">
        <v>413.197</v>
      </c>
      <c r="AL58" s="6">
        <v>58.122</v>
      </c>
      <c r="AM58" s="6">
        <v>0.19</v>
      </c>
    </row>
    <row r="59" spans="1:39" x14ac:dyDescent="0.25">
      <c r="A59" s="15">
        <v>2012</v>
      </c>
      <c r="B59" s="6">
        <v>0</v>
      </c>
      <c r="C59" s="6">
        <v>32.832000000000001</v>
      </c>
      <c r="D59" s="6">
        <v>0.45500000000000002</v>
      </c>
      <c r="E59" s="6">
        <v>10.356</v>
      </c>
      <c r="F59" s="6">
        <v>0</v>
      </c>
      <c r="G59" s="6">
        <v>27.509</v>
      </c>
      <c r="H59" s="6">
        <v>135.40899999999999</v>
      </c>
      <c r="I59" s="6">
        <v>38.19</v>
      </c>
      <c r="J59" s="6">
        <v>14.859</v>
      </c>
      <c r="K59" s="6">
        <v>0</v>
      </c>
      <c r="L59" s="6">
        <v>0</v>
      </c>
      <c r="M59" s="6">
        <v>63.218000000000004</v>
      </c>
      <c r="N59" s="6">
        <v>51.929000000000002</v>
      </c>
      <c r="O59" s="6">
        <v>2.661</v>
      </c>
      <c r="P59" s="6">
        <v>24.018000000000001</v>
      </c>
      <c r="Q59" s="6">
        <v>0</v>
      </c>
      <c r="R59" s="6">
        <v>17.858000000000001</v>
      </c>
      <c r="S59" s="6">
        <v>3.742</v>
      </c>
      <c r="T59" s="6">
        <v>21.277999999999999</v>
      </c>
      <c r="U59" s="6">
        <v>0.16</v>
      </c>
      <c r="V59" s="6">
        <v>9.9640000000000004</v>
      </c>
      <c r="W59" s="6">
        <v>3.7480000000000002</v>
      </c>
      <c r="X59" s="6">
        <v>0</v>
      </c>
      <c r="Y59" s="6">
        <v>1.589</v>
      </c>
      <c r="Z59" s="6">
        <v>0</v>
      </c>
      <c r="AA59" s="6">
        <v>17.321999999999999</v>
      </c>
      <c r="AB59" s="6">
        <v>13.286</v>
      </c>
      <c r="AC59" s="6">
        <v>113.87</v>
      </c>
      <c r="AD59" s="6">
        <v>0</v>
      </c>
      <c r="AE59" s="6">
        <v>16.931999999999999</v>
      </c>
      <c r="AF59" s="6">
        <v>26.222999999999999</v>
      </c>
      <c r="AG59" s="6">
        <v>60.683</v>
      </c>
      <c r="AH59" s="6">
        <v>2.3210000000000002</v>
      </c>
      <c r="AI59" s="6">
        <v>14.859</v>
      </c>
      <c r="AJ59" s="6">
        <v>0</v>
      </c>
      <c r="AK59" s="6">
        <v>392.19099999999997</v>
      </c>
      <c r="AL59" s="6">
        <v>64.180999999999997</v>
      </c>
      <c r="AM59" s="6">
        <v>0.19500000000000001</v>
      </c>
    </row>
    <row r="60" spans="1:39" x14ac:dyDescent="0.25">
      <c r="A60" s="15">
        <v>2013</v>
      </c>
      <c r="B60" s="6">
        <v>0</v>
      </c>
      <c r="C60" s="6">
        <v>36.420999999999999</v>
      </c>
      <c r="D60" s="6">
        <v>0.40899999999999997</v>
      </c>
      <c r="E60" s="6">
        <v>8.0690000000000008</v>
      </c>
      <c r="F60" s="6">
        <v>0</v>
      </c>
      <c r="G60" s="6">
        <v>26.670999999999999</v>
      </c>
      <c r="H60" s="6">
        <v>139.43199999999999</v>
      </c>
      <c r="I60" s="6">
        <v>38.183</v>
      </c>
      <c r="J60" s="6">
        <v>12.454000000000001</v>
      </c>
      <c r="K60" s="6">
        <v>0</v>
      </c>
      <c r="L60" s="6">
        <v>0</v>
      </c>
      <c r="M60" s="6">
        <v>55.948999999999998</v>
      </c>
      <c r="N60" s="6">
        <v>59.683999999999997</v>
      </c>
      <c r="O60" s="6">
        <v>2.621</v>
      </c>
      <c r="P60" s="6">
        <v>24.881</v>
      </c>
      <c r="Q60" s="6">
        <v>0</v>
      </c>
      <c r="R60" s="6">
        <v>17.762</v>
      </c>
      <c r="S60" s="6">
        <v>3.7570000000000001</v>
      </c>
      <c r="T60" s="6">
        <v>19.033999999999999</v>
      </c>
      <c r="U60" s="6">
        <v>0.20399999999999999</v>
      </c>
      <c r="V60" s="6">
        <v>8.109</v>
      </c>
      <c r="W60" s="6">
        <v>3.7240000000000002</v>
      </c>
      <c r="X60" s="6">
        <v>0</v>
      </c>
      <c r="Y60" s="6">
        <v>1.1879999999999999</v>
      </c>
      <c r="Z60" s="6">
        <v>0</v>
      </c>
      <c r="AA60" s="6">
        <v>18.646000000000001</v>
      </c>
      <c r="AB60" s="6">
        <v>16.111999999999998</v>
      </c>
      <c r="AC60" s="6">
        <v>110.892</v>
      </c>
      <c r="AD60" s="6">
        <v>0</v>
      </c>
      <c r="AE60" s="6">
        <v>15.807</v>
      </c>
      <c r="AF60" s="6">
        <v>25.594000000000001</v>
      </c>
      <c r="AG60" s="6">
        <v>52.557000000000002</v>
      </c>
      <c r="AH60" s="6">
        <v>2.1789999999999998</v>
      </c>
      <c r="AI60" s="6">
        <v>12.86</v>
      </c>
      <c r="AJ60" s="6">
        <v>3.9929999999999999</v>
      </c>
      <c r="AK60" s="6">
        <v>373.55200000000002</v>
      </c>
      <c r="AL60" s="6">
        <v>64.117999999999995</v>
      </c>
      <c r="AM60" s="6">
        <v>0.21099999999999999</v>
      </c>
    </row>
    <row r="61" spans="1:39" x14ac:dyDescent="0.25">
      <c r="A61" s="15">
        <v>2014</v>
      </c>
      <c r="B61" s="6">
        <v>0</v>
      </c>
      <c r="C61" s="6">
        <v>36.078000000000003</v>
      </c>
      <c r="D61" s="6">
        <v>0.495</v>
      </c>
      <c r="E61" s="6">
        <v>8.8699999999999992</v>
      </c>
      <c r="F61" s="6">
        <v>0</v>
      </c>
      <c r="G61" s="6">
        <v>23.986000000000001</v>
      </c>
      <c r="H61" s="6">
        <v>119.919</v>
      </c>
      <c r="I61" s="6">
        <v>39.084000000000003</v>
      </c>
      <c r="J61" s="6">
        <v>10.404</v>
      </c>
      <c r="K61" s="6">
        <v>0</v>
      </c>
      <c r="L61" s="6">
        <v>0</v>
      </c>
      <c r="M61" s="6">
        <v>59.744999999999997</v>
      </c>
      <c r="N61" s="6">
        <v>50.796999999999997</v>
      </c>
      <c r="O61" s="6">
        <v>2.113</v>
      </c>
      <c r="P61" s="6">
        <v>22.245000000000001</v>
      </c>
      <c r="Q61" s="6">
        <v>0</v>
      </c>
      <c r="R61" s="6">
        <v>23.71</v>
      </c>
      <c r="S61" s="6">
        <v>3.508</v>
      </c>
      <c r="T61" s="6">
        <v>21.795999999999999</v>
      </c>
      <c r="U61" s="6">
        <v>0.17599999999999999</v>
      </c>
      <c r="V61" s="6">
        <v>7.0640000000000001</v>
      </c>
      <c r="W61" s="6">
        <v>3.5049999999999999</v>
      </c>
      <c r="X61" s="6">
        <v>0</v>
      </c>
      <c r="Y61" s="6">
        <v>1.5780000000000001</v>
      </c>
      <c r="Z61" s="6">
        <v>0</v>
      </c>
      <c r="AA61" s="6">
        <v>20.802</v>
      </c>
      <c r="AB61" s="6">
        <v>16.937999999999999</v>
      </c>
      <c r="AC61" s="6">
        <v>100.6</v>
      </c>
      <c r="AD61" s="6">
        <v>0</v>
      </c>
      <c r="AE61" s="6">
        <v>13.619</v>
      </c>
      <c r="AF61" s="6">
        <v>22.545000000000002</v>
      </c>
      <c r="AG61" s="6">
        <v>51.462000000000003</v>
      </c>
      <c r="AH61" s="6">
        <v>1.8120000000000001</v>
      </c>
      <c r="AI61" s="6">
        <v>10.862</v>
      </c>
      <c r="AJ61" s="6">
        <v>3.2519999999999998</v>
      </c>
      <c r="AK61" s="6">
        <v>261.803</v>
      </c>
      <c r="AL61" s="6">
        <v>68.024000000000001</v>
      </c>
      <c r="AM61" s="6">
        <v>0.249</v>
      </c>
    </row>
    <row r="62" spans="1:39" x14ac:dyDescent="0.25">
      <c r="A62" s="12" t="s">
        <v>192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</row>
    <row r="63" spans="1:39" x14ac:dyDescent="0.25">
      <c r="A63" s="13" t="s">
        <v>170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</row>
    <row r="64" spans="1:39" x14ac:dyDescent="0.25">
      <c r="A64" s="14" t="s">
        <v>183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</row>
    <row r="65" spans="1:39" x14ac:dyDescent="0.25">
      <c r="A65" s="15">
        <v>2010</v>
      </c>
      <c r="B65" s="6">
        <v>0</v>
      </c>
      <c r="C65" s="6">
        <v>0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6">
        <v>0</v>
      </c>
      <c r="Y65" s="6">
        <v>0</v>
      </c>
      <c r="Z65" s="6">
        <v>0</v>
      </c>
      <c r="AA65" s="6">
        <v>0</v>
      </c>
      <c r="AB65" s="6">
        <v>0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>
        <v>0</v>
      </c>
      <c r="AJ65" s="6">
        <v>0</v>
      </c>
      <c r="AK65" s="6">
        <v>0</v>
      </c>
      <c r="AL65" s="6">
        <v>0</v>
      </c>
      <c r="AM65" s="6">
        <v>0</v>
      </c>
    </row>
    <row r="66" spans="1:39" x14ac:dyDescent="0.25">
      <c r="A66" s="15">
        <v>2011</v>
      </c>
      <c r="B66" s="6">
        <v>0</v>
      </c>
      <c r="C66" s="6">
        <v>0</v>
      </c>
      <c r="D66" s="6">
        <v>0</v>
      </c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6">
        <v>0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>
        <v>0</v>
      </c>
      <c r="AJ66" s="6">
        <v>0</v>
      </c>
      <c r="AK66" s="6">
        <v>0</v>
      </c>
      <c r="AL66" s="6">
        <v>0</v>
      </c>
      <c r="AM66" s="6">
        <v>0</v>
      </c>
    </row>
    <row r="67" spans="1:39" x14ac:dyDescent="0.25">
      <c r="A67" s="15">
        <v>2012</v>
      </c>
      <c r="B67" s="6">
        <v>0</v>
      </c>
      <c r="C67" s="6">
        <v>0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s="15">
        <v>2013</v>
      </c>
      <c r="B68" s="6">
        <v>0</v>
      </c>
      <c r="C68" s="6">
        <v>0</v>
      </c>
      <c r="D68" s="6">
        <v>0</v>
      </c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6">
        <v>0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>
        <v>0</v>
      </c>
      <c r="AJ68" s="6">
        <v>0</v>
      </c>
      <c r="AK68" s="6">
        <v>0</v>
      </c>
      <c r="AL68" s="6">
        <v>0</v>
      </c>
      <c r="AM68" s="6">
        <v>0</v>
      </c>
    </row>
    <row r="69" spans="1:39" x14ac:dyDescent="0.25">
      <c r="A69" s="15">
        <v>2014</v>
      </c>
      <c r="B69" s="6">
        <v>0</v>
      </c>
      <c r="C69" s="6">
        <v>0</v>
      </c>
      <c r="D69" s="6">
        <v>0</v>
      </c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6">
        <v>0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>
        <v>0</v>
      </c>
      <c r="AJ69" s="6">
        <v>0</v>
      </c>
      <c r="AK69" s="6">
        <v>0</v>
      </c>
      <c r="AL69" s="6">
        <v>0</v>
      </c>
      <c r="AM69" s="6">
        <v>0</v>
      </c>
    </row>
    <row r="70" spans="1:39" x14ac:dyDescent="0.25">
      <c r="A70" s="14" t="s">
        <v>184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</row>
    <row r="71" spans="1:39" x14ac:dyDescent="0.25">
      <c r="A71" s="15">
        <v>2010</v>
      </c>
      <c r="B71" s="6">
        <v>0</v>
      </c>
      <c r="C71" s="6">
        <v>0</v>
      </c>
      <c r="D71" s="6">
        <v>0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>
        <v>0</v>
      </c>
      <c r="AJ71" s="6">
        <v>0</v>
      </c>
      <c r="AK71" s="6">
        <v>0</v>
      </c>
      <c r="AL71" s="6">
        <v>0</v>
      </c>
      <c r="AM71" s="6">
        <v>0</v>
      </c>
    </row>
    <row r="72" spans="1:39" x14ac:dyDescent="0.25">
      <c r="A72" s="15">
        <v>2011</v>
      </c>
      <c r="B72" s="6">
        <v>0</v>
      </c>
      <c r="C72" s="6">
        <v>0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</row>
    <row r="73" spans="1:39" x14ac:dyDescent="0.25">
      <c r="A73" s="15">
        <v>2012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0</v>
      </c>
      <c r="Z73" s="6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6">
        <v>0</v>
      </c>
      <c r="AH73" s="6">
        <v>0</v>
      </c>
      <c r="AI73" s="6">
        <v>0</v>
      </c>
      <c r="AJ73" s="6">
        <v>0</v>
      </c>
      <c r="AK73" s="6">
        <v>0</v>
      </c>
      <c r="AL73" s="6">
        <v>0</v>
      </c>
      <c r="AM73" s="6">
        <v>0</v>
      </c>
    </row>
    <row r="74" spans="1:39" x14ac:dyDescent="0.25">
      <c r="A74" s="15">
        <v>2013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>
        <v>0</v>
      </c>
      <c r="AJ74" s="6">
        <v>0</v>
      </c>
      <c r="AK74" s="6">
        <v>0</v>
      </c>
      <c r="AL74" s="6">
        <v>0</v>
      </c>
      <c r="AM74" s="6">
        <v>0</v>
      </c>
    </row>
    <row r="75" spans="1:39" x14ac:dyDescent="0.25">
      <c r="A75" s="15">
        <v>2014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6">
        <v>0</v>
      </c>
      <c r="Y75" s="6">
        <v>0</v>
      </c>
      <c r="Z75" s="6">
        <v>0</v>
      </c>
      <c r="AA75" s="6">
        <v>0</v>
      </c>
      <c r="AB75" s="6">
        <v>0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>
        <v>0</v>
      </c>
      <c r="AJ75" s="6">
        <v>0</v>
      </c>
      <c r="AK75" s="6">
        <v>0</v>
      </c>
      <c r="AL75" s="6">
        <v>0</v>
      </c>
      <c r="AM75" s="6">
        <v>0</v>
      </c>
    </row>
    <row r="76" spans="1:39" x14ac:dyDescent="0.25">
      <c r="A76" s="14" t="s">
        <v>185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</row>
    <row r="77" spans="1:39" x14ac:dyDescent="0.25">
      <c r="A77" s="15">
        <v>2010</v>
      </c>
      <c r="B77" s="6">
        <v>0</v>
      </c>
      <c r="C77" s="6">
        <v>0.08</v>
      </c>
      <c r="D77" s="6">
        <v>0</v>
      </c>
      <c r="E77" s="6">
        <v>0</v>
      </c>
      <c r="F77" s="6">
        <v>0</v>
      </c>
      <c r="G77" s="6">
        <v>0</v>
      </c>
      <c r="H77" s="6">
        <v>0.89200000000000002</v>
      </c>
      <c r="I77" s="6">
        <v>0.185</v>
      </c>
      <c r="J77" s="6">
        <v>4.0000000000000001E-3</v>
      </c>
      <c r="K77" s="6">
        <v>0</v>
      </c>
      <c r="L77" s="6">
        <v>0</v>
      </c>
      <c r="M77" s="6">
        <v>0.378</v>
      </c>
      <c r="N77" s="6">
        <v>0.14799999999999999</v>
      </c>
      <c r="O77" s="6">
        <v>0</v>
      </c>
      <c r="P77" s="6">
        <v>1.2999999999999999E-2</v>
      </c>
      <c r="Q77" s="6">
        <v>0</v>
      </c>
      <c r="R77" s="6">
        <v>0</v>
      </c>
      <c r="S77" s="6">
        <v>1.4999999999999999E-2</v>
      </c>
      <c r="T77" s="6">
        <v>0</v>
      </c>
      <c r="U77" s="6">
        <v>0</v>
      </c>
      <c r="V77" s="6">
        <v>0</v>
      </c>
      <c r="W77" s="6">
        <v>0</v>
      </c>
      <c r="X77" s="6">
        <v>0</v>
      </c>
      <c r="Y77" s="6">
        <v>0</v>
      </c>
      <c r="Z77" s="6">
        <v>0</v>
      </c>
      <c r="AA77" s="6">
        <v>0</v>
      </c>
      <c r="AB77" s="6">
        <v>7.6999999999999999E-2</v>
      </c>
      <c r="AC77" s="6">
        <v>1.4999999999999999E-2</v>
      </c>
      <c r="AD77" s="6">
        <v>0</v>
      </c>
      <c r="AE77" s="6">
        <v>0.02</v>
      </c>
      <c r="AF77" s="6">
        <v>0</v>
      </c>
      <c r="AG77" s="6">
        <v>0.46800000000000003</v>
      </c>
      <c r="AH77" s="6">
        <v>0</v>
      </c>
      <c r="AI77" s="6">
        <v>0.03</v>
      </c>
      <c r="AJ77" s="6">
        <v>0</v>
      </c>
      <c r="AK77" s="6">
        <v>0</v>
      </c>
      <c r="AL77" s="6">
        <v>0</v>
      </c>
      <c r="AM77" s="6">
        <v>0</v>
      </c>
    </row>
    <row r="78" spans="1:39" x14ac:dyDescent="0.25">
      <c r="A78" s="15">
        <v>2011</v>
      </c>
      <c r="B78" s="6">
        <v>0</v>
      </c>
      <c r="C78" s="6">
        <v>7.3999999999999996E-2</v>
      </c>
      <c r="D78" s="6">
        <v>0</v>
      </c>
      <c r="E78" s="6">
        <v>0</v>
      </c>
      <c r="F78" s="6">
        <v>0</v>
      </c>
      <c r="G78" s="6">
        <v>0</v>
      </c>
      <c r="H78" s="6">
        <v>2.0369999999999999</v>
      </c>
      <c r="I78" s="6">
        <v>0.186</v>
      </c>
      <c r="J78" s="6">
        <v>0</v>
      </c>
      <c r="K78" s="6">
        <v>0</v>
      </c>
      <c r="L78" s="6">
        <v>0</v>
      </c>
      <c r="M78" s="6">
        <v>0.34699999999999998</v>
      </c>
      <c r="N78" s="6">
        <v>0.13800000000000001</v>
      </c>
      <c r="O78" s="6">
        <v>0</v>
      </c>
      <c r="P78" s="6">
        <v>1.4E-2</v>
      </c>
      <c r="Q78" s="6">
        <v>0</v>
      </c>
      <c r="R78" s="6">
        <v>0</v>
      </c>
      <c r="S78" s="6">
        <v>1.2999999999999999E-2</v>
      </c>
      <c r="T78" s="6">
        <v>0</v>
      </c>
      <c r="U78" s="6">
        <v>0</v>
      </c>
      <c r="V78" s="6">
        <v>0</v>
      </c>
      <c r="W78" s="6">
        <v>0</v>
      </c>
      <c r="X78" s="6">
        <v>0</v>
      </c>
      <c r="Y78" s="6">
        <v>0</v>
      </c>
      <c r="Z78" s="6">
        <v>0</v>
      </c>
      <c r="AA78" s="6">
        <v>0</v>
      </c>
      <c r="AB78" s="6">
        <v>8.2000000000000003E-2</v>
      </c>
      <c r="AC78" s="6">
        <v>1.6E-2</v>
      </c>
      <c r="AD78" s="6">
        <v>0</v>
      </c>
      <c r="AE78" s="6">
        <v>5.1999999999999998E-2</v>
      </c>
      <c r="AF78" s="6">
        <v>0</v>
      </c>
      <c r="AG78" s="6">
        <v>0.42699999999999999</v>
      </c>
      <c r="AH78" s="6">
        <v>0</v>
      </c>
      <c r="AI78" s="6">
        <v>4.8000000000000001E-2</v>
      </c>
      <c r="AJ78" s="6">
        <v>0</v>
      </c>
      <c r="AK78" s="6">
        <v>0</v>
      </c>
      <c r="AL78" s="6">
        <v>0</v>
      </c>
      <c r="AM78" s="6">
        <v>0</v>
      </c>
    </row>
    <row r="79" spans="1:39" x14ac:dyDescent="0.25">
      <c r="A79" s="15">
        <v>2012</v>
      </c>
      <c r="B79" s="6">
        <v>0</v>
      </c>
      <c r="C79" s="6">
        <v>8.7999999999999995E-2</v>
      </c>
      <c r="D79" s="6">
        <v>0</v>
      </c>
      <c r="E79" s="6">
        <v>0</v>
      </c>
      <c r="F79" s="6">
        <v>0</v>
      </c>
      <c r="G79" s="6">
        <v>0</v>
      </c>
      <c r="H79" s="6">
        <v>2.0830000000000002</v>
      </c>
      <c r="I79" s="6">
        <v>0.24299999999999999</v>
      </c>
      <c r="J79" s="6">
        <v>0</v>
      </c>
      <c r="K79" s="6">
        <v>0</v>
      </c>
      <c r="L79" s="6">
        <v>0</v>
      </c>
      <c r="M79" s="6">
        <v>0.34100000000000003</v>
      </c>
      <c r="N79" s="6">
        <v>0.127</v>
      </c>
      <c r="O79" s="6">
        <v>0</v>
      </c>
      <c r="P79" s="6">
        <v>1.9E-2</v>
      </c>
      <c r="Q79" s="6">
        <v>0</v>
      </c>
      <c r="R79" s="6">
        <v>0</v>
      </c>
      <c r="S79" s="6">
        <v>1.4999999999999999E-2</v>
      </c>
      <c r="T79" s="6">
        <v>0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v>0</v>
      </c>
      <c r="AA79" s="6">
        <v>0</v>
      </c>
      <c r="AB79" s="6">
        <v>0.151</v>
      </c>
      <c r="AC79" s="6">
        <v>1.4999999999999999E-2</v>
      </c>
      <c r="AD79" s="6">
        <v>0</v>
      </c>
      <c r="AE79" s="6">
        <v>3.6999999999999998E-2</v>
      </c>
      <c r="AF79" s="6">
        <v>0</v>
      </c>
      <c r="AG79" s="6">
        <v>0.26600000000000001</v>
      </c>
      <c r="AH79" s="6">
        <v>0</v>
      </c>
      <c r="AI79" s="6">
        <v>0</v>
      </c>
      <c r="AJ79" s="6">
        <v>0</v>
      </c>
      <c r="AK79" s="6">
        <v>0</v>
      </c>
      <c r="AL79" s="6">
        <v>0</v>
      </c>
      <c r="AM79" s="6">
        <v>0</v>
      </c>
    </row>
    <row r="80" spans="1:39" x14ac:dyDescent="0.25">
      <c r="A80" s="15">
        <v>2013</v>
      </c>
      <c r="B80" s="6">
        <v>0</v>
      </c>
      <c r="C80" s="6">
        <v>8.7999999999999995E-2</v>
      </c>
      <c r="D80" s="6">
        <v>0</v>
      </c>
      <c r="E80" s="6">
        <v>0</v>
      </c>
      <c r="F80" s="6">
        <v>0</v>
      </c>
      <c r="G80" s="6">
        <v>0</v>
      </c>
      <c r="H80" s="6">
        <v>3.4740000000000002</v>
      </c>
      <c r="I80" s="6">
        <v>0.08</v>
      </c>
      <c r="J80" s="6">
        <v>0</v>
      </c>
      <c r="K80" s="6">
        <v>0</v>
      </c>
      <c r="L80" s="6">
        <v>0</v>
      </c>
      <c r="M80" s="6">
        <v>0.379</v>
      </c>
      <c r="N80" s="6">
        <v>0.127</v>
      </c>
      <c r="O80" s="6">
        <v>0</v>
      </c>
      <c r="P80" s="6">
        <v>1E-3</v>
      </c>
      <c r="Q80" s="6">
        <v>0</v>
      </c>
      <c r="R80" s="6">
        <v>0</v>
      </c>
      <c r="S80" s="6">
        <v>1.4E-2</v>
      </c>
      <c r="T80" s="6">
        <v>0</v>
      </c>
      <c r="U80" s="6">
        <v>0</v>
      </c>
      <c r="V80" s="6">
        <v>0</v>
      </c>
      <c r="W80" s="6">
        <v>0</v>
      </c>
      <c r="X80" s="6">
        <v>0</v>
      </c>
      <c r="Y80" s="6">
        <v>0</v>
      </c>
      <c r="Z80" s="6">
        <v>0</v>
      </c>
      <c r="AA80" s="6">
        <v>0</v>
      </c>
      <c r="AB80" s="6">
        <v>8.7999999999999995E-2</v>
      </c>
      <c r="AC80" s="6">
        <v>1.4999999999999999E-2</v>
      </c>
      <c r="AD80" s="6">
        <v>0</v>
      </c>
      <c r="AE80" s="6">
        <v>1.7000000000000001E-2</v>
      </c>
      <c r="AF80" s="6">
        <v>0</v>
      </c>
      <c r="AG80" s="6">
        <v>0.35299999999999998</v>
      </c>
      <c r="AH80" s="6">
        <v>0</v>
      </c>
      <c r="AI80" s="6">
        <v>0</v>
      </c>
      <c r="AJ80" s="6">
        <v>0</v>
      </c>
      <c r="AK80" s="6">
        <v>0</v>
      </c>
      <c r="AL80" s="6">
        <v>0</v>
      </c>
      <c r="AM80" s="6">
        <v>0</v>
      </c>
    </row>
    <row r="81" spans="1:39" x14ac:dyDescent="0.25">
      <c r="A81" s="15">
        <v>2014</v>
      </c>
      <c r="B81" s="6">
        <v>0</v>
      </c>
      <c r="C81" s="6">
        <v>7.5999999999999998E-2</v>
      </c>
      <c r="D81" s="6">
        <v>0</v>
      </c>
      <c r="E81" s="6">
        <v>0</v>
      </c>
      <c r="F81" s="6">
        <v>0</v>
      </c>
      <c r="G81" s="6">
        <v>0</v>
      </c>
      <c r="H81" s="6">
        <v>4.1849999999999996</v>
      </c>
      <c r="I81" s="6">
        <v>0.317</v>
      </c>
      <c r="J81" s="6">
        <v>0</v>
      </c>
      <c r="K81" s="6">
        <v>0</v>
      </c>
      <c r="L81" s="6">
        <v>0</v>
      </c>
      <c r="M81" s="6">
        <v>0.39500000000000002</v>
      </c>
      <c r="N81" s="6">
        <v>0.127</v>
      </c>
      <c r="O81" s="6">
        <v>0</v>
      </c>
      <c r="P81" s="6">
        <v>0</v>
      </c>
      <c r="Q81" s="6">
        <v>0</v>
      </c>
      <c r="R81" s="6">
        <v>0</v>
      </c>
      <c r="S81" s="6">
        <v>1.6E-2</v>
      </c>
      <c r="T81" s="6">
        <v>0</v>
      </c>
      <c r="U81" s="6">
        <v>0</v>
      </c>
      <c r="V81" s="6">
        <v>0</v>
      </c>
      <c r="W81" s="6">
        <v>0</v>
      </c>
      <c r="X81" s="6">
        <v>0</v>
      </c>
      <c r="Y81" s="6">
        <v>0</v>
      </c>
      <c r="Z81" s="6">
        <v>0</v>
      </c>
      <c r="AA81" s="6">
        <v>0</v>
      </c>
      <c r="AB81" s="6">
        <v>0.27</v>
      </c>
      <c r="AC81" s="6">
        <v>1.4E-2</v>
      </c>
      <c r="AD81" s="6">
        <v>0</v>
      </c>
      <c r="AE81" s="6">
        <v>2E-3</v>
      </c>
      <c r="AF81" s="6">
        <v>0</v>
      </c>
      <c r="AG81" s="6">
        <v>0.19500000000000001</v>
      </c>
      <c r="AH81" s="6">
        <v>0</v>
      </c>
      <c r="AI81" s="6">
        <v>0</v>
      </c>
      <c r="AJ81" s="6">
        <v>0</v>
      </c>
      <c r="AK81" s="6">
        <v>0</v>
      </c>
      <c r="AL81" s="6">
        <v>0</v>
      </c>
      <c r="AM81" s="6">
        <v>0</v>
      </c>
    </row>
    <row r="82" spans="1:39" x14ac:dyDescent="0.25">
      <c r="A82" s="14" t="s">
        <v>186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</row>
    <row r="83" spans="1:39" x14ac:dyDescent="0.25">
      <c r="A83" s="15">
        <v>2010</v>
      </c>
      <c r="B83" s="6">
        <v>0</v>
      </c>
      <c r="C83" s="6">
        <v>0</v>
      </c>
      <c r="D83" s="6">
        <v>0</v>
      </c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6">
        <v>0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>
        <v>0</v>
      </c>
      <c r="AJ83" s="6">
        <v>0</v>
      </c>
      <c r="AK83" s="6">
        <v>0</v>
      </c>
      <c r="AL83" s="6">
        <v>0</v>
      </c>
      <c r="AM83" s="6">
        <v>0</v>
      </c>
    </row>
    <row r="84" spans="1:39" x14ac:dyDescent="0.25">
      <c r="A84" s="15">
        <v>2011</v>
      </c>
      <c r="B84" s="6">
        <v>0</v>
      </c>
      <c r="C84" s="6">
        <v>0</v>
      </c>
      <c r="D84" s="6">
        <v>0</v>
      </c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>
        <v>0</v>
      </c>
      <c r="AJ84" s="6">
        <v>0</v>
      </c>
      <c r="AK84" s="6">
        <v>0</v>
      </c>
      <c r="AL84" s="6">
        <v>0</v>
      </c>
      <c r="AM84" s="6">
        <v>0</v>
      </c>
    </row>
    <row r="85" spans="1:39" x14ac:dyDescent="0.25">
      <c r="A85" s="15">
        <v>2012</v>
      </c>
      <c r="B85" s="6">
        <v>0</v>
      </c>
      <c r="C85" s="6">
        <v>0</v>
      </c>
      <c r="D85" s="6">
        <v>0</v>
      </c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6">
        <v>0</v>
      </c>
      <c r="Y85" s="6">
        <v>0</v>
      </c>
      <c r="Z85" s="6">
        <v>0</v>
      </c>
      <c r="AA85" s="6">
        <v>0</v>
      </c>
      <c r="AB85" s="6">
        <v>0</v>
      </c>
      <c r="AC85" s="6">
        <v>0</v>
      </c>
      <c r="AD85" s="6">
        <v>0</v>
      </c>
      <c r="AE85" s="6">
        <v>0</v>
      </c>
      <c r="AF85" s="6">
        <v>0</v>
      </c>
      <c r="AG85" s="6">
        <v>0</v>
      </c>
      <c r="AH85" s="6">
        <v>0</v>
      </c>
      <c r="AI85" s="6">
        <v>0</v>
      </c>
      <c r="AJ85" s="6">
        <v>0</v>
      </c>
      <c r="AK85" s="6">
        <v>0</v>
      </c>
      <c r="AL85" s="6">
        <v>0</v>
      </c>
      <c r="AM85" s="6">
        <v>0</v>
      </c>
    </row>
    <row r="86" spans="1:39" x14ac:dyDescent="0.25">
      <c r="A86" s="15">
        <v>2013</v>
      </c>
      <c r="B86" s="6">
        <v>0</v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6">
        <v>0</v>
      </c>
      <c r="Y86" s="6">
        <v>0</v>
      </c>
      <c r="Z86" s="6">
        <v>0</v>
      </c>
      <c r="AA86" s="6">
        <v>0</v>
      </c>
      <c r="AB86" s="6">
        <v>0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>
        <v>0</v>
      </c>
      <c r="AI86" s="6">
        <v>0</v>
      </c>
      <c r="AJ86" s="6">
        <v>0</v>
      </c>
      <c r="AK86" s="6">
        <v>0</v>
      </c>
      <c r="AL86" s="6">
        <v>0</v>
      </c>
      <c r="AM86" s="6">
        <v>0</v>
      </c>
    </row>
    <row r="87" spans="1:39" x14ac:dyDescent="0.25">
      <c r="A87" s="15">
        <v>2014</v>
      </c>
      <c r="B87" s="6">
        <v>0</v>
      </c>
      <c r="C87" s="6">
        <v>0</v>
      </c>
      <c r="D87" s="6">
        <v>0</v>
      </c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v>0</v>
      </c>
      <c r="AA87" s="6">
        <v>0</v>
      </c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>
        <v>0</v>
      </c>
      <c r="AI87" s="6">
        <v>0</v>
      </c>
      <c r="AJ87" s="6">
        <v>0</v>
      </c>
      <c r="AK87" s="6">
        <v>0</v>
      </c>
      <c r="AL87" s="6">
        <v>0</v>
      </c>
      <c r="AM87" s="6">
        <v>0</v>
      </c>
    </row>
    <row r="88" spans="1:39" x14ac:dyDescent="0.25">
      <c r="A88" s="14" t="s">
        <v>178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</row>
    <row r="89" spans="1:39" x14ac:dyDescent="0.25">
      <c r="A89" s="15">
        <v>2010</v>
      </c>
      <c r="B89" s="6">
        <v>0</v>
      </c>
      <c r="C89" s="6">
        <v>23.696100000000001</v>
      </c>
      <c r="D89" s="6">
        <v>0</v>
      </c>
      <c r="E89" s="6">
        <v>0.09</v>
      </c>
      <c r="F89" s="6">
        <v>0</v>
      </c>
      <c r="G89" s="6">
        <v>1.1359999999999999</v>
      </c>
      <c r="H89" s="6">
        <v>29.165199999999999</v>
      </c>
      <c r="I89" s="6">
        <v>21.097999999999999</v>
      </c>
      <c r="J89" s="6">
        <v>3.8069999999999999</v>
      </c>
      <c r="K89" s="6">
        <v>0</v>
      </c>
      <c r="L89" s="6">
        <v>0</v>
      </c>
      <c r="M89" s="6">
        <v>24.087</v>
      </c>
      <c r="N89" s="6">
        <v>12.028</v>
      </c>
      <c r="O89" s="6">
        <v>0</v>
      </c>
      <c r="P89" s="6">
        <v>0.20799999999999999</v>
      </c>
      <c r="Q89" s="6">
        <v>0</v>
      </c>
      <c r="R89" s="6">
        <v>1.7999999999999999E-2</v>
      </c>
      <c r="S89" s="6">
        <v>3.4068999999999998</v>
      </c>
      <c r="T89" s="6">
        <v>8.0370000000000008</v>
      </c>
      <c r="U89" s="6">
        <v>9.5000000000000001E-2</v>
      </c>
      <c r="V89" s="6">
        <v>6.1909999999999998</v>
      </c>
      <c r="W89" s="6">
        <v>0.51800000000000002</v>
      </c>
      <c r="X89" s="6">
        <v>0</v>
      </c>
      <c r="Y89" s="6">
        <v>0</v>
      </c>
      <c r="Z89" s="6">
        <v>0</v>
      </c>
      <c r="AA89" s="6">
        <v>5.5229999999999997</v>
      </c>
      <c r="AB89" s="6">
        <v>6.452</v>
      </c>
      <c r="AC89" s="6">
        <v>1.893</v>
      </c>
      <c r="AD89" s="6">
        <v>0</v>
      </c>
      <c r="AE89" s="6">
        <v>1.768</v>
      </c>
      <c r="AF89" s="6">
        <v>8.4000000000000005E-2</v>
      </c>
      <c r="AG89" s="6">
        <v>52.1004</v>
      </c>
      <c r="AH89" s="6">
        <v>0.26900000000000002</v>
      </c>
      <c r="AI89" s="6">
        <v>2.7639999999999998</v>
      </c>
      <c r="AJ89" s="6">
        <v>0</v>
      </c>
      <c r="AK89" s="6">
        <v>2.7549999999999999</v>
      </c>
      <c r="AL89" s="6">
        <v>1.0069999999999999</v>
      </c>
      <c r="AM89" s="6">
        <v>0</v>
      </c>
    </row>
    <row r="90" spans="1:39" x14ac:dyDescent="0.25">
      <c r="A90" s="15">
        <v>2011</v>
      </c>
      <c r="B90" s="6">
        <v>0</v>
      </c>
      <c r="C90" s="6">
        <v>19.436</v>
      </c>
      <c r="D90" s="6">
        <v>0</v>
      </c>
      <c r="E90" s="6">
        <v>9.0999999999999998E-2</v>
      </c>
      <c r="F90" s="6">
        <v>0</v>
      </c>
      <c r="G90" s="6">
        <v>1.4630000000000001</v>
      </c>
      <c r="H90" s="6">
        <v>30.428699999999999</v>
      </c>
      <c r="I90" s="6">
        <v>19.0623</v>
      </c>
      <c r="J90" s="6">
        <v>5.0030000000000001</v>
      </c>
      <c r="K90" s="6">
        <v>0</v>
      </c>
      <c r="L90" s="6">
        <v>0</v>
      </c>
      <c r="M90" s="6">
        <v>22.792999999999999</v>
      </c>
      <c r="N90" s="6">
        <v>9.8670000000000009</v>
      </c>
      <c r="O90" s="6">
        <v>0</v>
      </c>
      <c r="P90" s="6">
        <v>0.52300000000000002</v>
      </c>
      <c r="Q90" s="6">
        <v>0</v>
      </c>
      <c r="R90" s="6">
        <v>0</v>
      </c>
      <c r="S90" s="6">
        <v>3.6857000000000002</v>
      </c>
      <c r="T90" s="6">
        <v>7.51</v>
      </c>
      <c r="U90" s="6">
        <v>0.10100000000000001</v>
      </c>
      <c r="V90" s="6">
        <v>5.4349999999999996</v>
      </c>
      <c r="W90" s="6">
        <v>0.4</v>
      </c>
      <c r="X90" s="6">
        <v>0</v>
      </c>
      <c r="Y90" s="6">
        <v>0</v>
      </c>
      <c r="Z90" s="6">
        <v>0</v>
      </c>
      <c r="AA90" s="6">
        <v>5.3220000000000001</v>
      </c>
      <c r="AB90" s="6">
        <v>6.3419999999999996</v>
      </c>
      <c r="AC90" s="6">
        <v>1.788</v>
      </c>
      <c r="AD90" s="6">
        <v>0</v>
      </c>
      <c r="AE90" s="6">
        <v>2.875</v>
      </c>
      <c r="AF90" s="6">
        <v>0.09</v>
      </c>
      <c r="AG90" s="6">
        <v>49.485999999999997</v>
      </c>
      <c r="AH90" s="6">
        <v>0.34699999999999998</v>
      </c>
      <c r="AI90" s="6">
        <v>2.8180000000000001</v>
      </c>
      <c r="AJ90" s="6">
        <v>0</v>
      </c>
      <c r="AK90" s="6">
        <v>1.964</v>
      </c>
      <c r="AL90" s="6">
        <v>2.8039999999999998</v>
      </c>
      <c r="AM90" s="6">
        <v>0</v>
      </c>
    </row>
    <row r="91" spans="1:39" x14ac:dyDescent="0.25">
      <c r="A91" s="15">
        <v>2012</v>
      </c>
      <c r="B91" s="6">
        <v>0</v>
      </c>
      <c r="C91" s="6">
        <v>22.495999999999999</v>
      </c>
      <c r="D91" s="6">
        <v>0.17699999999999999</v>
      </c>
      <c r="E91" s="6">
        <v>0.125</v>
      </c>
      <c r="F91" s="6">
        <v>0</v>
      </c>
      <c r="G91" s="6">
        <v>1.1779999999999999</v>
      </c>
      <c r="H91" s="6">
        <v>39.251600000000003</v>
      </c>
      <c r="I91" s="6">
        <v>20.675000000000001</v>
      </c>
      <c r="J91" s="6">
        <v>4.0279999999999996</v>
      </c>
      <c r="K91" s="6">
        <v>0</v>
      </c>
      <c r="L91" s="6">
        <v>0</v>
      </c>
      <c r="M91" s="6">
        <v>26.725000000000001</v>
      </c>
      <c r="N91" s="6">
        <v>13.005000000000001</v>
      </c>
      <c r="O91" s="6">
        <v>0</v>
      </c>
      <c r="P91" s="6">
        <v>0.82899999999999996</v>
      </c>
      <c r="Q91" s="6">
        <v>0</v>
      </c>
      <c r="R91" s="6">
        <v>0</v>
      </c>
      <c r="S91" s="6">
        <v>3.976</v>
      </c>
      <c r="T91" s="6">
        <v>9.2360000000000007</v>
      </c>
      <c r="U91" s="6">
        <v>0.10199999999999999</v>
      </c>
      <c r="V91" s="6">
        <v>5.9039999999999999</v>
      </c>
      <c r="W91" s="6">
        <v>0.23</v>
      </c>
      <c r="X91" s="6">
        <v>0</v>
      </c>
      <c r="Y91" s="6">
        <v>0</v>
      </c>
      <c r="Z91" s="6">
        <v>0</v>
      </c>
      <c r="AA91" s="6">
        <v>2.3E-2</v>
      </c>
      <c r="AB91" s="6">
        <v>7.3109999999999999</v>
      </c>
      <c r="AC91" s="6">
        <v>1.7</v>
      </c>
      <c r="AD91" s="6">
        <v>0</v>
      </c>
      <c r="AE91" s="6">
        <v>1.9690000000000001</v>
      </c>
      <c r="AF91" s="6">
        <v>7.2999999999999995E-2</v>
      </c>
      <c r="AG91" s="6">
        <v>46.206200000000003</v>
      </c>
      <c r="AH91" s="6">
        <v>0.41599999999999998</v>
      </c>
      <c r="AI91" s="6">
        <v>3.0049999999999999</v>
      </c>
      <c r="AJ91" s="6">
        <v>0</v>
      </c>
      <c r="AK91" s="6">
        <v>2.109</v>
      </c>
      <c r="AL91" s="6">
        <v>3.5760000000000001</v>
      </c>
      <c r="AM91" s="6">
        <v>0</v>
      </c>
    </row>
    <row r="92" spans="1:39" x14ac:dyDescent="0.25">
      <c r="A92" s="15">
        <v>2013</v>
      </c>
      <c r="B92" s="6">
        <v>0</v>
      </c>
      <c r="C92" s="6">
        <v>23.565799999999999</v>
      </c>
      <c r="D92" s="6">
        <v>0.17699999999999999</v>
      </c>
      <c r="E92" s="6">
        <v>5.2999999999999999E-2</v>
      </c>
      <c r="F92" s="6">
        <v>0</v>
      </c>
      <c r="G92" s="6">
        <v>1.2869999999999999</v>
      </c>
      <c r="H92" s="6">
        <v>33.248100000000001</v>
      </c>
      <c r="I92" s="6">
        <v>20.406400000000001</v>
      </c>
      <c r="J92" s="6">
        <v>4.2539999999999996</v>
      </c>
      <c r="K92" s="6">
        <v>0</v>
      </c>
      <c r="L92" s="6">
        <v>0</v>
      </c>
      <c r="M92" s="6">
        <v>27.144300000000001</v>
      </c>
      <c r="N92" s="6">
        <v>15.151</v>
      </c>
      <c r="O92" s="6">
        <v>0</v>
      </c>
      <c r="P92" s="6">
        <v>1.86</v>
      </c>
      <c r="Q92" s="6">
        <v>0</v>
      </c>
      <c r="R92" s="6">
        <v>0</v>
      </c>
      <c r="S92" s="6">
        <v>4.0077999999999996</v>
      </c>
      <c r="T92" s="6">
        <v>8.7780000000000005</v>
      </c>
      <c r="U92" s="6">
        <v>0.11600000000000001</v>
      </c>
      <c r="V92" s="6">
        <v>5.9880000000000004</v>
      </c>
      <c r="W92" s="6">
        <v>0.26900000000000002</v>
      </c>
      <c r="X92" s="6">
        <v>0</v>
      </c>
      <c r="Y92" s="6">
        <v>0</v>
      </c>
      <c r="Z92" s="6">
        <v>0</v>
      </c>
      <c r="AA92" s="6">
        <v>7.5999999999999998E-2</v>
      </c>
      <c r="AB92" s="6">
        <v>7.8196000000000003</v>
      </c>
      <c r="AC92" s="6">
        <v>2.0099999999999998</v>
      </c>
      <c r="AD92" s="6">
        <v>0</v>
      </c>
      <c r="AE92" s="6">
        <v>1.7110000000000001</v>
      </c>
      <c r="AF92" s="6">
        <v>7.9000000000000001E-2</v>
      </c>
      <c r="AG92" s="6">
        <v>42.128</v>
      </c>
      <c r="AH92" s="6">
        <v>0.38300000000000001</v>
      </c>
      <c r="AI92" s="6">
        <v>2.99</v>
      </c>
      <c r="AJ92" s="6">
        <v>0</v>
      </c>
      <c r="AK92" s="6">
        <v>3.194</v>
      </c>
      <c r="AL92" s="6">
        <v>1.4019999999999999</v>
      </c>
      <c r="AM92" s="6">
        <v>0</v>
      </c>
    </row>
    <row r="93" spans="1:39" x14ac:dyDescent="0.25">
      <c r="A93" s="15">
        <v>2014</v>
      </c>
      <c r="B93" s="6">
        <v>0</v>
      </c>
      <c r="C93" s="6">
        <v>24.2438</v>
      </c>
      <c r="D93" s="6">
        <v>0.17199999999999999</v>
      </c>
      <c r="E93" s="6">
        <v>0.23699999999999999</v>
      </c>
      <c r="F93" s="6">
        <v>0</v>
      </c>
      <c r="G93" s="6">
        <v>1.151</v>
      </c>
      <c r="H93" s="6">
        <v>34.992100000000001</v>
      </c>
      <c r="I93" s="6">
        <v>19.873000000000001</v>
      </c>
      <c r="J93" s="6">
        <v>3.27</v>
      </c>
      <c r="K93" s="6">
        <v>0</v>
      </c>
      <c r="L93" s="6">
        <v>0</v>
      </c>
      <c r="M93" s="6">
        <v>29.7014</v>
      </c>
      <c r="N93" s="6">
        <v>17.271999999999998</v>
      </c>
      <c r="O93" s="6">
        <v>0</v>
      </c>
      <c r="P93" s="6">
        <v>1.55</v>
      </c>
      <c r="Q93" s="6">
        <v>0</v>
      </c>
      <c r="R93" s="6">
        <v>0</v>
      </c>
      <c r="S93" s="6">
        <v>3.4807000000000001</v>
      </c>
      <c r="T93" s="6">
        <v>12.691000000000001</v>
      </c>
      <c r="U93" s="6">
        <v>0.123</v>
      </c>
      <c r="V93" s="6">
        <v>5.8360000000000003</v>
      </c>
      <c r="W93" s="6">
        <v>0.35499999999999998</v>
      </c>
      <c r="X93" s="6">
        <v>0</v>
      </c>
      <c r="Y93" s="6">
        <v>0</v>
      </c>
      <c r="Z93" s="6">
        <v>0</v>
      </c>
      <c r="AA93" s="6">
        <v>0.42199999999999999</v>
      </c>
      <c r="AB93" s="6">
        <v>8.0402000000000005</v>
      </c>
      <c r="AC93" s="6">
        <v>1.742</v>
      </c>
      <c r="AD93" s="6">
        <v>0</v>
      </c>
      <c r="AE93" s="6">
        <v>1.718</v>
      </c>
      <c r="AF93" s="6">
        <v>0.09</v>
      </c>
      <c r="AG93" s="6">
        <v>38.71</v>
      </c>
      <c r="AH93" s="6">
        <v>0.28699999999999998</v>
      </c>
      <c r="AI93" s="6">
        <v>2.2000000000000002</v>
      </c>
      <c r="AJ93" s="6">
        <v>0</v>
      </c>
      <c r="AK93" s="6">
        <v>1.4259999999999999</v>
      </c>
      <c r="AL93" s="6">
        <v>1.583</v>
      </c>
      <c r="AM93" s="6">
        <v>0</v>
      </c>
    </row>
    <row r="94" spans="1:39" x14ac:dyDescent="0.25">
      <c r="A94" s="14" t="s">
        <v>179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</row>
    <row r="95" spans="1:39" x14ac:dyDescent="0.25">
      <c r="A95" s="15">
        <v>2010</v>
      </c>
      <c r="B95" s="6">
        <v>0</v>
      </c>
      <c r="C95" s="6">
        <v>1.075</v>
      </c>
      <c r="D95" s="6">
        <v>0.17599999999999999</v>
      </c>
      <c r="E95" s="6">
        <v>0</v>
      </c>
      <c r="F95" s="6">
        <v>0</v>
      </c>
      <c r="G95" s="6">
        <v>0</v>
      </c>
      <c r="H95" s="6">
        <v>0.45</v>
      </c>
      <c r="I95" s="6">
        <v>0.21199999999999999</v>
      </c>
      <c r="J95" s="6">
        <v>0</v>
      </c>
      <c r="K95" s="6">
        <v>0</v>
      </c>
      <c r="L95" s="6">
        <v>0</v>
      </c>
      <c r="M95" s="6">
        <v>0</v>
      </c>
      <c r="N95" s="6">
        <v>6.3979999999999997</v>
      </c>
      <c r="O95" s="6">
        <v>0</v>
      </c>
      <c r="P95" s="6">
        <v>0.245</v>
      </c>
      <c r="Q95" s="6">
        <v>0</v>
      </c>
      <c r="R95" s="6">
        <v>24.983000000000001</v>
      </c>
      <c r="S95" s="6">
        <v>1.1779999999999999</v>
      </c>
      <c r="T95" s="6">
        <v>0.19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1.0999999999999999E-2</v>
      </c>
      <c r="AF95" s="6">
        <v>0</v>
      </c>
      <c r="AG95" s="6">
        <v>0</v>
      </c>
      <c r="AH95" s="6">
        <v>8.3000000000000004E-2</v>
      </c>
      <c r="AI95" s="6">
        <v>0.27800000000000002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s="15">
        <v>2011</v>
      </c>
      <c r="B96" s="6">
        <v>0</v>
      </c>
      <c r="C96" s="6">
        <v>1.0469999999999999</v>
      </c>
      <c r="D96" s="6">
        <v>0.11</v>
      </c>
      <c r="E96" s="6">
        <v>0</v>
      </c>
      <c r="F96" s="6">
        <v>0</v>
      </c>
      <c r="G96" s="6">
        <v>0</v>
      </c>
      <c r="H96" s="6">
        <v>0.10100000000000001</v>
      </c>
      <c r="I96" s="6">
        <v>0.16600000000000001</v>
      </c>
      <c r="J96" s="6">
        <v>0</v>
      </c>
      <c r="K96" s="6">
        <v>0</v>
      </c>
      <c r="L96" s="6">
        <v>0</v>
      </c>
      <c r="M96" s="6">
        <v>0</v>
      </c>
      <c r="N96" s="6">
        <v>5.9820000000000002</v>
      </c>
      <c r="O96" s="6">
        <v>0</v>
      </c>
      <c r="P96" s="6">
        <v>0.29099999999999998</v>
      </c>
      <c r="Q96" s="6">
        <v>0</v>
      </c>
      <c r="R96" s="6">
        <v>25.542000000000002</v>
      </c>
      <c r="S96" s="6">
        <v>1.1779999999999999</v>
      </c>
      <c r="T96" s="6">
        <v>0.13500000000000001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8.9999999999999993E-3</v>
      </c>
      <c r="AF96" s="6">
        <v>0</v>
      </c>
      <c r="AG96" s="6">
        <v>0</v>
      </c>
      <c r="AH96" s="6">
        <v>7.1999999999999995E-2</v>
      </c>
      <c r="AI96" s="6">
        <v>0.20799999999999999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s="15">
        <v>2012</v>
      </c>
      <c r="B97" s="6">
        <v>0</v>
      </c>
      <c r="C97" s="6">
        <v>1.1559999999999999</v>
      </c>
      <c r="D97" s="6">
        <v>0.12</v>
      </c>
      <c r="E97" s="6">
        <v>0</v>
      </c>
      <c r="F97" s="6">
        <v>0</v>
      </c>
      <c r="G97" s="6">
        <v>0</v>
      </c>
      <c r="H97" s="6">
        <v>0.17100000000000001</v>
      </c>
      <c r="I97" s="6">
        <v>0.28799999999999998</v>
      </c>
      <c r="J97" s="6">
        <v>0</v>
      </c>
      <c r="K97" s="6">
        <v>0</v>
      </c>
      <c r="L97" s="6">
        <v>0</v>
      </c>
      <c r="M97" s="6">
        <v>0</v>
      </c>
      <c r="N97" s="6">
        <v>6.367</v>
      </c>
      <c r="O97" s="6">
        <v>0</v>
      </c>
      <c r="P97" s="6">
        <v>0.41899999999999998</v>
      </c>
      <c r="Q97" s="6">
        <v>0</v>
      </c>
      <c r="R97" s="6">
        <v>26.100999999999999</v>
      </c>
      <c r="S97" s="6">
        <v>1.3</v>
      </c>
      <c r="T97" s="6">
        <v>0.158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>
        <v>0</v>
      </c>
      <c r="AA97" s="6">
        <v>0</v>
      </c>
      <c r="AB97" s="6">
        <v>0</v>
      </c>
      <c r="AC97" s="6">
        <v>0</v>
      </c>
      <c r="AD97" s="6">
        <v>0</v>
      </c>
      <c r="AE97" s="6">
        <v>7.0000000000000001E-3</v>
      </c>
      <c r="AF97" s="6">
        <v>0</v>
      </c>
      <c r="AG97" s="6">
        <v>0</v>
      </c>
      <c r="AH97" s="6">
        <v>8.4000000000000005E-2</v>
      </c>
      <c r="AI97" s="6">
        <v>0.19</v>
      </c>
      <c r="AJ97" s="6">
        <v>0</v>
      </c>
      <c r="AK97" s="6">
        <v>0</v>
      </c>
      <c r="AL97" s="6">
        <v>0</v>
      </c>
      <c r="AM97" s="6">
        <v>0</v>
      </c>
    </row>
    <row r="98" spans="1:39" x14ac:dyDescent="0.25">
      <c r="A98" s="15">
        <v>2013</v>
      </c>
      <c r="B98" s="6">
        <v>0</v>
      </c>
      <c r="C98" s="6">
        <v>1.1870000000000001</v>
      </c>
      <c r="D98" s="6">
        <v>0.13600000000000001</v>
      </c>
      <c r="E98" s="6">
        <v>0</v>
      </c>
      <c r="F98" s="6">
        <v>0</v>
      </c>
      <c r="G98" s="6">
        <v>0</v>
      </c>
      <c r="H98" s="6">
        <v>0.41299999999999998</v>
      </c>
      <c r="I98" s="6">
        <v>0.22900000000000001</v>
      </c>
      <c r="J98" s="6">
        <v>0</v>
      </c>
      <c r="K98" s="6">
        <v>0</v>
      </c>
      <c r="L98" s="6">
        <v>0</v>
      </c>
      <c r="M98" s="6">
        <v>0</v>
      </c>
      <c r="N98" s="6">
        <v>7.758</v>
      </c>
      <c r="O98" s="6">
        <v>0</v>
      </c>
      <c r="P98" s="6">
        <v>0.61399999999999999</v>
      </c>
      <c r="Q98" s="6">
        <v>0</v>
      </c>
      <c r="R98" s="6">
        <v>24.843</v>
      </c>
      <c r="S98" s="6">
        <v>1.3009999999999999</v>
      </c>
      <c r="T98" s="6">
        <v>7.0000000000000007E-2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</v>
      </c>
      <c r="AA98" s="6">
        <v>0</v>
      </c>
      <c r="AB98" s="6">
        <v>0</v>
      </c>
      <c r="AC98" s="6">
        <v>0</v>
      </c>
      <c r="AD98" s="6">
        <v>0</v>
      </c>
      <c r="AE98" s="6">
        <v>1.7000000000000001E-2</v>
      </c>
      <c r="AF98" s="6">
        <v>0</v>
      </c>
      <c r="AG98" s="6">
        <v>0</v>
      </c>
      <c r="AH98" s="6">
        <v>7.8E-2</v>
      </c>
      <c r="AI98" s="6">
        <v>0.20399999999999999</v>
      </c>
      <c r="AJ98" s="6">
        <v>0</v>
      </c>
      <c r="AK98" s="6">
        <v>0</v>
      </c>
      <c r="AL98" s="6">
        <v>0</v>
      </c>
      <c r="AM98" s="6">
        <v>0</v>
      </c>
    </row>
    <row r="99" spans="1:39" x14ac:dyDescent="0.25">
      <c r="A99" s="15">
        <v>2014</v>
      </c>
      <c r="B99" s="6">
        <v>0</v>
      </c>
      <c r="C99" s="6">
        <v>1.085</v>
      </c>
      <c r="D99" s="6">
        <v>0.12</v>
      </c>
      <c r="E99" s="6">
        <v>0</v>
      </c>
      <c r="F99" s="6">
        <v>0</v>
      </c>
      <c r="G99" s="6">
        <v>0</v>
      </c>
      <c r="H99" s="6">
        <v>0.60899999999999999</v>
      </c>
      <c r="I99" s="6">
        <v>0.16600000000000001</v>
      </c>
      <c r="J99" s="6">
        <v>0</v>
      </c>
      <c r="K99" s="6">
        <v>0</v>
      </c>
      <c r="L99" s="6">
        <v>0</v>
      </c>
      <c r="M99" s="6">
        <v>0</v>
      </c>
      <c r="N99" s="6">
        <v>7.8810000000000002</v>
      </c>
      <c r="O99" s="6">
        <v>0</v>
      </c>
      <c r="P99" s="6">
        <v>1.35</v>
      </c>
      <c r="Q99" s="6">
        <v>0</v>
      </c>
      <c r="R99" s="6">
        <v>30.009</v>
      </c>
      <c r="S99" s="6">
        <v>1.5289999999999999</v>
      </c>
      <c r="T99" s="6">
        <v>7.8E-2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</v>
      </c>
      <c r="AA99" s="6">
        <v>0</v>
      </c>
      <c r="AB99" s="6">
        <v>0</v>
      </c>
      <c r="AC99" s="6">
        <v>0</v>
      </c>
      <c r="AD99" s="6">
        <v>0</v>
      </c>
      <c r="AE99" s="6">
        <v>0.33700000000000002</v>
      </c>
      <c r="AF99" s="6">
        <v>0</v>
      </c>
      <c r="AG99" s="6">
        <v>0</v>
      </c>
      <c r="AH99" s="6">
        <v>6.2E-2</v>
      </c>
      <c r="AI99" s="6">
        <v>0.24</v>
      </c>
      <c r="AJ99" s="6">
        <v>0</v>
      </c>
      <c r="AK99" s="6">
        <v>0</v>
      </c>
      <c r="AL99" s="6">
        <v>0</v>
      </c>
      <c r="AM99" s="6">
        <v>0</v>
      </c>
    </row>
    <row r="100" spans="1:39" x14ac:dyDescent="0.25">
      <c r="A100" s="14" t="s">
        <v>187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</row>
    <row r="101" spans="1:39" x14ac:dyDescent="0.25">
      <c r="A101" s="15">
        <v>2010</v>
      </c>
      <c r="B101" s="6">
        <v>0</v>
      </c>
      <c r="C101" s="6">
        <v>1E-4</v>
      </c>
      <c r="D101" s="6">
        <v>0</v>
      </c>
      <c r="E101" s="6">
        <v>0</v>
      </c>
      <c r="F101" s="6">
        <v>0</v>
      </c>
      <c r="G101" s="6">
        <v>0</v>
      </c>
      <c r="H101" s="6">
        <v>0.2742</v>
      </c>
      <c r="I101" s="6">
        <v>1.9279999999999999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8.9999999999999998E-4</v>
      </c>
      <c r="T101" s="6">
        <v>0</v>
      </c>
      <c r="U101" s="6">
        <v>0</v>
      </c>
      <c r="V101" s="6">
        <v>0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7.2824</v>
      </c>
      <c r="AH101" s="6">
        <v>0</v>
      </c>
      <c r="AI101" s="6">
        <v>0</v>
      </c>
      <c r="AJ101" s="6">
        <v>0</v>
      </c>
      <c r="AK101" s="6">
        <v>0</v>
      </c>
      <c r="AL101" s="6">
        <v>0</v>
      </c>
      <c r="AM101" s="6">
        <v>0</v>
      </c>
    </row>
    <row r="102" spans="1:39" x14ac:dyDescent="0.25">
      <c r="A102" s="15">
        <v>2011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7.2700000000000001E-2</v>
      </c>
      <c r="I102" s="6">
        <v>0.77529999999999999</v>
      </c>
      <c r="J102" s="6">
        <v>0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6.9999999999999999E-4</v>
      </c>
      <c r="T102" s="6">
        <v>0</v>
      </c>
      <c r="U102" s="6">
        <v>0</v>
      </c>
      <c r="V102" s="6">
        <v>0</v>
      </c>
      <c r="W102" s="6">
        <v>0</v>
      </c>
      <c r="X102" s="6">
        <v>0</v>
      </c>
      <c r="Y102" s="6">
        <v>0</v>
      </c>
      <c r="Z102" s="6">
        <v>0</v>
      </c>
      <c r="AA102" s="6">
        <v>0</v>
      </c>
      <c r="AB102" s="6">
        <v>0</v>
      </c>
      <c r="AC102" s="6">
        <v>0</v>
      </c>
      <c r="AD102" s="6">
        <v>0</v>
      </c>
      <c r="AE102" s="6">
        <v>0</v>
      </c>
      <c r="AF102" s="6">
        <v>0</v>
      </c>
      <c r="AG102" s="6">
        <v>3.6120000000000001</v>
      </c>
      <c r="AH102" s="6">
        <v>0</v>
      </c>
      <c r="AI102" s="6">
        <v>0</v>
      </c>
      <c r="AJ102" s="6">
        <v>0</v>
      </c>
      <c r="AK102" s="6">
        <v>0</v>
      </c>
      <c r="AL102" s="6">
        <v>0</v>
      </c>
      <c r="AM102" s="6">
        <v>0</v>
      </c>
    </row>
    <row r="103" spans="1:39" x14ac:dyDescent="0.25">
      <c r="A103" s="15">
        <v>2012</v>
      </c>
      <c r="B103" s="6">
        <v>0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5.9999999999999995E-4</v>
      </c>
      <c r="I103" s="6">
        <v>0.93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1E-3</v>
      </c>
      <c r="T103" s="6">
        <v>0</v>
      </c>
      <c r="U103" s="6">
        <v>0</v>
      </c>
      <c r="V103" s="6">
        <v>0</v>
      </c>
      <c r="W103" s="6">
        <v>0</v>
      </c>
      <c r="X103" s="6">
        <v>0</v>
      </c>
      <c r="Y103" s="6">
        <v>0</v>
      </c>
      <c r="Z103" s="6">
        <v>0</v>
      </c>
      <c r="AA103" s="6">
        <v>0</v>
      </c>
      <c r="AB103" s="6">
        <v>0</v>
      </c>
      <c r="AC103" s="6">
        <v>0</v>
      </c>
      <c r="AD103" s="6">
        <v>0</v>
      </c>
      <c r="AE103" s="6">
        <v>0</v>
      </c>
      <c r="AF103" s="6">
        <v>0</v>
      </c>
      <c r="AG103" s="6">
        <v>4.4542000000000002</v>
      </c>
      <c r="AH103" s="6">
        <v>0</v>
      </c>
      <c r="AI103" s="6">
        <v>0</v>
      </c>
      <c r="AJ103" s="6">
        <v>0</v>
      </c>
      <c r="AK103" s="6">
        <v>0</v>
      </c>
      <c r="AL103" s="6">
        <v>0</v>
      </c>
      <c r="AM103" s="6">
        <v>0</v>
      </c>
    </row>
    <row r="104" spans="1:39" x14ac:dyDescent="0.25">
      <c r="A104" s="15">
        <v>2013</v>
      </c>
      <c r="B104" s="6">
        <v>0</v>
      </c>
      <c r="C104" s="6">
        <v>1.18E-2</v>
      </c>
      <c r="D104" s="6">
        <v>0</v>
      </c>
      <c r="E104" s="6">
        <v>0</v>
      </c>
      <c r="F104" s="6">
        <v>0</v>
      </c>
      <c r="G104" s="6">
        <v>0</v>
      </c>
      <c r="H104" s="6">
        <v>2.81E-2</v>
      </c>
      <c r="I104" s="6">
        <v>0.82040000000000002</v>
      </c>
      <c r="J104" s="6">
        <v>0</v>
      </c>
      <c r="K104" s="6">
        <v>0</v>
      </c>
      <c r="L104" s="6">
        <v>0</v>
      </c>
      <c r="M104" s="6">
        <v>2.9999999999999997E-4</v>
      </c>
      <c r="N104" s="6">
        <v>0</v>
      </c>
      <c r="O104" s="6">
        <v>0</v>
      </c>
      <c r="P104" s="6">
        <v>0</v>
      </c>
      <c r="Q104" s="6">
        <v>0</v>
      </c>
      <c r="R104" s="6">
        <v>0</v>
      </c>
      <c r="S104" s="6">
        <v>8.0000000000000004E-4</v>
      </c>
      <c r="T104" s="6">
        <v>0</v>
      </c>
      <c r="U104" s="6">
        <v>0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0.2576</v>
      </c>
      <c r="AC104" s="6">
        <v>0</v>
      </c>
      <c r="AD104" s="6">
        <v>0</v>
      </c>
      <c r="AE104" s="6">
        <v>0</v>
      </c>
      <c r="AF104" s="6">
        <v>0</v>
      </c>
      <c r="AG104" s="6">
        <v>3.234</v>
      </c>
      <c r="AH104" s="6">
        <v>0</v>
      </c>
      <c r="AI104" s="6">
        <v>0</v>
      </c>
      <c r="AJ104" s="6">
        <v>0</v>
      </c>
      <c r="AK104" s="6">
        <v>0</v>
      </c>
      <c r="AL104" s="6">
        <v>0</v>
      </c>
      <c r="AM104" s="6">
        <v>0</v>
      </c>
    </row>
    <row r="105" spans="1:39" x14ac:dyDescent="0.25">
      <c r="A105" s="15">
        <v>2014</v>
      </c>
      <c r="B105" s="6">
        <v>0</v>
      </c>
      <c r="C105" s="6">
        <v>2.2800000000000001E-2</v>
      </c>
      <c r="D105" s="6">
        <v>0</v>
      </c>
      <c r="E105" s="6">
        <v>0</v>
      </c>
      <c r="F105" s="6">
        <v>0</v>
      </c>
      <c r="G105" s="6">
        <v>0</v>
      </c>
      <c r="H105" s="6">
        <v>2.81E-2</v>
      </c>
      <c r="I105" s="6">
        <v>0.78400000000000003</v>
      </c>
      <c r="J105" s="6">
        <v>0</v>
      </c>
      <c r="K105" s="6">
        <v>0</v>
      </c>
      <c r="L105" s="6">
        <v>0</v>
      </c>
      <c r="M105" s="6">
        <v>7.4000000000000003E-3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1.2699999999999999E-2</v>
      </c>
      <c r="T105" s="6">
        <v>0</v>
      </c>
      <c r="U105" s="6">
        <v>0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0.1472</v>
      </c>
      <c r="AC105" s="6">
        <v>0</v>
      </c>
      <c r="AD105" s="6">
        <v>0</v>
      </c>
      <c r="AE105" s="6">
        <v>0</v>
      </c>
      <c r="AF105" s="6">
        <v>0</v>
      </c>
      <c r="AG105" s="6">
        <v>1.8480000000000001</v>
      </c>
      <c r="AH105" s="6">
        <v>0</v>
      </c>
      <c r="AI105" s="6">
        <v>0</v>
      </c>
      <c r="AJ105" s="6">
        <v>0</v>
      </c>
      <c r="AK105" s="6">
        <v>0</v>
      </c>
      <c r="AL105" s="6">
        <v>0</v>
      </c>
      <c r="AM105" s="6">
        <v>0</v>
      </c>
    </row>
    <row r="106" spans="1:39" x14ac:dyDescent="0.25">
      <c r="A106" s="14" t="s">
        <v>181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</row>
    <row r="107" spans="1:39" x14ac:dyDescent="0.25">
      <c r="A107" s="15">
        <v>2010</v>
      </c>
      <c r="B107" s="6">
        <v>0</v>
      </c>
      <c r="C107" s="6">
        <v>0.71199999999999997</v>
      </c>
      <c r="D107" s="6">
        <v>0</v>
      </c>
      <c r="E107" s="6">
        <v>0</v>
      </c>
      <c r="F107" s="6">
        <v>0</v>
      </c>
      <c r="G107" s="6">
        <v>0</v>
      </c>
      <c r="H107" s="6">
        <v>16.995999999999999</v>
      </c>
      <c r="I107" s="6">
        <v>1.85</v>
      </c>
      <c r="J107" s="6">
        <v>0</v>
      </c>
      <c r="K107" s="6">
        <v>0</v>
      </c>
      <c r="L107" s="6">
        <v>0</v>
      </c>
      <c r="M107" s="6">
        <v>0.61799999999999999</v>
      </c>
      <c r="N107" s="6">
        <v>6.9089999999999998</v>
      </c>
      <c r="O107" s="6">
        <v>0</v>
      </c>
      <c r="P107" s="6">
        <v>0</v>
      </c>
      <c r="Q107" s="6">
        <v>0</v>
      </c>
      <c r="R107" s="6">
        <v>1.7999999999999999E-2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6">
        <v>0</v>
      </c>
      <c r="Y107" s="6">
        <v>0</v>
      </c>
      <c r="Z107" s="6">
        <v>0</v>
      </c>
      <c r="AA107" s="6">
        <v>5.5229999999999997</v>
      </c>
      <c r="AB107" s="6">
        <v>1.62</v>
      </c>
      <c r="AC107" s="6">
        <v>0</v>
      </c>
      <c r="AD107" s="6">
        <v>0</v>
      </c>
      <c r="AE107" s="6">
        <v>0</v>
      </c>
      <c r="AF107" s="6">
        <v>0</v>
      </c>
      <c r="AG107" s="6">
        <v>4.8</v>
      </c>
      <c r="AH107" s="6">
        <v>0</v>
      </c>
      <c r="AI107" s="6">
        <v>6.7000000000000004E-2</v>
      </c>
      <c r="AJ107" s="6">
        <v>0</v>
      </c>
      <c r="AK107" s="6">
        <v>0</v>
      </c>
      <c r="AL107" s="6">
        <v>0.94199999999999995</v>
      </c>
      <c r="AM107" s="6">
        <v>0</v>
      </c>
    </row>
    <row r="108" spans="1:39" x14ac:dyDescent="0.25">
      <c r="A108" s="15">
        <v>2011</v>
      </c>
      <c r="B108" s="6">
        <v>0</v>
      </c>
      <c r="C108" s="6">
        <v>0.77500000000000002</v>
      </c>
      <c r="D108" s="6">
        <v>0</v>
      </c>
      <c r="E108" s="6">
        <v>0</v>
      </c>
      <c r="F108" s="6">
        <v>0</v>
      </c>
      <c r="G108" s="6">
        <v>0</v>
      </c>
      <c r="H108" s="6">
        <v>19.082999999999998</v>
      </c>
      <c r="I108" s="6">
        <v>1.92</v>
      </c>
      <c r="J108" s="6">
        <v>0</v>
      </c>
      <c r="K108" s="6">
        <v>0</v>
      </c>
      <c r="L108" s="6">
        <v>0</v>
      </c>
      <c r="M108" s="6">
        <v>0.45700000000000002</v>
      </c>
      <c r="N108" s="6">
        <v>3.6389999999999998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6">
        <v>0</v>
      </c>
      <c r="Y108" s="6">
        <v>0</v>
      </c>
      <c r="Z108" s="6">
        <v>0</v>
      </c>
      <c r="AA108" s="6">
        <v>5.3220000000000001</v>
      </c>
      <c r="AB108" s="6">
        <v>1.8</v>
      </c>
      <c r="AC108" s="6">
        <v>0</v>
      </c>
      <c r="AD108" s="6">
        <v>0</v>
      </c>
      <c r="AE108" s="6">
        <v>0</v>
      </c>
      <c r="AF108" s="6">
        <v>0</v>
      </c>
      <c r="AG108" s="6">
        <v>2.4369999999999998</v>
      </c>
      <c r="AH108" s="6">
        <v>0</v>
      </c>
      <c r="AI108" s="6">
        <v>0.06</v>
      </c>
      <c r="AJ108" s="6">
        <v>0</v>
      </c>
      <c r="AK108" s="6">
        <v>0</v>
      </c>
      <c r="AL108" s="6">
        <v>1.1879999999999999</v>
      </c>
      <c r="AM108" s="6">
        <v>0</v>
      </c>
    </row>
    <row r="109" spans="1:39" x14ac:dyDescent="0.25">
      <c r="A109" s="15">
        <v>2012</v>
      </c>
      <c r="B109" s="6">
        <v>0</v>
      </c>
      <c r="C109" s="6">
        <v>0.85299999999999998</v>
      </c>
      <c r="D109" s="6">
        <v>0.17699999999999999</v>
      </c>
      <c r="E109" s="6">
        <v>0</v>
      </c>
      <c r="F109" s="6">
        <v>0</v>
      </c>
      <c r="G109" s="6">
        <v>0</v>
      </c>
      <c r="H109" s="6">
        <v>21.402999999999999</v>
      </c>
      <c r="I109" s="6">
        <v>1.6859999999999999</v>
      </c>
      <c r="J109" s="6">
        <v>0</v>
      </c>
      <c r="K109" s="6">
        <v>0</v>
      </c>
      <c r="L109" s="6">
        <v>0</v>
      </c>
      <c r="M109" s="6">
        <v>0.55300000000000005</v>
      </c>
      <c r="N109" s="6">
        <v>5.1529999999999996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6">
        <v>0</v>
      </c>
      <c r="Y109" s="6">
        <v>0</v>
      </c>
      <c r="Z109" s="6">
        <v>0</v>
      </c>
      <c r="AA109" s="6">
        <v>0</v>
      </c>
      <c r="AB109" s="6">
        <v>1.95</v>
      </c>
      <c r="AC109" s="6">
        <v>0</v>
      </c>
      <c r="AD109" s="6">
        <v>0</v>
      </c>
      <c r="AE109" s="6">
        <v>0</v>
      </c>
      <c r="AF109" s="6">
        <v>0</v>
      </c>
      <c r="AG109" s="6">
        <v>2.3780000000000001</v>
      </c>
      <c r="AH109" s="6">
        <v>0</v>
      </c>
      <c r="AI109" s="6">
        <v>5.1999999999999998E-2</v>
      </c>
      <c r="AJ109" s="6">
        <v>0</v>
      </c>
      <c r="AK109" s="6">
        <v>0</v>
      </c>
      <c r="AL109" s="6">
        <v>1.383</v>
      </c>
      <c r="AM109" s="6">
        <v>0</v>
      </c>
    </row>
    <row r="110" spans="1:39" x14ac:dyDescent="0.25">
      <c r="A110" s="15">
        <v>2013</v>
      </c>
      <c r="B110" s="6">
        <v>0</v>
      </c>
      <c r="C110" s="6">
        <v>0.82499999999999996</v>
      </c>
      <c r="D110" s="6">
        <v>0.17699999999999999</v>
      </c>
      <c r="E110" s="6">
        <v>0</v>
      </c>
      <c r="F110" s="6">
        <v>0</v>
      </c>
      <c r="G110" s="6">
        <v>0</v>
      </c>
      <c r="H110" s="6">
        <v>18.574999999999999</v>
      </c>
      <c r="I110" s="6">
        <v>1.7509999999999999</v>
      </c>
      <c r="J110" s="6">
        <v>0</v>
      </c>
      <c r="K110" s="6">
        <v>0</v>
      </c>
      <c r="L110" s="6">
        <v>0</v>
      </c>
      <c r="M110" s="6">
        <v>0.32200000000000001</v>
      </c>
      <c r="N110" s="6">
        <v>4.6710000000000003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6">
        <v>0</v>
      </c>
      <c r="Y110" s="6">
        <v>0</v>
      </c>
      <c r="Z110" s="6">
        <v>0</v>
      </c>
      <c r="AA110" s="6">
        <v>0</v>
      </c>
      <c r="AB110" s="6">
        <v>2.08</v>
      </c>
      <c r="AC110" s="6">
        <v>0</v>
      </c>
      <c r="AD110" s="6">
        <v>0</v>
      </c>
      <c r="AE110" s="6">
        <v>0</v>
      </c>
      <c r="AF110" s="6">
        <v>0</v>
      </c>
      <c r="AG110" s="6">
        <v>2.2429999999999999</v>
      </c>
      <c r="AH110" s="6">
        <v>0</v>
      </c>
      <c r="AI110" s="6">
        <v>4.3999999999999997E-2</v>
      </c>
      <c r="AJ110" s="6">
        <v>0</v>
      </c>
      <c r="AK110" s="6">
        <v>0</v>
      </c>
      <c r="AL110" s="6">
        <v>1.1080000000000001</v>
      </c>
      <c r="AM110" s="6">
        <v>0</v>
      </c>
    </row>
    <row r="111" spans="1:39" x14ac:dyDescent="0.25">
      <c r="A111" s="15">
        <v>2014</v>
      </c>
      <c r="B111" s="6">
        <v>0</v>
      </c>
      <c r="C111" s="6">
        <v>0.83099999999999996</v>
      </c>
      <c r="D111" s="6">
        <v>0.17199999999999999</v>
      </c>
      <c r="E111" s="6">
        <v>0</v>
      </c>
      <c r="F111" s="6">
        <v>0</v>
      </c>
      <c r="G111" s="6">
        <v>0</v>
      </c>
      <c r="H111" s="6">
        <v>17.109000000000002</v>
      </c>
      <c r="I111" s="6">
        <v>1.653</v>
      </c>
      <c r="J111" s="6">
        <v>0</v>
      </c>
      <c r="K111" s="6">
        <v>0</v>
      </c>
      <c r="L111" s="6">
        <v>0</v>
      </c>
      <c r="M111" s="6">
        <v>0.69099999999999995</v>
      </c>
      <c r="N111" s="6">
        <v>4.6710000000000003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2.5430000000000001</v>
      </c>
      <c r="AC111" s="6">
        <v>1.6E-2</v>
      </c>
      <c r="AD111" s="6">
        <v>0</v>
      </c>
      <c r="AE111" s="6">
        <v>4.1000000000000002E-2</v>
      </c>
      <c r="AF111" s="6">
        <v>0</v>
      </c>
      <c r="AG111" s="6">
        <v>2.0390000000000001</v>
      </c>
      <c r="AH111" s="6">
        <v>0</v>
      </c>
      <c r="AI111" s="6">
        <v>0</v>
      </c>
      <c r="AJ111" s="6">
        <v>0</v>
      </c>
      <c r="AK111" s="6">
        <v>0</v>
      </c>
      <c r="AL111" s="6">
        <v>1.355</v>
      </c>
      <c r="AM111" s="6">
        <v>0</v>
      </c>
    </row>
    <row r="112" spans="1:39" x14ac:dyDescent="0.25">
      <c r="A112" s="14" t="s">
        <v>193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</row>
    <row r="113" spans="1:39" x14ac:dyDescent="0.25">
      <c r="A113" s="15">
        <v>2010</v>
      </c>
      <c r="B113" s="6">
        <v>0</v>
      </c>
      <c r="C113" s="6">
        <v>1E-4</v>
      </c>
      <c r="D113" s="6">
        <v>0</v>
      </c>
      <c r="E113" s="6">
        <v>0</v>
      </c>
      <c r="F113" s="6">
        <v>0</v>
      </c>
      <c r="G113" s="6">
        <v>0</v>
      </c>
      <c r="H113" s="6">
        <v>0.2742</v>
      </c>
      <c r="I113" s="6">
        <v>1.9279999999999999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8.9999999999999998E-4</v>
      </c>
      <c r="T113" s="6">
        <v>0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0</v>
      </c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>
        <v>7.2824</v>
      </c>
      <c r="AH113" s="6">
        <v>0</v>
      </c>
      <c r="AI113" s="6">
        <v>0</v>
      </c>
      <c r="AJ113" s="6">
        <v>0</v>
      </c>
      <c r="AK113" s="6">
        <v>0</v>
      </c>
      <c r="AL113" s="6">
        <v>0</v>
      </c>
      <c r="AM113" s="6">
        <v>0</v>
      </c>
    </row>
    <row r="114" spans="1:39" x14ac:dyDescent="0.25">
      <c r="A114" s="15">
        <v>2011</v>
      </c>
      <c r="B114" s="6">
        <v>0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7.2700000000000001E-2</v>
      </c>
      <c r="I114" s="6">
        <v>0.77529999999999999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6.9999999999999999E-4</v>
      </c>
      <c r="T114" s="6">
        <v>0</v>
      </c>
      <c r="U114" s="6">
        <v>0</v>
      </c>
      <c r="V114" s="6">
        <v>0</v>
      </c>
      <c r="W114" s="6">
        <v>0</v>
      </c>
      <c r="X114" s="6">
        <v>0</v>
      </c>
      <c r="Y114" s="6">
        <v>0</v>
      </c>
      <c r="Z114" s="6">
        <v>0</v>
      </c>
      <c r="AA114" s="6">
        <v>0</v>
      </c>
      <c r="AB114" s="6">
        <v>0</v>
      </c>
      <c r="AC114" s="6">
        <v>0</v>
      </c>
      <c r="AD114" s="6">
        <v>0</v>
      </c>
      <c r="AE114" s="6">
        <v>0</v>
      </c>
      <c r="AF114" s="6">
        <v>0</v>
      </c>
      <c r="AG114" s="6">
        <v>3.6120000000000001</v>
      </c>
      <c r="AH114" s="6">
        <v>0</v>
      </c>
      <c r="AI114" s="6">
        <v>0</v>
      </c>
      <c r="AJ114" s="6">
        <v>0</v>
      </c>
      <c r="AK114" s="6">
        <v>0</v>
      </c>
      <c r="AL114" s="6">
        <v>0</v>
      </c>
      <c r="AM114" s="6">
        <v>0</v>
      </c>
    </row>
    <row r="115" spans="1:39" x14ac:dyDescent="0.25">
      <c r="A115" s="15">
        <v>2012</v>
      </c>
      <c r="B115" s="6">
        <v>0</v>
      </c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5.9999999999999995E-4</v>
      </c>
      <c r="I115" s="6">
        <v>0.93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1E-3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4.4542000000000002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s="15">
        <v>2013</v>
      </c>
      <c r="B116" s="6">
        <v>0</v>
      </c>
      <c r="C116" s="6">
        <v>1.18E-2</v>
      </c>
      <c r="D116" s="6">
        <v>0</v>
      </c>
      <c r="E116" s="6">
        <v>0</v>
      </c>
      <c r="F116" s="6">
        <v>0</v>
      </c>
      <c r="G116" s="6">
        <v>0</v>
      </c>
      <c r="H116" s="6">
        <v>2.81E-2</v>
      </c>
      <c r="I116" s="6">
        <v>0.82040000000000002</v>
      </c>
      <c r="J116" s="6">
        <v>0</v>
      </c>
      <c r="K116" s="6">
        <v>0</v>
      </c>
      <c r="L116" s="6">
        <v>0</v>
      </c>
      <c r="M116" s="6">
        <v>2.9999999999999997E-4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8.0000000000000004E-4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0.2576</v>
      </c>
      <c r="AC116" s="6">
        <v>0</v>
      </c>
      <c r="AD116" s="6">
        <v>0</v>
      </c>
      <c r="AE116" s="6">
        <v>0</v>
      </c>
      <c r="AF116" s="6">
        <v>0</v>
      </c>
      <c r="AG116" s="6">
        <v>3.234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s="15">
        <v>2014</v>
      </c>
      <c r="B117" s="6">
        <v>0</v>
      </c>
      <c r="C117" s="6">
        <v>2.2800000000000001E-2</v>
      </c>
      <c r="D117" s="6">
        <v>0</v>
      </c>
      <c r="E117" s="6">
        <v>0</v>
      </c>
      <c r="F117" s="6">
        <v>0</v>
      </c>
      <c r="G117" s="6">
        <v>0</v>
      </c>
      <c r="H117" s="6">
        <v>2.81E-2</v>
      </c>
      <c r="I117" s="6">
        <v>0.78400000000000003</v>
      </c>
      <c r="J117" s="6">
        <v>0</v>
      </c>
      <c r="K117" s="6">
        <v>0</v>
      </c>
      <c r="L117" s="6">
        <v>0</v>
      </c>
      <c r="M117" s="6">
        <v>7.4000000000000003E-3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1.2699999999999999E-2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0.1472</v>
      </c>
      <c r="AC117" s="6">
        <v>0</v>
      </c>
      <c r="AD117" s="6">
        <v>0</v>
      </c>
      <c r="AE117" s="6">
        <v>0</v>
      </c>
      <c r="AF117" s="6">
        <v>0</v>
      </c>
      <c r="AG117" s="6">
        <v>1.8480000000000001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s="14" t="s">
        <v>182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</row>
    <row r="119" spans="1:39" x14ac:dyDescent="0.25">
      <c r="A119" s="15">
        <v>2010</v>
      </c>
      <c r="B119" s="6">
        <v>0</v>
      </c>
      <c r="C119" s="6">
        <v>24.819099999999999</v>
      </c>
      <c r="D119" s="6">
        <v>0.17599999999999999</v>
      </c>
      <c r="E119" s="6">
        <v>0.09</v>
      </c>
      <c r="F119" s="6">
        <v>0</v>
      </c>
      <c r="G119" s="6">
        <v>1.1359999999999999</v>
      </c>
      <c r="H119" s="6">
        <v>29.615200000000002</v>
      </c>
      <c r="I119" s="6">
        <v>21.452999999999999</v>
      </c>
      <c r="J119" s="6">
        <v>3.8069999999999999</v>
      </c>
      <c r="K119" s="6">
        <v>0</v>
      </c>
      <c r="L119" s="6">
        <v>0</v>
      </c>
      <c r="M119" s="6">
        <v>24.087</v>
      </c>
      <c r="N119" s="6">
        <v>18.425999999999998</v>
      </c>
      <c r="O119" s="6">
        <v>0</v>
      </c>
      <c r="P119" s="6">
        <v>0.45800000000000002</v>
      </c>
      <c r="Q119" s="6">
        <v>0</v>
      </c>
      <c r="R119" s="6">
        <v>25.001000000000001</v>
      </c>
      <c r="S119" s="6">
        <v>4.5849000000000002</v>
      </c>
      <c r="T119" s="6">
        <v>8.2270000000000003</v>
      </c>
      <c r="U119" s="6">
        <v>9.5000000000000001E-2</v>
      </c>
      <c r="V119" s="6">
        <v>6.1909999999999998</v>
      </c>
      <c r="W119" s="6">
        <v>0.51800000000000002</v>
      </c>
      <c r="X119" s="6">
        <v>0</v>
      </c>
      <c r="Y119" s="6">
        <v>0</v>
      </c>
      <c r="Z119" s="6">
        <v>0</v>
      </c>
      <c r="AA119" s="6">
        <v>5.5229999999999997</v>
      </c>
      <c r="AB119" s="6">
        <v>6.452</v>
      </c>
      <c r="AC119" s="6">
        <v>1.893</v>
      </c>
      <c r="AD119" s="6">
        <v>0</v>
      </c>
      <c r="AE119" s="6">
        <v>1.7789999999999999</v>
      </c>
      <c r="AF119" s="6">
        <v>8.4000000000000005E-2</v>
      </c>
      <c r="AG119" s="6">
        <v>52.1004</v>
      </c>
      <c r="AH119" s="6">
        <v>0.35199999999999998</v>
      </c>
      <c r="AI119" s="6">
        <v>3.0430000000000001</v>
      </c>
      <c r="AJ119" s="6">
        <v>0</v>
      </c>
      <c r="AK119" s="6">
        <v>2.7549999999999999</v>
      </c>
      <c r="AL119" s="6">
        <v>1.0069999999999999</v>
      </c>
      <c r="AM119" s="6">
        <v>0</v>
      </c>
    </row>
    <row r="120" spans="1:39" x14ac:dyDescent="0.25">
      <c r="A120" s="15">
        <v>2011</v>
      </c>
      <c r="B120" s="6">
        <v>0</v>
      </c>
      <c r="C120" s="6">
        <v>20.54</v>
      </c>
      <c r="D120" s="6">
        <v>0.11</v>
      </c>
      <c r="E120" s="6">
        <v>9.0999999999999998E-2</v>
      </c>
      <c r="F120" s="6">
        <v>0</v>
      </c>
      <c r="G120" s="6">
        <v>1.4630000000000001</v>
      </c>
      <c r="H120" s="6">
        <v>30.529699999999998</v>
      </c>
      <c r="I120" s="6">
        <v>19.4453</v>
      </c>
      <c r="J120" s="6">
        <v>5.0030000000000001</v>
      </c>
      <c r="K120" s="6">
        <v>0</v>
      </c>
      <c r="L120" s="6">
        <v>0</v>
      </c>
      <c r="M120" s="6">
        <v>22.792999999999999</v>
      </c>
      <c r="N120" s="6">
        <v>15.849</v>
      </c>
      <c r="O120" s="6">
        <v>0</v>
      </c>
      <c r="P120" s="6">
        <v>0.81899999999999995</v>
      </c>
      <c r="Q120" s="6">
        <v>0</v>
      </c>
      <c r="R120" s="6">
        <v>25.542000000000002</v>
      </c>
      <c r="S120" s="6">
        <v>4.8647</v>
      </c>
      <c r="T120" s="6">
        <v>7.6449999999999996</v>
      </c>
      <c r="U120" s="6">
        <v>0.10100000000000001</v>
      </c>
      <c r="V120" s="6">
        <v>5.4349999999999996</v>
      </c>
      <c r="W120" s="6">
        <v>0.4</v>
      </c>
      <c r="X120" s="6">
        <v>0</v>
      </c>
      <c r="Y120" s="6">
        <v>0</v>
      </c>
      <c r="Z120" s="6">
        <v>0</v>
      </c>
      <c r="AA120" s="6">
        <v>5.3220000000000001</v>
      </c>
      <c r="AB120" s="6">
        <v>6.3419999999999996</v>
      </c>
      <c r="AC120" s="6">
        <v>1.788</v>
      </c>
      <c r="AD120" s="6">
        <v>0</v>
      </c>
      <c r="AE120" s="6">
        <v>2.8839999999999999</v>
      </c>
      <c r="AF120" s="6">
        <v>0.09</v>
      </c>
      <c r="AG120" s="6">
        <v>49.485999999999997</v>
      </c>
      <c r="AH120" s="6">
        <v>0.41899999999999998</v>
      </c>
      <c r="AI120" s="6">
        <v>3.028</v>
      </c>
      <c r="AJ120" s="6">
        <v>0</v>
      </c>
      <c r="AK120" s="6">
        <v>1.964</v>
      </c>
      <c r="AL120" s="6">
        <v>2.8039999999999998</v>
      </c>
      <c r="AM120" s="6">
        <v>0</v>
      </c>
    </row>
    <row r="121" spans="1:39" x14ac:dyDescent="0.25">
      <c r="A121" s="15">
        <v>2012</v>
      </c>
      <c r="B121" s="6">
        <v>0</v>
      </c>
      <c r="C121" s="6">
        <v>23.715</v>
      </c>
      <c r="D121" s="6">
        <v>0.29699999999999999</v>
      </c>
      <c r="E121" s="6">
        <v>0.125</v>
      </c>
      <c r="F121" s="6">
        <v>0</v>
      </c>
      <c r="G121" s="6">
        <v>1.1779999999999999</v>
      </c>
      <c r="H121" s="6">
        <v>39.433599999999998</v>
      </c>
      <c r="I121" s="6">
        <v>21.308</v>
      </c>
      <c r="J121" s="6">
        <v>4.0279999999999996</v>
      </c>
      <c r="K121" s="6">
        <v>0</v>
      </c>
      <c r="L121" s="6">
        <v>0</v>
      </c>
      <c r="M121" s="6">
        <v>26.725000000000001</v>
      </c>
      <c r="N121" s="6">
        <v>19.372</v>
      </c>
      <c r="O121" s="6">
        <v>0</v>
      </c>
      <c r="P121" s="6">
        <v>1.2529999999999999</v>
      </c>
      <c r="Q121" s="6">
        <v>0</v>
      </c>
      <c r="R121" s="6">
        <v>26.100999999999999</v>
      </c>
      <c r="S121" s="6">
        <v>5.2770000000000001</v>
      </c>
      <c r="T121" s="6">
        <v>9.3940000000000001</v>
      </c>
      <c r="U121" s="6">
        <v>0.10199999999999999</v>
      </c>
      <c r="V121" s="6">
        <v>5.9039999999999999</v>
      </c>
      <c r="W121" s="6">
        <v>0.23</v>
      </c>
      <c r="X121" s="6">
        <v>0</v>
      </c>
      <c r="Y121" s="6">
        <v>0</v>
      </c>
      <c r="Z121" s="6">
        <v>0</v>
      </c>
      <c r="AA121" s="6">
        <v>2.3E-2</v>
      </c>
      <c r="AB121" s="6">
        <v>7.3109999999999999</v>
      </c>
      <c r="AC121" s="6">
        <v>1.7</v>
      </c>
      <c r="AD121" s="6">
        <v>0</v>
      </c>
      <c r="AE121" s="6">
        <v>1.976</v>
      </c>
      <c r="AF121" s="6">
        <v>7.2999999999999995E-2</v>
      </c>
      <c r="AG121" s="6">
        <v>46.206200000000003</v>
      </c>
      <c r="AH121" s="6">
        <v>0.5</v>
      </c>
      <c r="AI121" s="6">
        <v>3.1970000000000001</v>
      </c>
      <c r="AJ121" s="6">
        <v>0</v>
      </c>
      <c r="AK121" s="6">
        <v>2.109</v>
      </c>
      <c r="AL121" s="6">
        <v>3.5760000000000001</v>
      </c>
      <c r="AM121" s="6">
        <v>0</v>
      </c>
    </row>
    <row r="122" spans="1:39" x14ac:dyDescent="0.25">
      <c r="A122" s="15">
        <v>2013</v>
      </c>
      <c r="B122" s="6">
        <v>0</v>
      </c>
      <c r="C122" s="6">
        <v>24.815799999999999</v>
      </c>
      <c r="D122" s="6">
        <v>0.313</v>
      </c>
      <c r="E122" s="6">
        <v>5.2999999999999999E-2</v>
      </c>
      <c r="F122" s="6">
        <v>0</v>
      </c>
      <c r="G122" s="6">
        <v>1.2869999999999999</v>
      </c>
      <c r="H122" s="6">
        <v>33.662100000000002</v>
      </c>
      <c r="I122" s="6">
        <v>21.110399999999998</v>
      </c>
      <c r="J122" s="6">
        <v>4.2539999999999996</v>
      </c>
      <c r="K122" s="6">
        <v>0</v>
      </c>
      <c r="L122" s="6">
        <v>0</v>
      </c>
      <c r="M122" s="6">
        <v>27.144300000000001</v>
      </c>
      <c r="N122" s="6">
        <v>22.908999999999999</v>
      </c>
      <c r="O122" s="6">
        <v>0</v>
      </c>
      <c r="P122" s="6">
        <v>2.4740000000000002</v>
      </c>
      <c r="Q122" s="6">
        <v>0</v>
      </c>
      <c r="R122" s="6">
        <v>24.843</v>
      </c>
      <c r="S122" s="6">
        <v>5.3108000000000004</v>
      </c>
      <c r="T122" s="6">
        <v>8.8480000000000008</v>
      </c>
      <c r="U122" s="6">
        <v>0.11600000000000001</v>
      </c>
      <c r="V122" s="6">
        <v>5.9880000000000004</v>
      </c>
      <c r="W122" s="6">
        <v>0.26900000000000002</v>
      </c>
      <c r="X122" s="6">
        <v>0</v>
      </c>
      <c r="Y122" s="6">
        <v>0</v>
      </c>
      <c r="Z122" s="6">
        <v>0</v>
      </c>
      <c r="AA122" s="6">
        <v>7.5999999999999998E-2</v>
      </c>
      <c r="AB122" s="6">
        <v>7.8196000000000003</v>
      </c>
      <c r="AC122" s="6">
        <v>2.0099999999999998</v>
      </c>
      <c r="AD122" s="6">
        <v>0</v>
      </c>
      <c r="AE122" s="6">
        <v>1.728</v>
      </c>
      <c r="AF122" s="6">
        <v>7.9000000000000001E-2</v>
      </c>
      <c r="AG122" s="6">
        <v>42.128</v>
      </c>
      <c r="AH122" s="6">
        <v>0.46100000000000002</v>
      </c>
      <c r="AI122" s="6">
        <v>3.1949999999999998</v>
      </c>
      <c r="AJ122" s="6">
        <v>0</v>
      </c>
      <c r="AK122" s="6">
        <v>3.194</v>
      </c>
      <c r="AL122" s="6">
        <v>1.4019999999999999</v>
      </c>
      <c r="AM122" s="6">
        <v>0</v>
      </c>
    </row>
    <row r="123" spans="1:39" x14ac:dyDescent="0.25">
      <c r="A123" s="15">
        <v>2014</v>
      </c>
      <c r="B123" s="6">
        <v>0</v>
      </c>
      <c r="C123" s="6">
        <v>25.396799999999999</v>
      </c>
      <c r="D123" s="6">
        <v>0.29199999999999998</v>
      </c>
      <c r="E123" s="6">
        <v>0.23699999999999999</v>
      </c>
      <c r="F123" s="6">
        <v>0</v>
      </c>
      <c r="G123" s="6">
        <v>1.151</v>
      </c>
      <c r="H123" s="6">
        <v>35.612099999999998</v>
      </c>
      <c r="I123" s="6">
        <v>20.701000000000001</v>
      </c>
      <c r="J123" s="6">
        <v>3.27</v>
      </c>
      <c r="K123" s="6">
        <v>0</v>
      </c>
      <c r="L123" s="6">
        <v>0</v>
      </c>
      <c r="M123" s="6">
        <v>29.7014</v>
      </c>
      <c r="N123" s="6">
        <v>25.152999999999999</v>
      </c>
      <c r="O123" s="6">
        <v>0</v>
      </c>
      <c r="P123" s="6">
        <v>2.9</v>
      </c>
      <c r="Q123" s="6">
        <v>0</v>
      </c>
      <c r="R123" s="6">
        <v>30.009</v>
      </c>
      <c r="S123" s="6">
        <v>5.0117000000000003</v>
      </c>
      <c r="T123" s="6">
        <v>12.769</v>
      </c>
      <c r="U123" s="6">
        <v>0.123</v>
      </c>
      <c r="V123" s="6">
        <v>5.8360000000000003</v>
      </c>
      <c r="W123" s="6">
        <v>0.35499999999999998</v>
      </c>
      <c r="X123" s="6">
        <v>0</v>
      </c>
      <c r="Y123" s="6">
        <v>0</v>
      </c>
      <c r="Z123" s="6">
        <v>0</v>
      </c>
      <c r="AA123" s="6">
        <v>0.42199999999999999</v>
      </c>
      <c r="AB123" s="6">
        <v>8.0402000000000005</v>
      </c>
      <c r="AC123" s="6">
        <v>1.742</v>
      </c>
      <c r="AD123" s="6">
        <v>0</v>
      </c>
      <c r="AE123" s="6">
        <v>2.0550000000000002</v>
      </c>
      <c r="AF123" s="6">
        <v>0.09</v>
      </c>
      <c r="AG123" s="6">
        <v>38.71</v>
      </c>
      <c r="AH123" s="6">
        <v>0.34899999999999998</v>
      </c>
      <c r="AI123" s="6">
        <v>2.4409999999999998</v>
      </c>
      <c r="AJ123" s="6">
        <v>0</v>
      </c>
      <c r="AK123" s="6">
        <v>1.4259999999999999</v>
      </c>
      <c r="AL123" s="6">
        <v>1.583</v>
      </c>
      <c r="AM123" s="6">
        <v>0</v>
      </c>
    </row>
    <row r="124" spans="1:39" x14ac:dyDescent="0.25">
      <c r="A124" s="14" t="s">
        <v>180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</row>
    <row r="125" spans="1:39" x14ac:dyDescent="0.25">
      <c r="A125" s="15">
        <v>2010</v>
      </c>
      <c r="B125" s="6">
        <v>0</v>
      </c>
      <c r="C125" s="6">
        <v>4.8000000000000001E-2</v>
      </c>
      <c r="D125" s="6">
        <v>0</v>
      </c>
      <c r="E125" s="6">
        <v>0</v>
      </c>
      <c r="F125" s="6">
        <v>0</v>
      </c>
      <c r="G125" s="6">
        <v>0</v>
      </c>
      <c r="H125" s="6">
        <v>0</v>
      </c>
      <c r="I125" s="6">
        <v>0.14299999999999999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5.0000000000000001E-3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6">
        <v>0</v>
      </c>
      <c r="Y125" s="6">
        <v>0</v>
      </c>
      <c r="Z125" s="6">
        <v>0</v>
      </c>
      <c r="AA125" s="6">
        <v>0</v>
      </c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>
        <v>1E-3</v>
      </c>
      <c r="AJ125" s="6">
        <v>0</v>
      </c>
      <c r="AK125" s="6">
        <v>0</v>
      </c>
      <c r="AL125" s="6">
        <v>0</v>
      </c>
      <c r="AM125" s="6">
        <v>0</v>
      </c>
    </row>
    <row r="126" spans="1:39" x14ac:dyDescent="0.25">
      <c r="A126" s="15">
        <v>2011</v>
      </c>
      <c r="B126" s="6">
        <v>0</v>
      </c>
      <c r="C126" s="6">
        <v>5.7000000000000002E-2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0.217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5.0000000000000001E-3</v>
      </c>
      <c r="Q126" s="6">
        <v>0</v>
      </c>
      <c r="R126" s="6">
        <v>0</v>
      </c>
      <c r="S126" s="6">
        <v>1E-3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v>2E-3</v>
      </c>
      <c r="AJ126" s="6">
        <v>0</v>
      </c>
      <c r="AK126" s="6">
        <v>0</v>
      </c>
      <c r="AL126" s="6">
        <v>0</v>
      </c>
      <c r="AM126" s="6">
        <v>0</v>
      </c>
    </row>
    <row r="127" spans="1:39" x14ac:dyDescent="0.25">
      <c r="A127" s="15">
        <v>2012</v>
      </c>
      <c r="B127" s="6">
        <v>0</v>
      </c>
      <c r="C127" s="6">
        <v>6.3E-2</v>
      </c>
      <c r="D127" s="6">
        <v>0</v>
      </c>
      <c r="E127" s="6">
        <v>0</v>
      </c>
      <c r="F127" s="6">
        <v>0</v>
      </c>
      <c r="G127" s="6">
        <v>0</v>
      </c>
      <c r="H127" s="6">
        <v>1.0999999999999999E-2</v>
      </c>
      <c r="I127" s="6">
        <v>0.34499999999999997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5.0000000000000001E-3</v>
      </c>
      <c r="Q127" s="6">
        <v>0</v>
      </c>
      <c r="R127" s="6">
        <v>0</v>
      </c>
      <c r="S127" s="6">
        <v>1E-3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v>2E-3</v>
      </c>
      <c r="AJ127" s="6">
        <v>0</v>
      </c>
      <c r="AK127" s="6">
        <v>0</v>
      </c>
      <c r="AL127" s="6">
        <v>0</v>
      </c>
      <c r="AM127" s="6">
        <v>0</v>
      </c>
    </row>
    <row r="128" spans="1:39" x14ac:dyDescent="0.25">
      <c r="A128" s="15">
        <v>2013</v>
      </c>
      <c r="B128" s="6">
        <v>0</v>
      </c>
      <c r="C128" s="6">
        <v>6.3E-2</v>
      </c>
      <c r="D128" s="6">
        <v>0</v>
      </c>
      <c r="E128" s="6">
        <v>0</v>
      </c>
      <c r="F128" s="6">
        <v>0</v>
      </c>
      <c r="G128" s="6">
        <v>0</v>
      </c>
      <c r="H128" s="6">
        <v>1E-3</v>
      </c>
      <c r="I128" s="6">
        <v>0.47499999999999998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2E-3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>
        <v>1E-3</v>
      </c>
      <c r="AJ128" s="6">
        <v>0</v>
      </c>
      <c r="AK128" s="6">
        <v>0</v>
      </c>
      <c r="AL128" s="6">
        <v>0</v>
      </c>
      <c r="AM128" s="6">
        <v>0</v>
      </c>
    </row>
    <row r="129" spans="1:39" x14ac:dyDescent="0.25">
      <c r="A129" s="15">
        <v>2014</v>
      </c>
      <c r="B129" s="6">
        <v>0</v>
      </c>
      <c r="C129" s="6">
        <v>6.8000000000000005E-2</v>
      </c>
      <c r="D129" s="6">
        <v>0</v>
      </c>
      <c r="E129" s="6">
        <v>0</v>
      </c>
      <c r="F129" s="6">
        <v>0</v>
      </c>
      <c r="G129" s="6">
        <v>0</v>
      </c>
      <c r="H129" s="6">
        <v>1.0999999999999999E-2</v>
      </c>
      <c r="I129" s="6">
        <v>0.66200000000000003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2E-3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1E-3</v>
      </c>
      <c r="AJ129" s="6">
        <v>0</v>
      </c>
      <c r="AK129" s="6">
        <v>0</v>
      </c>
      <c r="AL129" s="6">
        <v>0</v>
      </c>
      <c r="AM129" s="6">
        <v>0</v>
      </c>
    </row>
    <row r="130" spans="1:39" x14ac:dyDescent="0.25">
      <c r="A130" s="14" t="s">
        <v>188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</row>
    <row r="131" spans="1:39" x14ac:dyDescent="0.25">
      <c r="A131" s="15">
        <v>2010</v>
      </c>
      <c r="B131" s="6">
        <v>0</v>
      </c>
      <c r="C131" s="6">
        <v>22.904</v>
      </c>
      <c r="D131" s="6">
        <v>0</v>
      </c>
      <c r="E131" s="6">
        <v>0.09</v>
      </c>
      <c r="F131" s="6">
        <v>0</v>
      </c>
      <c r="G131" s="6">
        <v>1.1359999999999999</v>
      </c>
      <c r="H131" s="6">
        <v>11.003</v>
      </c>
      <c r="I131" s="6">
        <v>17.135000000000002</v>
      </c>
      <c r="J131" s="6">
        <v>3.8029999999999999</v>
      </c>
      <c r="K131" s="6">
        <v>0</v>
      </c>
      <c r="L131" s="6">
        <v>0</v>
      </c>
      <c r="M131" s="6">
        <v>23.091000000000001</v>
      </c>
      <c r="N131" s="6">
        <v>4.9710000000000001</v>
      </c>
      <c r="O131" s="6">
        <v>0</v>
      </c>
      <c r="P131" s="6">
        <v>0.19500000000000001</v>
      </c>
      <c r="Q131" s="6">
        <v>0</v>
      </c>
      <c r="R131" s="6">
        <v>0</v>
      </c>
      <c r="S131" s="6">
        <v>3.391</v>
      </c>
      <c r="T131" s="6">
        <v>8.0370000000000008</v>
      </c>
      <c r="U131" s="6">
        <v>9.5000000000000001E-2</v>
      </c>
      <c r="V131" s="6">
        <v>6.1909999999999998</v>
      </c>
      <c r="W131" s="6">
        <v>0.51800000000000002</v>
      </c>
      <c r="X131" s="6">
        <v>0</v>
      </c>
      <c r="Y131" s="6">
        <v>0</v>
      </c>
      <c r="Z131" s="6">
        <v>0</v>
      </c>
      <c r="AA131" s="6">
        <v>0</v>
      </c>
      <c r="AB131" s="6">
        <v>4.7549999999999999</v>
      </c>
      <c r="AC131" s="6">
        <v>1.8779999999999999</v>
      </c>
      <c r="AD131" s="6">
        <v>0</v>
      </c>
      <c r="AE131" s="6">
        <v>1.748</v>
      </c>
      <c r="AF131" s="6">
        <v>8.4000000000000005E-2</v>
      </c>
      <c r="AG131" s="6">
        <v>39.549999999999997</v>
      </c>
      <c r="AH131" s="6">
        <v>0.26900000000000002</v>
      </c>
      <c r="AI131" s="6">
        <v>2.6669999999999998</v>
      </c>
      <c r="AJ131" s="6">
        <v>0</v>
      </c>
      <c r="AK131" s="6">
        <v>2.7549999999999999</v>
      </c>
      <c r="AL131" s="6">
        <v>6.5000000000000002E-2</v>
      </c>
      <c r="AM131" s="6">
        <v>0</v>
      </c>
    </row>
    <row r="132" spans="1:39" x14ac:dyDescent="0.25">
      <c r="A132" s="15">
        <v>2011</v>
      </c>
      <c r="B132" s="6">
        <v>0</v>
      </c>
      <c r="C132" s="6">
        <v>18.587</v>
      </c>
      <c r="D132" s="6">
        <v>0</v>
      </c>
      <c r="E132" s="6">
        <v>9.0999999999999998E-2</v>
      </c>
      <c r="F132" s="6">
        <v>0</v>
      </c>
      <c r="G132" s="6">
        <v>1.4630000000000001</v>
      </c>
      <c r="H132" s="6">
        <v>9.2360000000000007</v>
      </c>
      <c r="I132" s="6">
        <v>16.181000000000001</v>
      </c>
      <c r="J132" s="6">
        <v>5.0030000000000001</v>
      </c>
      <c r="K132" s="6">
        <v>0</v>
      </c>
      <c r="L132" s="6">
        <v>0</v>
      </c>
      <c r="M132" s="6">
        <v>21.989000000000001</v>
      </c>
      <c r="N132" s="6">
        <v>6.09</v>
      </c>
      <c r="O132" s="6">
        <v>0</v>
      </c>
      <c r="P132" s="6">
        <v>0.50900000000000001</v>
      </c>
      <c r="Q132" s="6">
        <v>0</v>
      </c>
      <c r="R132" s="6">
        <v>0</v>
      </c>
      <c r="S132" s="6">
        <v>3.6720000000000002</v>
      </c>
      <c r="T132" s="6">
        <v>7.51</v>
      </c>
      <c r="U132" s="6">
        <v>0.10100000000000001</v>
      </c>
      <c r="V132" s="6">
        <v>5.4349999999999996</v>
      </c>
      <c r="W132" s="6">
        <v>0.4</v>
      </c>
      <c r="X132" s="6">
        <v>0</v>
      </c>
      <c r="Y132" s="6">
        <v>0</v>
      </c>
      <c r="Z132" s="6">
        <v>0</v>
      </c>
      <c r="AA132" s="6">
        <v>0</v>
      </c>
      <c r="AB132" s="6">
        <v>4.46</v>
      </c>
      <c r="AC132" s="6">
        <v>1.772</v>
      </c>
      <c r="AD132" s="6">
        <v>0</v>
      </c>
      <c r="AE132" s="6">
        <v>2.823</v>
      </c>
      <c r="AF132" s="6">
        <v>0.09</v>
      </c>
      <c r="AG132" s="6">
        <v>43.01</v>
      </c>
      <c r="AH132" s="6">
        <v>0.34699999999999998</v>
      </c>
      <c r="AI132" s="6">
        <v>2.71</v>
      </c>
      <c r="AJ132" s="6">
        <v>0</v>
      </c>
      <c r="AK132" s="6">
        <v>1.964</v>
      </c>
      <c r="AL132" s="6">
        <v>1.6160000000000001</v>
      </c>
      <c r="AM132" s="6">
        <v>0</v>
      </c>
    </row>
    <row r="133" spans="1:39" x14ac:dyDescent="0.25">
      <c r="A133" s="15">
        <v>2012</v>
      </c>
      <c r="B133" s="6">
        <v>0</v>
      </c>
      <c r="C133" s="6">
        <v>21.555</v>
      </c>
      <c r="D133" s="6">
        <v>0</v>
      </c>
      <c r="E133" s="6">
        <v>0.125</v>
      </c>
      <c r="F133" s="6">
        <v>0</v>
      </c>
      <c r="G133" s="6">
        <v>1.1779999999999999</v>
      </c>
      <c r="H133" s="6">
        <v>15.765000000000001</v>
      </c>
      <c r="I133" s="6">
        <v>17.815999999999999</v>
      </c>
      <c r="J133" s="6">
        <v>4.0279999999999996</v>
      </c>
      <c r="K133" s="6">
        <v>0</v>
      </c>
      <c r="L133" s="6">
        <v>0</v>
      </c>
      <c r="M133" s="6">
        <v>25.831</v>
      </c>
      <c r="N133" s="6">
        <v>7.7249999999999996</v>
      </c>
      <c r="O133" s="6">
        <v>0</v>
      </c>
      <c r="P133" s="6">
        <v>0.81</v>
      </c>
      <c r="Q133" s="6">
        <v>0</v>
      </c>
      <c r="R133" s="6">
        <v>0</v>
      </c>
      <c r="S133" s="6">
        <v>3.96</v>
      </c>
      <c r="T133" s="6">
        <v>9.2360000000000007</v>
      </c>
      <c r="U133" s="6">
        <v>0.10199999999999999</v>
      </c>
      <c r="V133" s="6">
        <v>5.9039999999999999</v>
      </c>
      <c r="W133" s="6">
        <v>0.23</v>
      </c>
      <c r="X133" s="6">
        <v>0</v>
      </c>
      <c r="Y133" s="6">
        <v>0</v>
      </c>
      <c r="Z133" s="6">
        <v>0</v>
      </c>
      <c r="AA133" s="6">
        <v>2.3E-2</v>
      </c>
      <c r="AB133" s="6">
        <v>5.21</v>
      </c>
      <c r="AC133" s="6">
        <v>1.6850000000000001</v>
      </c>
      <c r="AD133" s="6">
        <v>0</v>
      </c>
      <c r="AE133" s="6">
        <v>1.9319999999999999</v>
      </c>
      <c r="AF133" s="6">
        <v>7.2999999999999995E-2</v>
      </c>
      <c r="AG133" s="6">
        <v>39.107999999999997</v>
      </c>
      <c r="AH133" s="6">
        <v>0.41599999999999998</v>
      </c>
      <c r="AI133" s="6">
        <v>2.9529999999999998</v>
      </c>
      <c r="AJ133" s="6">
        <v>0</v>
      </c>
      <c r="AK133" s="6">
        <v>2.109</v>
      </c>
      <c r="AL133" s="6">
        <v>2.1930000000000001</v>
      </c>
      <c r="AM133" s="6">
        <v>0</v>
      </c>
    </row>
    <row r="134" spans="1:39" x14ac:dyDescent="0.25">
      <c r="A134" s="15">
        <v>2013</v>
      </c>
      <c r="B134" s="6">
        <v>0</v>
      </c>
      <c r="C134" s="6">
        <v>22.640999999999998</v>
      </c>
      <c r="D134" s="6">
        <v>0</v>
      </c>
      <c r="E134" s="6">
        <v>5.2999999999999999E-2</v>
      </c>
      <c r="F134" s="6">
        <v>0</v>
      </c>
      <c r="G134" s="6">
        <v>1.2869999999999999</v>
      </c>
      <c r="H134" s="6">
        <v>11.170999999999999</v>
      </c>
      <c r="I134" s="6">
        <v>17.754999999999999</v>
      </c>
      <c r="J134" s="6">
        <v>4.2539999999999996</v>
      </c>
      <c r="K134" s="6">
        <v>0</v>
      </c>
      <c r="L134" s="6">
        <v>0</v>
      </c>
      <c r="M134" s="6">
        <v>26.443000000000001</v>
      </c>
      <c r="N134" s="6">
        <v>10.353</v>
      </c>
      <c r="O134" s="6">
        <v>0</v>
      </c>
      <c r="P134" s="6">
        <v>1.859</v>
      </c>
      <c r="Q134" s="6">
        <v>0</v>
      </c>
      <c r="R134" s="6">
        <v>0</v>
      </c>
      <c r="S134" s="6">
        <v>3.9929999999999999</v>
      </c>
      <c r="T134" s="6">
        <v>8.7780000000000005</v>
      </c>
      <c r="U134" s="6">
        <v>0.11600000000000001</v>
      </c>
      <c r="V134" s="6">
        <v>5.9880000000000004</v>
      </c>
      <c r="W134" s="6">
        <v>0.26900000000000002</v>
      </c>
      <c r="X134" s="6">
        <v>0</v>
      </c>
      <c r="Y134" s="6">
        <v>0</v>
      </c>
      <c r="Z134" s="6">
        <v>0</v>
      </c>
      <c r="AA134" s="6">
        <v>7.5999999999999998E-2</v>
      </c>
      <c r="AB134" s="6">
        <v>5.3940000000000001</v>
      </c>
      <c r="AC134" s="6">
        <v>1.9950000000000001</v>
      </c>
      <c r="AD134" s="6">
        <v>0</v>
      </c>
      <c r="AE134" s="6">
        <v>1.694</v>
      </c>
      <c r="AF134" s="6">
        <v>7.9000000000000001E-2</v>
      </c>
      <c r="AG134" s="6">
        <v>36.298000000000002</v>
      </c>
      <c r="AH134" s="6">
        <v>0.38300000000000001</v>
      </c>
      <c r="AI134" s="6">
        <v>2.9460000000000002</v>
      </c>
      <c r="AJ134" s="6">
        <v>0</v>
      </c>
      <c r="AK134" s="6">
        <v>3.194</v>
      </c>
      <c r="AL134" s="6">
        <v>0.29399999999999998</v>
      </c>
      <c r="AM134" s="6">
        <v>0</v>
      </c>
    </row>
    <row r="135" spans="1:39" x14ac:dyDescent="0.25">
      <c r="A135" s="15">
        <v>2014</v>
      </c>
      <c r="B135" s="6">
        <v>0</v>
      </c>
      <c r="C135" s="6">
        <v>23.314</v>
      </c>
      <c r="D135" s="6">
        <v>0</v>
      </c>
      <c r="E135" s="6">
        <v>0.23699999999999999</v>
      </c>
      <c r="F135" s="6">
        <v>0</v>
      </c>
      <c r="G135" s="6">
        <v>1.151</v>
      </c>
      <c r="H135" s="6">
        <v>13.67</v>
      </c>
      <c r="I135" s="6">
        <v>17.119</v>
      </c>
      <c r="J135" s="6">
        <v>3.27</v>
      </c>
      <c r="K135" s="6">
        <v>0</v>
      </c>
      <c r="L135" s="6">
        <v>0</v>
      </c>
      <c r="M135" s="6">
        <v>28.608000000000001</v>
      </c>
      <c r="N135" s="6">
        <v>12.474</v>
      </c>
      <c r="O135" s="6">
        <v>0</v>
      </c>
      <c r="P135" s="6">
        <v>1.55</v>
      </c>
      <c r="Q135" s="6">
        <v>0</v>
      </c>
      <c r="R135" s="6">
        <v>0</v>
      </c>
      <c r="S135" s="6">
        <v>3.452</v>
      </c>
      <c r="T135" s="6">
        <v>12.691000000000001</v>
      </c>
      <c r="U135" s="6">
        <v>0.123</v>
      </c>
      <c r="V135" s="6">
        <v>5.8360000000000003</v>
      </c>
      <c r="W135" s="6">
        <v>0.35499999999999998</v>
      </c>
      <c r="X135" s="6">
        <v>0</v>
      </c>
      <c r="Y135" s="6">
        <v>0</v>
      </c>
      <c r="Z135" s="6">
        <v>0</v>
      </c>
      <c r="AA135" s="6">
        <v>0.42199999999999999</v>
      </c>
      <c r="AB135" s="6">
        <v>5.08</v>
      </c>
      <c r="AC135" s="6">
        <v>1.712</v>
      </c>
      <c r="AD135" s="6">
        <v>0</v>
      </c>
      <c r="AE135" s="6">
        <v>1.675</v>
      </c>
      <c r="AF135" s="6">
        <v>0.09</v>
      </c>
      <c r="AG135" s="6">
        <v>34.628</v>
      </c>
      <c r="AH135" s="6">
        <v>0.28699999999999998</v>
      </c>
      <c r="AI135" s="6">
        <v>2.2000000000000002</v>
      </c>
      <c r="AJ135" s="6">
        <v>0</v>
      </c>
      <c r="AK135" s="6">
        <v>1.4259999999999999</v>
      </c>
      <c r="AL135" s="6">
        <v>0.22800000000000001</v>
      </c>
      <c r="AM135" s="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BR3991"/>
  <sheetViews>
    <sheetView workbookViewId="0"/>
  </sheetViews>
  <sheetFormatPr defaultColWidth="9" defaultRowHeight="15" x14ac:dyDescent="0.25"/>
  <sheetData>
    <row r="1" spans="1:70" x14ac:dyDescent="0.25">
      <c r="A1" t="s">
        <v>194</v>
      </c>
      <c r="B1" t="s">
        <v>195</v>
      </c>
      <c r="C1" t="s">
        <v>196</v>
      </c>
      <c r="D1" t="s">
        <v>197</v>
      </c>
      <c r="E1" t="s">
        <v>17</v>
      </c>
      <c r="F1" t="s">
        <v>198</v>
      </c>
      <c r="BR1" s="16" t="s">
        <v>199</v>
      </c>
    </row>
    <row r="2" spans="1:70" x14ac:dyDescent="0.25">
      <c r="A2" t="s">
        <v>169</v>
      </c>
      <c r="B2" t="s">
        <v>170</v>
      </c>
      <c r="C2" t="s">
        <v>121</v>
      </c>
      <c r="D2">
        <v>2014</v>
      </c>
      <c r="E2">
        <v>0.57699999999999996</v>
      </c>
      <c r="F2" t="s">
        <v>172</v>
      </c>
      <c r="BR2" s="16" t="s">
        <v>200</v>
      </c>
    </row>
    <row r="3" spans="1:70" x14ac:dyDescent="0.25">
      <c r="A3" t="s">
        <v>169</v>
      </c>
      <c r="B3" t="s">
        <v>170</v>
      </c>
      <c r="C3" t="s">
        <v>121</v>
      </c>
      <c r="D3">
        <v>2013</v>
      </c>
      <c r="E3">
        <v>0</v>
      </c>
      <c r="F3" t="s">
        <v>172</v>
      </c>
      <c r="BR3" s="16" t="s">
        <v>201</v>
      </c>
    </row>
    <row r="4" spans="1:70" x14ac:dyDescent="0.25">
      <c r="A4" t="s">
        <v>169</v>
      </c>
      <c r="B4" t="s">
        <v>170</v>
      </c>
      <c r="C4" t="s">
        <v>121</v>
      </c>
      <c r="D4">
        <v>2012</v>
      </c>
      <c r="E4">
        <v>0</v>
      </c>
      <c r="F4" t="s">
        <v>172</v>
      </c>
      <c r="BR4" s="16" t="s">
        <v>202</v>
      </c>
    </row>
    <row r="5" spans="1:70" x14ac:dyDescent="0.25">
      <c r="A5" t="s">
        <v>169</v>
      </c>
      <c r="B5" t="s">
        <v>170</v>
      </c>
      <c r="C5" t="s">
        <v>121</v>
      </c>
      <c r="D5">
        <v>2011</v>
      </c>
      <c r="E5">
        <v>0</v>
      </c>
      <c r="F5" t="s">
        <v>172</v>
      </c>
      <c r="BR5" s="16" t="s">
        <v>203</v>
      </c>
    </row>
    <row r="6" spans="1:70" x14ac:dyDescent="0.25">
      <c r="A6" t="s">
        <v>169</v>
      </c>
      <c r="B6" t="s">
        <v>170</v>
      </c>
      <c r="C6" t="s">
        <v>121</v>
      </c>
      <c r="D6">
        <v>2010</v>
      </c>
      <c r="E6">
        <v>0</v>
      </c>
      <c r="F6" t="s">
        <v>172</v>
      </c>
      <c r="BR6" s="16" t="s">
        <v>204</v>
      </c>
    </row>
    <row r="7" spans="1:70" x14ac:dyDescent="0.25">
      <c r="A7" t="s">
        <v>169</v>
      </c>
      <c r="B7" t="s">
        <v>170</v>
      </c>
      <c r="C7" t="s">
        <v>122</v>
      </c>
      <c r="D7">
        <v>2014</v>
      </c>
      <c r="E7">
        <v>42.393999999999998</v>
      </c>
      <c r="F7" t="s">
        <v>172</v>
      </c>
      <c r="BR7" s="16" t="s">
        <v>205</v>
      </c>
    </row>
    <row r="8" spans="1:70" x14ac:dyDescent="0.25">
      <c r="A8" t="s">
        <v>169</v>
      </c>
      <c r="B8" t="s">
        <v>170</v>
      </c>
      <c r="C8" t="s">
        <v>122</v>
      </c>
      <c r="D8">
        <v>2013</v>
      </c>
      <c r="E8">
        <v>42.533999999999999</v>
      </c>
      <c r="F8" t="s">
        <v>172</v>
      </c>
      <c r="BR8" s="16" t="s">
        <v>206</v>
      </c>
    </row>
    <row r="9" spans="1:70" x14ac:dyDescent="0.25">
      <c r="A9" t="s">
        <v>169</v>
      </c>
      <c r="B9" t="s">
        <v>170</v>
      </c>
      <c r="C9" t="s">
        <v>122</v>
      </c>
      <c r="D9">
        <v>2012</v>
      </c>
      <c r="E9">
        <v>39.311999999999998</v>
      </c>
      <c r="F9" t="s">
        <v>172</v>
      </c>
    </row>
    <row r="10" spans="1:70" x14ac:dyDescent="0.25">
      <c r="A10" t="s">
        <v>169</v>
      </c>
      <c r="B10" t="s">
        <v>170</v>
      </c>
      <c r="C10" t="s">
        <v>122</v>
      </c>
      <c r="D10">
        <v>2011</v>
      </c>
      <c r="E10">
        <v>34.340000000000003</v>
      </c>
      <c r="F10" t="s">
        <v>172</v>
      </c>
    </row>
    <row r="11" spans="1:70" x14ac:dyDescent="0.25">
      <c r="A11" t="s">
        <v>169</v>
      </c>
      <c r="B11" t="s">
        <v>170</v>
      </c>
      <c r="C11" t="s">
        <v>122</v>
      </c>
      <c r="D11">
        <v>2010</v>
      </c>
      <c r="E11">
        <v>38.201000000000001</v>
      </c>
      <c r="F11" t="s">
        <v>172</v>
      </c>
    </row>
    <row r="12" spans="1:70" x14ac:dyDescent="0.25">
      <c r="A12" t="s">
        <v>169</v>
      </c>
      <c r="B12" t="s">
        <v>170</v>
      </c>
      <c r="C12" t="s">
        <v>123</v>
      </c>
      <c r="D12">
        <v>2014</v>
      </c>
      <c r="E12">
        <v>0.63500000000000001</v>
      </c>
      <c r="F12" t="s">
        <v>172</v>
      </c>
    </row>
    <row r="13" spans="1:70" x14ac:dyDescent="0.25">
      <c r="A13" t="s">
        <v>169</v>
      </c>
      <c r="B13" t="s">
        <v>170</v>
      </c>
      <c r="C13" t="s">
        <v>123</v>
      </c>
      <c r="D13">
        <v>2013</v>
      </c>
      <c r="E13">
        <v>0.58099999999999996</v>
      </c>
      <c r="F13" t="s">
        <v>172</v>
      </c>
    </row>
    <row r="14" spans="1:70" x14ac:dyDescent="0.25">
      <c r="A14" t="s">
        <v>169</v>
      </c>
      <c r="B14" t="s">
        <v>170</v>
      </c>
      <c r="C14" t="s">
        <v>123</v>
      </c>
      <c r="D14">
        <v>2012</v>
      </c>
      <c r="E14">
        <v>0.61</v>
      </c>
      <c r="F14" t="s">
        <v>172</v>
      </c>
    </row>
    <row r="15" spans="1:70" x14ac:dyDescent="0.25">
      <c r="A15" t="s">
        <v>169</v>
      </c>
      <c r="B15" t="s">
        <v>170</v>
      </c>
      <c r="C15" t="s">
        <v>123</v>
      </c>
      <c r="D15">
        <v>2011</v>
      </c>
      <c r="E15">
        <v>0.89300000000000002</v>
      </c>
      <c r="F15" t="s">
        <v>172</v>
      </c>
    </row>
    <row r="16" spans="1:70" x14ac:dyDescent="0.25">
      <c r="A16" t="s">
        <v>169</v>
      </c>
      <c r="B16" t="s">
        <v>170</v>
      </c>
      <c r="C16" t="s">
        <v>123</v>
      </c>
      <c r="D16">
        <v>2010</v>
      </c>
      <c r="E16">
        <v>0.25600000000000001</v>
      </c>
      <c r="F16" t="s">
        <v>172</v>
      </c>
    </row>
    <row r="17" spans="1:6" x14ac:dyDescent="0.25">
      <c r="A17" t="s">
        <v>169</v>
      </c>
      <c r="B17" t="s">
        <v>170</v>
      </c>
      <c r="C17" t="s">
        <v>124</v>
      </c>
      <c r="D17">
        <v>2014</v>
      </c>
      <c r="E17">
        <v>7.9240000000000004</v>
      </c>
      <c r="F17" t="s">
        <v>172</v>
      </c>
    </row>
    <row r="18" spans="1:6" x14ac:dyDescent="0.25">
      <c r="A18" t="s">
        <v>169</v>
      </c>
      <c r="B18" t="s">
        <v>170</v>
      </c>
      <c r="C18" t="s">
        <v>124</v>
      </c>
      <c r="D18">
        <v>2013</v>
      </c>
      <c r="E18">
        <v>6.5490000000000004</v>
      </c>
      <c r="F18" t="s">
        <v>172</v>
      </c>
    </row>
    <row r="19" spans="1:6" x14ac:dyDescent="0.25">
      <c r="A19" t="s">
        <v>169</v>
      </c>
      <c r="B19" t="s">
        <v>170</v>
      </c>
      <c r="C19" t="s">
        <v>124</v>
      </c>
      <c r="D19">
        <v>2012</v>
      </c>
      <c r="E19">
        <v>8.8710000000000004</v>
      </c>
      <c r="F19" t="s">
        <v>172</v>
      </c>
    </row>
    <row r="20" spans="1:6" x14ac:dyDescent="0.25">
      <c r="A20" t="s">
        <v>169</v>
      </c>
      <c r="B20" t="s">
        <v>170</v>
      </c>
      <c r="C20" t="s">
        <v>124</v>
      </c>
      <c r="D20">
        <v>2011</v>
      </c>
      <c r="E20">
        <v>11.491</v>
      </c>
      <c r="F20" t="s">
        <v>172</v>
      </c>
    </row>
    <row r="21" spans="1:6" x14ac:dyDescent="0.25">
      <c r="A21" t="s">
        <v>169</v>
      </c>
      <c r="B21" t="s">
        <v>170</v>
      </c>
      <c r="C21" t="s">
        <v>124</v>
      </c>
      <c r="D21">
        <v>2010</v>
      </c>
      <c r="E21">
        <v>12.736000000000001</v>
      </c>
      <c r="F21" t="s">
        <v>172</v>
      </c>
    </row>
    <row r="22" spans="1:6" x14ac:dyDescent="0.25">
      <c r="A22" t="s">
        <v>169</v>
      </c>
      <c r="B22" t="s">
        <v>170</v>
      </c>
      <c r="C22" t="s">
        <v>160</v>
      </c>
      <c r="D22">
        <v>2014</v>
      </c>
      <c r="E22">
        <v>0</v>
      </c>
      <c r="F22" t="s">
        <v>172</v>
      </c>
    </row>
    <row r="23" spans="1:6" x14ac:dyDescent="0.25">
      <c r="A23" t="s">
        <v>169</v>
      </c>
      <c r="B23" t="s">
        <v>170</v>
      </c>
      <c r="C23" t="s">
        <v>160</v>
      </c>
      <c r="D23">
        <v>2013</v>
      </c>
      <c r="E23">
        <v>0</v>
      </c>
      <c r="F23" t="s">
        <v>172</v>
      </c>
    </row>
    <row r="24" spans="1:6" x14ac:dyDescent="0.25">
      <c r="A24" t="s">
        <v>169</v>
      </c>
      <c r="B24" t="s">
        <v>170</v>
      </c>
      <c r="C24" t="s">
        <v>160</v>
      </c>
      <c r="D24">
        <v>2012</v>
      </c>
      <c r="E24">
        <v>0</v>
      </c>
      <c r="F24" t="s">
        <v>172</v>
      </c>
    </row>
    <row r="25" spans="1:6" x14ac:dyDescent="0.25">
      <c r="A25" t="s">
        <v>169</v>
      </c>
      <c r="B25" t="s">
        <v>170</v>
      </c>
      <c r="C25" t="s">
        <v>160</v>
      </c>
      <c r="D25">
        <v>2011</v>
      </c>
      <c r="E25">
        <v>0</v>
      </c>
      <c r="F25" t="s">
        <v>172</v>
      </c>
    </row>
    <row r="26" spans="1:6" x14ac:dyDescent="0.25">
      <c r="A26" t="s">
        <v>169</v>
      </c>
      <c r="B26" t="s">
        <v>170</v>
      </c>
      <c r="C26" t="s">
        <v>160</v>
      </c>
      <c r="D26">
        <v>2010</v>
      </c>
      <c r="E26">
        <v>0</v>
      </c>
      <c r="F26" t="s">
        <v>172</v>
      </c>
    </row>
    <row r="27" spans="1:6" x14ac:dyDescent="0.25">
      <c r="A27" t="s">
        <v>169</v>
      </c>
      <c r="B27" t="s">
        <v>170</v>
      </c>
      <c r="C27" t="s">
        <v>125</v>
      </c>
      <c r="D27">
        <v>2014</v>
      </c>
      <c r="E27">
        <v>25.904</v>
      </c>
      <c r="F27" t="s">
        <v>172</v>
      </c>
    </row>
    <row r="28" spans="1:6" x14ac:dyDescent="0.25">
      <c r="A28" t="s">
        <v>169</v>
      </c>
      <c r="B28" t="s">
        <v>170</v>
      </c>
      <c r="C28" t="s">
        <v>125</v>
      </c>
      <c r="D28">
        <v>2013</v>
      </c>
      <c r="E28">
        <v>30.940999999999999</v>
      </c>
      <c r="F28" t="s">
        <v>172</v>
      </c>
    </row>
    <row r="29" spans="1:6" x14ac:dyDescent="0.25">
      <c r="A29" t="s">
        <v>169</v>
      </c>
      <c r="B29" t="s">
        <v>170</v>
      </c>
      <c r="C29" t="s">
        <v>125</v>
      </c>
      <c r="D29">
        <v>2012</v>
      </c>
      <c r="E29">
        <v>32.470999999999997</v>
      </c>
      <c r="F29" t="s">
        <v>172</v>
      </c>
    </row>
    <row r="30" spans="1:6" x14ac:dyDescent="0.25">
      <c r="A30" t="s">
        <v>169</v>
      </c>
      <c r="B30" t="s">
        <v>170</v>
      </c>
      <c r="C30" t="s">
        <v>125</v>
      </c>
      <c r="D30">
        <v>2011</v>
      </c>
      <c r="E30">
        <v>28.161000000000001</v>
      </c>
      <c r="F30" t="s">
        <v>172</v>
      </c>
    </row>
    <row r="31" spans="1:6" x14ac:dyDescent="0.25">
      <c r="A31" t="s">
        <v>169</v>
      </c>
      <c r="B31" t="s">
        <v>170</v>
      </c>
      <c r="C31" t="s">
        <v>125</v>
      </c>
      <c r="D31">
        <v>2010</v>
      </c>
      <c r="E31">
        <v>32.942999999999998</v>
      </c>
      <c r="F31" t="s">
        <v>172</v>
      </c>
    </row>
    <row r="32" spans="1:6" x14ac:dyDescent="0.25">
      <c r="A32" t="s">
        <v>169</v>
      </c>
      <c r="B32" t="s">
        <v>170</v>
      </c>
      <c r="C32" t="s">
        <v>126</v>
      </c>
      <c r="D32">
        <v>2014</v>
      </c>
      <c r="E32">
        <v>162.59399999999999</v>
      </c>
      <c r="F32" t="s">
        <v>172</v>
      </c>
    </row>
    <row r="33" spans="1:6" x14ac:dyDescent="0.25">
      <c r="A33" t="s">
        <v>169</v>
      </c>
      <c r="B33" t="s">
        <v>170</v>
      </c>
      <c r="C33" t="s">
        <v>126</v>
      </c>
      <c r="D33">
        <v>2013</v>
      </c>
      <c r="E33">
        <v>179.99199999999999</v>
      </c>
      <c r="F33" t="s">
        <v>172</v>
      </c>
    </row>
    <row r="34" spans="1:6" x14ac:dyDescent="0.25">
      <c r="A34" t="s">
        <v>169</v>
      </c>
      <c r="B34" t="s">
        <v>170</v>
      </c>
      <c r="C34" t="s">
        <v>126</v>
      </c>
      <c r="D34">
        <v>2012</v>
      </c>
      <c r="E34">
        <v>197.59899999999999</v>
      </c>
      <c r="F34" t="s">
        <v>172</v>
      </c>
    </row>
    <row r="35" spans="1:6" x14ac:dyDescent="0.25">
      <c r="A35" t="s">
        <v>169</v>
      </c>
      <c r="B35" t="s">
        <v>170</v>
      </c>
      <c r="C35" t="s">
        <v>126</v>
      </c>
      <c r="D35">
        <v>2011</v>
      </c>
      <c r="E35">
        <v>189.108</v>
      </c>
      <c r="F35" t="s">
        <v>172</v>
      </c>
    </row>
    <row r="36" spans="1:6" x14ac:dyDescent="0.25">
      <c r="A36" t="s">
        <v>169</v>
      </c>
      <c r="B36" t="s">
        <v>170</v>
      </c>
      <c r="C36" t="s">
        <v>126</v>
      </c>
      <c r="D36">
        <v>2010</v>
      </c>
      <c r="E36">
        <v>199.047</v>
      </c>
      <c r="F36" t="s">
        <v>172</v>
      </c>
    </row>
    <row r="37" spans="1:6" x14ac:dyDescent="0.25">
      <c r="A37" t="s">
        <v>169</v>
      </c>
      <c r="B37" t="s">
        <v>170</v>
      </c>
      <c r="C37" t="s">
        <v>127</v>
      </c>
      <c r="D37">
        <v>2014</v>
      </c>
      <c r="E37">
        <v>38.625999999999998</v>
      </c>
      <c r="F37" t="s">
        <v>172</v>
      </c>
    </row>
    <row r="38" spans="1:6" x14ac:dyDescent="0.25">
      <c r="A38" t="s">
        <v>169</v>
      </c>
      <c r="B38" t="s">
        <v>170</v>
      </c>
      <c r="C38" t="s">
        <v>127</v>
      </c>
      <c r="D38">
        <v>2013</v>
      </c>
      <c r="E38">
        <v>37.561999999999998</v>
      </c>
      <c r="F38" t="s">
        <v>172</v>
      </c>
    </row>
    <row r="39" spans="1:6" x14ac:dyDescent="0.25">
      <c r="A39" t="s">
        <v>169</v>
      </c>
      <c r="B39" t="s">
        <v>170</v>
      </c>
      <c r="C39" t="s">
        <v>127</v>
      </c>
      <c r="D39">
        <v>2012</v>
      </c>
      <c r="E39">
        <v>37.871000000000002</v>
      </c>
      <c r="F39" t="s">
        <v>172</v>
      </c>
    </row>
    <row r="40" spans="1:6" x14ac:dyDescent="0.25">
      <c r="A40" t="s">
        <v>169</v>
      </c>
      <c r="B40" t="s">
        <v>170</v>
      </c>
      <c r="C40" t="s">
        <v>127</v>
      </c>
      <c r="D40">
        <v>2011</v>
      </c>
      <c r="E40">
        <v>31.678999999999998</v>
      </c>
      <c r="F40" t="s">
        <v>172</v>
      </c>
    </row>
    <row r="41" spans="1:6" x14ac:dyDescent="0.25">
      <c r="A41" t="s">
        <v>169</v>
      </c>
      <c r="B41" t="s">
        <v>170</v>
      </c>
      <c r="C41" t="s">
        <v>127</v>
      </c>
      <c r="D41">
        <v>2010</v>
      </c>
      <c r="E41">
        <v>36.387999999999998</v>
      </c>
      <c r="F41" t="s">
        <v>172</v>
      </c>
    </row>
    <row r="42" spans="1:6" x14ac:dyDescent="0.25">
      <c r="A42" t="s">
        <v>169</v>
      </c>
      <c r="B42" t="s">
        <v>170</v>
      </c>
      <c r="C42" t="s">
        <v>128</v>
      </c>
      <c r="D42">
        <v>2014</v>
      </c>
      <c r="E42">
        <v>13.286</v>
      </c>
      <c r="F42" t="s">
        <v>172</v>
      </c>
    </row>
    <row r="43" spans="1:6" x14ac:dyDescent="0.25">
      <c r="A43" t="s">
        <v>169</v>
      </c>
      <c r="B43" t="s">
        <v>170</v>
      </c>
      <c r="C43" t="s">
        <v>128</v>
      </c>
      <c r="D43">
        <v>2013</v>
      </c>
      <c r="E43">
        <v>15.807</v>
      </c>
      <c r="F43" t="s">
        <v>172</v>
      </c>
    </row>
    <row r="44" spans="1:6" x14ac:dyDescent="0.25">
      <c r="A44" t="s">
        <v>169</v>
      </c>
      <c r="B44" t="s">
        <v>170</v>
      </c>
      <c r="C44" t="s">
        <v>128</v>
      </c>
      <c r="D44">
        <v>2012</v>
      </c>
      <c r="E44">
        <v>18.713999999999999</v>
      </c>
      <c r="F44" t="s">
        <v>172</v>
      </c>
    </row>
    <row r="45" spans="1:6" x14ac:dyDescent="0.25">
      <c r="A45" t="s">
        <v>169</v>
      </c>
      <c r="B45" t="s">
        <v>170</v>
      </c>
      <c r="C45" t="s">
        <v>128</v>
      </c>
      <c r="D45">
        <v>2011</v>
      </c>
      <c r="E45">
        <v>17.245000000000001</v>
      </c>
      <c r="F45" t="s">
        <v>172</v>
      </c>
    </row>
    <row r="46" spans="1:6" x14ac:dyDescent="0.25">
      <c r="A46" t="s">
        <v>169</v>
      </c>
      <c r="B46" t="s">
        <v>170</v>
      </c>
      <c r="C46" t="s">
        <v>128</v>
      </c>
      <c r="D46">
        <v>2010</v>
      </c>
      <c r="E46">
        <v>18.689</v>
      </c>
      <c r="F46" t="s">
        <v>172</v>
      </c>
    </row>
    <row r="47" spans="1:6" x14ac:dyDescent="0.25">
      <c r="A47" t="s">
        <v>169</v>
      </c>
      <c r="B47" t="s">
        <v>170</v>
      </c>
      <c r="C47" t="s">
        <v>161</v>
      </c>
      <c r="D47">
        <v>2014</v>
      </c>
      <c r="E47">
        <v>0</v>
      </c>
      <c r="F47" t="s">
        <v>172</v>
      </c>
    </row>
    <row r="48" spans="1:6" x14ac:dyDescent="0.25">
      <c r="A48" t="s">
        <v>169</v>
      </c>
      <c r="B48" t="s">
        <v>170</v>
      </c>
      <c r="C48" t="s">
        <v>161</v>
      </c>
      <c r="D48">
        <v>2013</v>
      </c>
      <c r="E48">
        <v>0</v>
      </c>
      <c r="F48" t="s">
        <v>172</v>
      </c>
    </row>
    <row r="49" spans="1:6" x14ac:dyDescent="0.25">
      <c r="A49" t="s">
        <v>169</v>
      </c>
      <c r="B49" t="s">
        <v>170</v>
      </c>
      <c r="C49" t="s">
        <v>161</v>
      </c>
      <c r="D49">
        <v>2012</v>
      </c>
      <c r="E49">
        <v>0</v>
      </c>
      <c r="F49" t="s">
        <v>172</v>
      </c>
    </row>
    <row r="50" spans="1:6" x14ac:dyDescent="0.25">
      <c r="A50" t="s">
        <v>169</v>
      </c>
      <c r="B50" t="s">
        <v>170</v>
      </c>
      <c r="C50" t="s">
        <v>161</v>
      </c>
      <c r="D50">
        <v>2011</v>
      </c>
      <c r="E50">
        <v>0</v>
      </c>
      <c r="F50" t="s">
        <v>172</v>
      </c>
    </row>
    <row r="51" spans="1:6" x14ac:dyDescent="0.25">
      <c r="A51" t="s">
        <v>169</v>
      </c>
      <c r="B51" t="s">
        <v>170</v>
      </c>
      <c r="C51" t="s">
        <v>161</v>
      </c>
      <c r="D51">
        <v>2010</v>
      </c>
      <c r="E51">
        <v>0</v>
      </c>
      <c r="F51" t="s">
        <v>172</v>
      </c>
    </row>
    <row r="52" spans="1:6" x14ac:dyDescent="0.25">
      <c r="A52" t="s">
        <v>169</v>
      </c>
      <c r="B52" t="s">
        <v>170</v>
      </c>
      <c r="C52" t="s">
        <v>162</v>
      </c>
      <c r="D52">
        <v>2014</v>
      </c>
      <c r="E52">
        <v>0</v>
      </c>
      <c r="F52" t="s">
        <v>172</v>
      </c>
    </row>
    <row r="53" spans="1:6" x14ac:dyDescent="0.25">
      <c r="A53" t="s">
        <v>169</v>
      </c>
      <c r="B53" t="s">
        <v>170</v>
      </c>
      <c r="C53" t="s">
        <v>162</v>
      </c>
      <c r="D53">
        <v>2013</v>
      </c>
      <c r="E53">
        <v>0</v>
      </c>
      <c r="F53" t="s">
        <v>172</v>
      </c>
    </row>
    <row r="54" spans="1:6" x14ac:dyDescent="0.25">
      <c r="A54" t="s">
        <v>169</v>
      </c>
      <c r="B54" t="s">
        <v>170</v>
      </c>
      <c r="C54" t="s">
        <v>162</v>
      </c>
      <c r="D54">
        <v>2012</v>
      </c>
      <c r="E54">
        <v>0</v>
      </c>
      <c r="F54" t="s">
        <v>172</v>
      </c>
    </row>
    <row r="55" spans="1:6" x14ac:dyDescent="0.25">
      <c r="A55" t="s">
        <v>169</v>
      </c>
      <c r="B55" t="s">
        <v>170</v>
      </c>
      <c r="C55" t="s">
        <v>162</v>
      </c>
      <c r="D55">
        <v>2011</v>
      </c>
      <c r="E55">
        <v>0</v>
      </c>
      <c r="F55" t="s">
        <v>172</v>
      </c>
    </row>
    <row r="56" spans="1:6" x14ac:dyDescent="0.25">
      <c r="A56" t="s">
        <v>169</v>
      </c>
      <c r="B56" t="s">
        <v>170</v>
      </c>
      <c r="C56" t="s">
        <v>162</v>
      </c>
      <c r="D56">
        <v>2010</v>
      </c>
      <c r="E56">
        <v>0</v>
      </c>
      <c r="F56" t="s">
        <v>172</v>
      </c>
    </row>
    <row r="57" spans="1:6" x14ac:dyDescent="0.25">
      <c r="A57" t="s">
        <v>169</v>
      </c>
      <c r="B57" t="s">
        <v>170</v>
      </c>
      <c r="C57" t="s">
        <v>129</v>
      </c>
      <c r="D57">
        <v>2014</v>
      </c>
      <c r="E57">
        <v>62.09</v>
      </c>
      <c r="F57" t="s">
        <v>172</v>
      </c>
    </row>
    <row r="58" spans="1:6" x14ac:dyDescent="0.25">
      <c r="A58" t="s">
        <v>169</v>
      </c>
      <c r="B58" t="s">
        <v>170</v>
      </c>
      <c r="C58" t="s">
        <v>129</v>
      </c>
      <c r="D58">
        <v>2013</v>
      </c>
      <c r="E58">
        <v>59.073999999999998</v>
      </c>
      <c r="F58" t="s">
        <v>172</v>
      </c>
    </row>
    <row r="59" spans="1:6" x14ac:dyDescent="0.25">
      <c r="A59" t="s">
        <v>169</v>
      </c>
      <c r="B59" t="s">
        <v>170</v>
      </c>
      <c r="C59" t="s">
        <v>129</v>
      </c>
      <c r="D59">
        <v>2012</v>
      </c>
      <c r="E59">
        <v>67.665000000000006</v>
      </c>
      <c r="F59" t="s">
        <v>172</v>
      </c>
    </row>
    <row r="60" spans="1:6" x14ac:dyDescent="0.25">
      <c r="A60" t="s">
        <v>169</v>
      </c>
      <c r="B60" t="s">
        <v>170</v>
      </c>
      <c r="C60" t="s">
        <v>129</v>
      </c>
      <c r="D60">
        <v>2011</v>
      </c>
      <c r="E60">
        <v>57.814</v>
      </c>
      <c r="F60" t="s">
        <v>172</v>
      </c>
    </row>
    <row r="61" spans="1:6" x14ac:dyDescent="0.25">
      <c r="A61" t="s">
        <v>169</v>
      </c>
      <c r="B61" t="s">
        <v>170</v>
      </c>
      <c r="C61" t="s">
        <v>129</v>
      </c>
      <c r="D61">
        <v>2010</v>
      </c>
      <c r="E61">
        <v>65.783000000000001</v>
      </c>
      <c r="F61" t="s">
        <v>172</v>
      </c>
    </row>
    <row r="62" spans="1:6" x14ac:dyDescent="0.25">
      <c r="A62" t="s">
        <v>169</v>
      </c>
      <c r="B62" t="s">
        <v>170</v>
      </c>
      <c r="C62" t="s">
        <v>130</v>
      </c>
      <c r="D62">
        <v>2014</v>
      </c>
      <c r="E62">
        <v>65.05</v>
      </c>
      <c r="F62" t="s">
        <v>172</v>
      </c>
    </row>
    <row r="63" spans="1:6" x14ac:dyDescent="0.25">
      <c r="A63" t="s">
        <v>169</v>
      </c>
      <c r="B63" t="s">
        <v>170</v>
      </c>
      <c r="C63" t="s">
        <v>130</v>
      </c>
      <c r="D63">
        <v>2013</v>
      </c>
      <c r="E63">
        <v>74.899000000000001</v>
      </c>
      <c r="F63" t="s">
        <v>172</v>
      </c>
    </row>
    <row r="64" spans="1:6" x14ac:dyDescent="0.25">
      <c r="A64" t="s">
        <v>169</v>
      </c>
      <c r="B64" t="s">
        <v>170</v>
      </c>
      <c r="C64" t="s">
        <v>130</v>
      </c>
      <c r="D64">
        <v>2012</v>
      </c>
      <c r="E64">
        <v>66.403999999999996</v>
      </c>
      <c r="F64" t="s">
        <v>172</v>
      </c>
    </row>
    <row r="65" spans="1:6" x14ac:dyDescent="0.25">
      <c r="A65" t="s">
        <v>169</v>
      </c>
      <c r="B65" t="s">
        <v>170</v>
      </c>
      <c r="C65" t="s">
        <v>130</v>
      </c>
      <c r="D65">
        <v>2011</v>
      </c>
      <c r="E65">
        <v>19.488</v>
      </c>
      <c r="F65" t="s">
        <v>172</v>
      </c>
    </row>
    <row r="66" spans="1:6" x14ac:dyDescent="0.25">
      <c r="A66" t="s">
        <v>169</v>
      </c>
      <c r="B66" t="s">
        <v>170</v>
      </c>
      <c r="C66" t="s">
        <v>130</v>
      </c>
      <c r="D66">
        <v>2010</v>
      </c>
      <c r="E66">
        <v>25.335000000000001</v>
      </c>
      <c r="F66" t="s">
        <v>172</v>
      </c>
    </row>
    <row r="67" spans="1:6" x14ac:dyDescent="0.25">
      <c r="A67" t="s">
        <v>169</v>
      </c>
      <c r="B67" t="s">
        <v>170</v>
      </c>
      <c r="C67" t="s">
        <v>131</v>
      </c>
      <c r="D67">
        <v>2014</v>
      </c>
      <c r="E67">
        <v>2.726</v>
      </c>
      <c r="F67" t="s">
        <v>172</v>
      </c>
    </row>
    <row r="68" spans="1:6" x14ac:dyDescent="0.25">
      <c r="A68" t="s">
        <v>169</v>
      </c>
      <c r="B68" t="s">
        <v>170</v>
      </c>
      <c r="C68" t="s">
        <v>131</v>
      </c>
      <c r="D68">
        <v>2013</v>
      </c>
      <c r="E68">
        <v>3.2909999999999999</v>
      </c>
      <c r="F68" t="s">
        <v>172</v>
      </c>
    </row>
    <row r="69" spans="1:6" x14ac:dyDescent="0.25">
      <c r="A69" t="s">
        <v>169</v>
      </c>
      <c r="B69" t="s">
        <v>170</v>
      </c>
      <c r="C69" t="s">
        <v>131</v>
      </c>
      <c r="D69">
        <v>2012</v>
      </c>
      <c r="E69">
        <v>3.2930000000000001</v>
      </c>
      <c r="F69" t="s">
        <v>172</v>
      </c>
    </row>
    <row r="70" spans="1:6" x14ac:dyDescent="0.25">
      <c r="A70" t="s">
        <v>169</v>
      </c>
      <c r="B70" t="s">
        <v>170</v>
      </c>
      <c r="C70" t="s">
        <v>131</v>
      </c>
      <c r="D70">
        <v>2011</v>
      </c>
      <c r="E70">
        <v>3.7570000000000001</v>
      </c>
      <c r="F70" t="s">
        <v>172</v>
      </c>
    </row>
    <row r="71" spans="1:6" x14ac:dyDescent="0.25">
      <c r="A71" t="s">
        <v>169</v>
      </c>
      <c r="B71" t="s">
        <v>170</v>
      </c>
      <c r="C71" t="s">
        <v>131</v>
      </c>
      <c r="D71">
        <v>2010</v>
      </c>
      <c r="E71">
        <v>4.0750000000000002</v>
      </c>
      <c r="F71" t="s">
        <v>172</v>
      </c>
    </row>
    <row r="72" spans="1:6" x14ac:dyDescent="0.25">
      <c r="A72" t="s">
        <v>169</v>
      </c>
      <c r="B72" t="s">
        <v>170</v>
      </c>
      <c r="C72" t="s">
        <v>132</v>
      </c>
      <c r="D72">
        <v>2014</v>
      </c>
      <c r="E72">
        <v>23.539000000000001</v>
      </c>
      <c r="F72" t="s">
        <v>172</v>
      </c>
    </row>
    <row r="73" spans="1:6" x14ac:dyDescent="0.25">
      <c r="A73" t="s">
        <v>169</v>
      </c>
      <c r="B73" t="s">
        <v>170</v>
      </c>
      <c r="C73" t="s">
        <v>132</v>
      </c>
      <c r="D73">
        <v>2013</v>
      </c>
      <c r="E73">
        <v>27.99</v>
      </c>
      <c r="F73" t="s">
        <v>172</v>
      </c>
    </row>
    <row r="74" spans="1:6" x14ac:dyDescent="0.25">
      <c r="A74" t="s">
        <v>169</v>
      </c>
      <c r="B74" t="s">
        <v>170</v>
      </c>
      <c r="C74" t="s">
        <v>132</v>
      </c>
      <c r="D74">
        <v>2012</v>
      </c>
      <c r="E74">
        <v>27.358000000000001</v>
      </c>
      <c r="F74" t="s">
        <v>172</v>
      </c>
    </row>
    <row r="75" spans="1:6" x14ac:dyDescent="0.25">
      <c r="A75" t="s">
        <v>169</v>
      </c>
      <c r="B75" t="s">
        <v>170</v>
      </c>
      <c r="C75" t="s">
        <v>132</v>
      </c>
      <c r="D75">
        <v>2011</v>
      </c>
      <c r="E75">
        <v>22.873000000000001</v>
      </c>
      <c r="F75" t="s">
        <v>172</v>
      </c>
    </row>
    <row r="76" spans="1:6" x14ac:dyDescent="0.25">
      <c r="A76" t="s">
        <v>169</v>
      </c>
      <c r="B76" t="s">
        <v>170</v>
      </c>
      <c r="C76" t="s">
        <v>132</v>
      </c>
      <c r="D76">
        <v>2010</v>
      </c>
      <c r="E76">
        <v>19.553000000000001</v>
      </c>
      <c r="F76" t="s">
        <v>172</v>
      </c>
    </row>
    <row r="77" spans="1:6" x14ac:dyDescent="0.25">
      <c r="A77" t="s">
        <v>169</v>
      </c>
      <c r="B77" t="s">
        <v>170</v>
      </c>
      <c r="C77" t="s">
        <v>163</v>
      </c>
      <c r="D77">
        <v>2014</v>
      </c>
      <c r="E77">
        <v>0</v>
      </c>
      <c r="F77" t="s">
        <v>172</v>
      </c>
    </row>
    <row r="78" spans="1:6" x14ac:dyDescent="0.25">
      <c r="A78" t="s">
        <v>169</v>
      </c>
      <c r="B78" t="s">
        <v>170</v>
      </c>
      <c r="C78" t="s">
        <v>163</v>
      </c>
      <c r="D78">
        <v>2013</v>
      </c>
      <c r="E78">
        <v>0</v>
      </c>
      <c r="F78" t="s">
        <v>172</v>
      </c>
    </row>
    <row r="79" spans="1:6" x14ac:dyDescent="0.25">
      <c r="A79" t="s">
        <v>169</v>
      </c>
      <c r="B79" t="s">
        <v>170</v>
      </c>
      <c r="C79" t="s">
        <v>163</v>
      </c>
      <c r="D79">
        <v>2012</v>
      </c>
      <c r="E79">
        <v>0</v>
      </c>
      <c r="F79" t="s">
        <v>172</v>
      </c>
    </row>
    <row r="80" spans="1:6" x14ac:dyDescent="0.25">
      <c r="A80" t="s">
        <v>169</v>
      </c>
      <c r="B80" t="s">
        <v>170</v>
      </c>
      <c r="C80" t="s">
        <v>163</v>
      </c>
      <c r="D80">
        <v>2011</v>
      </c>
      <c r="E80">
        <v>0</v>
      </c>
      <c r="F80" t="s">
        <v>172</v>
      </c>
    </row>
    <row r="81" spans="1:6" x14ac:dyDescent="0.25">
      <c r="A81" t="s">
        <v>169</v>
      </c>
      <c r="B81" t="s">
        <v>170</v>
      </c>
      <c r="C81" t="s">
        <v>163</v>
      </c>
      <c r="D81">
        <v>2010</v>
      </c>
      <c r="E81">
        <v>0</v>
      </c>
      <c r="F81" t="s">
        <v>172</v>
      </c>
    </row>
    <row r="82" spans="1:6" x14ac:dyDescent="0.25">
      <c r="A82" t="s">
        <v>169</v>
      </c>
      <c r="B82" t="s">
        <v>170</v>
      </c>
      <c r="C82" t="s">
        <v>133</v>
      </c>
      <c r="D82">
        <v>2014</v>
      </c>
      <c r="E82">
        <v>30.722000000000001</v>
      </c>
      <c r="F82" t="s">
        <v>172</v>
      </c>
    </row>
    <row r="83" spans="1:6" x14ac:dyDescent="0.25">
      <c r="A83" t="s">
        <v>169</v>
      </c>
      <c r="B83" t="s">
        <v>170</v>
      </c>
      <c r="C83" t="s">
        <v>133</v>
      </c>
      <c r="D83">
        <v>2013</v>
      </c>
      <c r="E83">
        <v>25.541</v>
      </c>
      <c r="F83" t="s">
        <v>172</v>
      </c>
    </row>
    <row r="84" spans="1:6" x14ac:dyDescent="0.25">
      <c r="A84" t="s">
        <v>169</v>
      </c>
      <c r="B84" t="s">
        <v>170</v>
      </c>
      <c r="C84" t="s">
        <v>133</v>
      </c>
      <c r="D84">
        <v>2012</v>
      </c>
      <c r="E84">
        <v>26.798999999999999</v>
      </c>
      <c r="F84" t="s">
        <v>172</v>
      </c>
    </row>
    <row r="85" spans="1:6" x14ac:dyDescent="0.25">
      <c r="A85" t="s">
        <v>169</v>
      </c>
      <c r="B85" t="s">
        <v>170</v>
      </c>
      <c r="C85" t="s">
        <v>133</v>
      </c>
      <c r="D85">
        <v>2011</v>
      </c>
      <c r="E85">
        <v>26.248000000000001</v>
      </c>
      <c r="F85" t="s">
        <v>172</v>
      </c>
    </row>
    <row r="86" spans="1:6" x14ac:dyDescent="0.25">
      <c r="A86" t="s">
        <v>169</v>
      </c>
      <c r="B86" t="s">
        <v>170</v>
      </c>
      <c r="C86" t="s">
        <v>133</v>
      </c>
      <c r="D86">
        <v>2010</v>
      </c>
      <c r="E86">
        <v>25.689</v>
      </c>
      <c r="F86" t="s">
        <v>172</v>
      </c>
    </row>
    <row r="87" spans="1:6" x14ac:dyDescent="0.25">
      <c r="A87" t="s">
        <v>169</v>
      </c>
      <c r="B87" t="s">
        <v>170</v>
      </c>
      <c r="C87" t="s">
        <v>134</v>
      </c>
      <c r="D87">
        <v>2014</v>
      </c>
      <c r="E87">
        <v>5.0119999999999996</v>
      </c>
      <c r="F87" t="s">
        <v>172</v>
      </c>
    </row>
    <row r="88" spans="1:6" x14ac:dyDescent="0.25">
      <c r="A88" t="s">
        <v>169</v>
      </c>
      <c r="B88" t="s">
        <v>170</v>
      </c>
      <c r="C88" t="s">
        <v>134</v>
      </c>
      <c r="D88">
        <v>2013</v>
      </c>
      <c r="E88">
        <v>5.3109999999999999</v>
      </c>
      <c r="F88" t="s">
        <v>172</v>
      </c>
    </row>
    <row r="89" spans="1:6" x14ac:dyDescent="0.25">
      <c r="A89" t="s">
        <v>169</v>
      </c>
      <c r="B89" t="s">
        <v>170</v>
      </c>
      <c r="C89" t="s">
        <v>134</v>
      </c>
      <c r="D89">
        <v>2012</v>
      </c>
      <c r="E89">
        <v>5.2770000000000001</v>
      </c>
      <c r="F89" t="s">
        <v>172</v>
      </c>
    </row>
    <row r="90" spans="1:6" x14ac:dyDescent="0.25">
      <c r="A90" t="s">
        <v>169</v>
      </c>
      <c r="B90" t="s">
        <v>170</v>
      </c>
      <c r="C90" t="s">
        <v>134</v>
      </c>
      <c r="D90">
        <v>2011</v>
      </c>
      <c r="E90">
        <v>4.8650000000000002</v>
      </c>
      <c r="F90" t="s">
        <v>172</v>
      </c>
    </row>
    <row r="91" spans="1:6" x14ac:dyDescent="0.25">
      <c r="A91" t="s">
        <v>169</v>
      </c>
      <c r="B91" t="s">
        <v>170</v>
      </c>
      <c r="C91" t="s">
        <v>134</v>
      </c>
      <c r="D91">
        <v>2010</v>
      </c>
      <c r="E91">
        <v>4.585</v>
      </c>
      <c r="F91" t="s">
        <v>172</v>
      </c>
    </row>
    <row r="92" spans="1:6" x14ac:dyDescent="0.25">
      <c r="A92" t="s">
        <v>169</v>
      </c>
      <c r="B92" t="s">
        <v>170</v>
      </c>
      <c r="C92" t="s">
        <v>135</v>
      </c>
      <c r="D92">
        <v>2014</v>
      </c>
      <c r="E92">
        <v>19.515000000000001</v>
      </c>
      <c r="F92" t="s">
        <v>172</v>
      </c>
    </row>
    <row r="93" spans="1:6" x14ac:dyDescent="0.25">
      <c r="A93" t="s">
        <v>169</v>
      </c>
      <c r="B93" t="s">
        <v>170</v>
      </c>
      <c r="C93" t="s">
        <v>135</v>
      </c>
      <c r="D93">
        <v>2013</v>
      </c>
      <c r="E93">
        <v>17.722999999999999</v>
      </c>
      <c r="F93" t="s">
        <v>172</v>
      </c>
    </row>
    <row r="94" spans="1:6" x14ac:dyDescent="0.25">
      <c r="A94" t="s">
        <v>169</v>
      </c>
      <c r="B94" t="s">
        <v>170</v>
      </c>
      <c r="C94" t="s">
        <v>135</v>
      </c>
      <c r="D94">
        <v>2012</v>
      </c>
      <c r="E94">
        <v>19.998999999999999</v>
      </c>
      <c r="F94" t="s">
        <v>172</v>
      </c>
    </row>
    <row r="95" spans="1:6" x14ac:dyDescent="0.25">
      <c r="A95" t="s">
        <v>169</v>
      </c>
      <c r="B95" t="s">
        <v>170</v>
      </c>
      <c r="C95" t="s">
        <v>135</v>
      </c>
      <c r="D95">
        <v>2011</v>
      </c>
      <c r="E95">
        <v>18.311</v>
      </c>
      <c r="F95" t="s">
        <v>172</v>
      </c>
    </row>
    <row r="96" spans="1:6" x14ac:dyDescent="0.25">
      <c r="A96" t="s">
        <v>169</v>
      </c>
      <c r="B96" t="s">
        <v>170</v>
      </c>
      <c r="C96" t="s">
        <v>135</v>
      </c>
      <c r="D96">
        <v>2010</v>
      </c>
      <c r="E96">
        <v>20.780999999999999</v>
      </c>
      <c r="F96" t="s">
        <v>172</v>
      </c>
    </row>
    <row r="97" spans="1:6" x14ac:dyDescent="0.25">
      <c r="A97" t="s">
        <v>169</v>
      </c>
      <c r="B97" t="s">
        <v>170</v>
      </c>
      <c r="C97" t="s">
        <v>136</v>
      </c>
      <c r="D97">
        <v>2014</v>
      </c>
      <c r="E97">
        <v>0.20300000000000001</v>
      </c>
      <c r="F97" t="s">
        <v>172</v>
      </c>
    </row>
    <row r="98" spans="1:6" x14ac:dyDescent="0.25">
      <c r="A98" t="s">
        <v>169</v>
      </c>
      <c r="B98" t="s">
        <v>170</v>
      </c>
      <c r="C98" t="s">
        <v>136</v>
      </c>
      <c r="D98">
        <v>2013</v>
      </c>
      <c r="E98">
        <v>0.23200000000000001</v>
      </c>
      <c r="F98" t="s">
        <v>172</v>
      </c>
    </row>
    <row r="99" spans="1:6" x14ac:dyDescent="0.25">
      <c r="A99" t="s">
        <v>169</v>
      </c>
      <c r="B99" t="s">
        <v>170</v>
      </c>
      <c r="C99" t="s">
        <v>136</v>
      </c>
      <c r="D99">
        <v>2012</v>
      </c>
      <c r="E99">
        <v>0.17799999999999999</v>
      </c>
      <c r="F99" t="s">
        <v>172</v>
      </c>
    </row>
    <row r="100" spans="1:6" x14ac:dyDescent="0.25">
      <c r="A100" t="s">
        <v>169</v>
      </c>
      <c r="B100" t="s">
        <v>170</v>
      </c>
      <c r="C100" t="s">
        <v>136</v>
      </c>
      <c r="D100">
        <v>2011</v>
      </c>
      <c r="E100">
        <v>0.19700000000000001</v>
      </c>
      <c r="F100" t="s">
        <v>172</v>
      </c>
    </row>
    <row r="101" spans="1:6" x14ac:dyDescent="0.25">
      <c r="A101" t="s">
        <v>169</v>
      </c>
      <c r="B101" t="s">
        <v>170</v>
      </c>
      <c r="C101" t="s">
        <v>136</v>
      </c>
      <c r="D101">
        <v>2010</v>
      </c>
      <c r="E101">
        <v>0.16400000000000001</v>
      </c>
      <c r="F101" t="s">
        <v>172</v>
      </c>
    </row>
    <row r="102" spans="1:6" x14ac:dyDescent="0.25">
      <c r="A102" t="s">
        <v>169</v>
      </c>
      <c r="B102" t="s">
        <v>170</v>
      </c>
      <c r="C102" t="s">
        <v>137</v>
      </c>
      <c r="D102">
        <v>2014</v>
      </c>
      <c r="E102">
        <v>9.2040000000000006</v>
      </c>
      <c r="F102" t="s">
        <v>172</v>
      </c>
    </row>
    <row r="103" spans="1:6" x14ac:dyDescent="0.25">
      <c r="A103" t="s">
        <v>169</v>
      </c>
      <c r="B103" t="s">
        <v>170</v>
      </c>
      <c r="C103" t="s">
        <v>137</v>
      </c>
      <c r="D103">
        <v>2013</v>
      </c>
      <c r="E103">
        <v>10.647</v>
      </c>
      <c r="F103" t="s">
        <v>172</v>
      </c>
    </row>
    <row r="104" spans="1:6" x14ac:dyDescent="0.25">
      <c r="A104" t="s">
        <v>169</v>
      </c>
      <c r="B104" t="s">
        <v>170</v>
      </c>
      <c r="C104" t="s">
        <v>137</v>
      </c>
      <c r="D104">
        <v>2012</v>
      </c>
      <c r="E104">
        <v>12.609</v>
      </c>
      <c r="F104" t="s">
        <v>172</v>
      </c>
    </row>
    <row r="105" spans="1:6" x14ac:dyDescent="0.25">
      <c r="A105" t="s">
        <v>169</v>
      </c>
      <c r="B105" t="s">
        <v>170</v>
      </c>
      <c r="C105" t="s">
        <v>137</v>
      </c>
      <c r="D105">
        <v>2011</v>
      </c>
      <c r="E105">
        <v>12.881</v>
      </c>
      <c r="F105" t="s">
        <v>172</v>
      </c>
    </row>
    <row r="106" spans="1:6" x14ac:dyDescent="0.25">
      <c r="A106" t="s">
        <v>169</v>
      </c>
      <c r="B106" t="s">
        <v>170</v>
      </c>
      <c r="C106" t="s">
        <v>137</v>
      </c>
      <c r="D106">
        <v>2010</v>
      </c>
      <c r="E106">
        <v>14.885999999999999</v>
      </c>
      <c r="F106" t="s">
        <v>172</v>
      </c>
    </row>
    <row r="107" spans="1:6" x14ac:dyDescent="0.25">
      <c r="A107" t="s">
        <v>169</v>
      </c>
      <c r="B107" t="s">
        <v>170</v>
      </c>
      <c r="C107" t="s">
        <v>138</v>
      </c>
      <c r="D107">
        <v>2014</v>
      </c>
      <c r="E107">
        <v>3.7090000000000001</v>
      </c>
      <c r="F107" t="s">
        <v>172</v>
      </c>
    </row>
    <row r="108" spans="1:6" x14ac:dyDescent="0.25">
      <c r="A108" t="s">
        <v>169</v>
      </c>
      <c r="B108" t="s">
        <v>170</v>
      </c>
      <c r="C108" t="s">
        <v>138</v>
      </c>
      <c r="D108">
        <v>2013</v>
      </c>
      <c r="E108">
        <v>4.1420000000000003</v>
      </c>
      <c r="F108" t="s">
        <v>172</v>
      </c>
    </row>
    <row r="109" spans="1:6" x14ac:dyDescent="0.25">
      <c r="A109" t="s">
        <v>169</v>
      </c>
      <c r="B109" t="s">
        <v>170</v>
      </c>
      <c r="C109" t="s">
        <v>138</v>
      </c>
      <c r="D109">
        <v>2012</v>
      </c>
      <c r="E109">
        <v>4.0049999999999999</v>
      </c>
      <c r="F109" t="s">
        <v>172</v>
      </c>
    </row>
    <row r="110" spans="1:6" x14ac:dyDescent="0.25">
      <c r="A110" t="s">
        <v>169</v>
      </c>
      <c r="B110" t="s">
        <v>170</v>
      </c>
      <c r="C110" t="s">
        <v>138</v>
      </c>
      <c r="D110">
        <v>2011</v>
      </c>
      <c r="E110">
        <v>4.319</v>
      </c>
      <c r="F110" t="s">
        <v>172</v>
      </c>
    </row>
    <row r="111" spans="1:6" x14ac:dyDescent="0.25">
      <c r="A111" t="s">
        <v>169</v>
      </c>
      <c r="B111" t="s">
        <v>170</v>
      </c>
      <c r="C111" t="s">
        <v>138</v>
      </c>
      <c r="D111">
        <v>2010</v>
      </c>
      <c r="E111">
        <v>4.6689999999999996</v>
      </c>
      <c r="F111" t="s">
        <v>172</v>
      </c>
    </row>
    <row r="112" spans="1:6" x14ac:dyDescent="0.25">
      <c r="A112" t="s">
        <v>169</v>
      </c>
      <c r="B112" t="s">
        <v>170</v>
      </c>
      <c r="C112" t="s">
        <v>164</v>
      </c>
      <c r="D112">
        <v>2014</v>
      </c>
      <c r="E112">
        <v>0</v>
      </c>
      <c r="F112" t="s">
        <v>172</v>
      </c>
    </row>
    <row r="113" spans="1:6" x14ac:dyDescent="0.25">
      <c r="A113" t="s">
        <v>169</v>
      </c>
      <c r="B113" t="s">
        <v>170</v>
      </c>
      <c r="C113" t="s">
        <v>164</v>
      </c>
      <c r="D113">
        <v>2013</v>
      </c>
      <c r="E113">
        <v>0</v>
      </c>
      <c r="F113" t="s">
        <v>172</v>
      </c>
    </row>
    <row r="114" spans="1:6" x14ac:dyDescent="0.25">
      <c r="A114" t="s">
        <v>169</v>
      </c>
      <c r="B114" t="s">
        <v>170</v>
      </c>
      <c r="C114" t="s">
        <v>164</v>
      </c>
      <c r="D114">
        <v>2012</v>
      </c>
      <c r="E114">
        <v>0</v>
      </c>
      <c r="F114" t="s">
        <v>172</v>
      </c>
    </row>
    <row r="115" spans="1:6" x14ac:dyDescent="0.25">
      <c r="A115" t="s">
        <v>169</v>
      </c>
      <c r="B115" t="s">
        <v>170</v>
      </c>
      <c r="C115" t="s">
        <v>164</v>
      </c>
      <c r="D115">
        <v>2011</v>
      </c>
      <c r="E115">
        <v>0</v>
      </c>
      <c r="F115" t="s">
        <v>172</v>
      </c>
    </row>
    <row r="116" spans="1:6" x14ac:dyDescent="0.25">
      <c r="A116" t="s">
        <v>169</v>
      </c>
      <c r="B116" t="s">
        <v>170</v>
      </c>
      <c r="C116" t="s">
        <v>164</v>
      </c>
      <c r="D116">
        <v>2010</v>
      </c>
      <c r="E116">
        <v>0</v>
      </c>
      <c r="F116" t="s">
        <v>172</v>
      </c>
    </row>
    <row r="117" spans="1:6" x14ac:dyDescent="0.25">
      <c r="A117" t="s">
        <v>169</v>
      </c>
      <c r="B117" t="s">
        <v>170</v>
      </c>
      <c r="C117" t="s">
        <v>139</v>
      </c>
      <c r="D117">
        <v>2014</v>
      </c>
      <c r="E117">
        <v>1.6879999999999999</v>
      </c>
      <c r="F117" t="s">
        <v>172</v>
      </c>
    </row>
    <row r="118" spans="1:6" x14ac:dyDescent="0.25">
      <c r="A118" t="s">
        <v>169</v>
      </c>
      <c r="B118" t="s">
        <v>170</v>
      </c>
      <c r="C118" t="s">
        <v>139</v>
      </c>
      <c r="D118">
        <v>2013</v>
      </c>
      <c r="E118">
        <v>1.2509999999999999</v>
      </c>
      <c r="F118" t="s">
        <v>172</v>
      </c>
    </row>
    <row r="119" spans="1:6" x14ac:dyDescent="0.25">
      <c r="A119" t="s">
        <v>169</v>
      </c>
      <c r="B119" t="s">
        <v>170</v>
      </c>
      <c r="C119" t="s">
        <v>139</v>
      </c>
      <c r="D119">
        <v>2012</v>
      </c>
      <c r="E119">
        <v>1.728</v>
      </c>
      <c r="F119" t="s">
        <v>172</v>
      </c>
    </row>
    <row r="120" spans="1:6" x14ac:dyDescent="0.25">
      <c r="A120" t="s">
        <v>169</v>
      </c>
      <c r="B120" t="s">
        <v>170</v>
      </c>
      <c r="C120" t="s">
        <v>139</v>
      </c>
      <c r="D120">
        <v>2011</v>
      </c>
      <c r="E120">
        <v>2.3879999999999999</v>
      </c>
      <c r="F120" t="s">
        <v>172</v>
      </c>
    </row>
    <row r="121" spans="1:6" x14ac:dyDescent="0.25">
      <c r="A121" t="s">
        <v>169</v>
      </c>
      <c r="B121" t="s">
        <v>170</v>
      </c>
      <c r="C121" t="s">
        <v>139</v>
      </c>
      <c r="D121">
        <v>2010</v>
      </c>
      <c r="E121">
        <v>3.2320000000000002</v>
      </c>
      <c r="F121" t="s">
        <v>172</v>
      </c>
    </row>
    <row r="122" spans="1:6" x14ac:dyDescent="0.25">
      <c r="A122" t="s">
        <v>169</v>
      </c>
      <c r="B122" t="s">
        <v>170</v>
      </c>
      <c r="C122" t="s">
        <v>165</v>
      </c>
      <c r="D122">
        <v>2014</v>
      </c>
      <c r="E122">
        <v>0</v>
      </c>
      <c r="F122" t="s">
        <v>172</v>
      </c>
    </row>
    <row r="123" spans="1:6" x14ac:dyDescent="0.25">
      <c r="A123" t="s">
        <v>169</v>
      </c>
      <c r="B123" t="s">
        <v>170</v>
      </c>
      <c r="C123" t="s">
        <v>165</v>
      </c>
      <c r="D123">
        <v>2013</v>
      </c>
      <c r="E123">
        <v>0</v>
      </c>
      <c r="F123" t="s">
        <v>172</v>
      </c>
    </row>
    <row r="124" spans="1:6" x14ac:dyDescent="0.25">
      <c r="A124" t="s">
        <v>169</v>
      </c>
      <c r="B124" t="s">
        <v>170</v>
      </c>
      <c r="C124" t="s">
        <v>165</v>
      </c>
      <c r="D124">
        <v>2012</v>
      </c>
      <c r="E124">
        <v>0</v>
      </c>
      <c r="F124" t="s">
        <v>172</v>
      </c>
    </row>
    <row r="125" spans="1:6" x14ac:dyDescent="0.25">
      <c r="A125" t="s">
        <v>169</v>
      </c>
      <c r="B125" t="s">
        <v>170</v>
      </c>
      <c r="C125" t="s">
        <v>165</v>
      </c>
      <c r="D125">
        <v>2011</v>
      </c>
      <c r="E125">
        <v>0</v>
      </c>
      <c r="F125" t="s">
        <v>172</v>
      </c>
    </row>
    <row r="126" spans="1:6" x14ac:dyDescent="0.25">
      <c r="A126" t="s">
        <v>169</v>
      </c>
      <c r="B126" t="s">
        <v>170</v>
      </c>
      <c r="C126" t="s">
        <v>165</v>
      </c>
      <c r="D126">
        <v>2010</v>
      </c>
      <c r="E126">
        <v>0</v>
      </c>
      <c r="F126" t="s">
        <v>172</v>
      </c>
    </row>
    <row r="127" spans="1:6" x14ac:dyDescent="0.25">
      <c r="A127" t="s">
        <v>169</v>
      </c>
      <c r="B127" t="s">
        <v>170</v>
      </c>
      <c r="C127" t="s">
        <v>140</v>
      </c>
      <c r="D127">
        <v>2014</v>
      </c>
      <c r="E127">
        <v>28.091000000000001</v>
      </c>
      <c r="F127" t="s">
        <v>172</v>
      </c>
    </row>
    <row r="128" spans="1:6" x14ac:dyDescent="0.25">
      <c r="A128" t="s">
        <v>169</v>
      </c>
      <c r="B128" t="s">
        <v>170</v>
      </c>
      <c r="C128" t="s">
        <v>140</v>
      </c>
      <c r="D128">
        <v>2013</v>
      </c>
      <c r="E128">
        <v>20.890999999999998</v>
      </c>
      <c r="F128" t="s">
        <v>172</v>
      </c>
    </row>
    <row r="129" spans="1:6" x14ac:dyDescent="0.25">
      <c r="A129" t="s">
        <v>169</v>
      </c>
      <c r="B129" t="s">
        <v>170</v>
      </c>
      <c r="C129" t="s">
        <v>140</v>
      </c>
      <c r="D129">
        <v>2012</v>
      </c>
      <c r="E129">
        <v>19.73</v>
      </c>
      <c r="F129" t="s">
        <v>172</v>
      </c>
    </row>
    <row r="130" spans="1:6" x14ac:dyDescent="0.25">
      <c r="A130" t="s">
        <v>169</v>
      </c>
      <c r="B130" t="s">
        <v>170</v>
      </c>
      <c r="C130" t="s">
        <v>140</v>
      </c>
      <c r="D130">
        <v>2011</v>
      </c>
      <c r="E130">
        <v>29.035</v>
      </c>
      <c r="F130" t="s">
        <v>172</v>
      </c>
    </row>
    <row r="131" spans="1:6" x14ac:dyDescent="0.25">
      <c r="A131" t="s">
        <v>169</v>
      </c>
      <c r="B131" t="s">
        <v>170</v>
      </c>
      <c r="C131" t="s">
        <v>140</v>
      </c>
      <c r="D131">
        <v>2010</v>
      </c>
      <c r="E131">
        <v>30.779</v>
      </c>
      <c r="F131" t="s">
        <v>172</v>
      </c>
    </row>
    <row r="132" spans="1:6" x14ac:dyDescent="0.25">
      <c r="A132" t="s">
        <v>169</v>
      </c>
      <c r="B132" t="s">
        <v>170</v>
      </c>
      <c r="C132" t="s">
        <v>141</v>
      </c>
      <c r="D132">
        <v>2014</v>
      </c>
      <c r="E132">
        <v>14.672000000000001</v>
      </c>
      <c r="F132" t="s">
        <v>172</v>
      </c>
    </row>
    <row r="133" spans="1:6" x14ac:dyDescent="0.25">
      <c r="A133" t="s">
        <v>169</v>
      </c>
      <c r="B133" t="s">
        <v>170</v>
      </c>
      <c r="C133" t="s">
        <v>141</v>
      </c>
      <c r="D133">
        <v>2013</v>
      </c>
      <c r="E133">
        <v>14.878</v>
      </c>
      <c r="F133" t="s">
        <v>172</v>
      </c>
    </row>
    <row r="134" spans="1:6" x14ac:dyDescent="0.25">
      <c r="A134" t="s">
        <v>169</v>
      </c>
      <c r="B134" t="s">
        <v>170</v>
      </c>
      <c r="C134" t="s">
        <v>141</v>
      </c>
      <c r="D134">
        <v>2012</v>
      </c>
      <c r="E134">
        <v>14.606999999999999</v>
      </c>
      <c r="F134" t="s">
        <v>172</v>
      </c>
    </row>
    <row r="135" spans="1:6" x14ac:dyDescent="0.25">
      <c r="A135" t="s">
        <v>169</v>
      </c>
      <c r="B135" t="s">
        <v>170</v>
      </c>
      <c r="C135" t="s">
        <v>141</v>
      </c>
      <c r="D135">
        <v>2011</v>
      </c>
      <c r="E135">
        <v>15.913</v>
      </c>
      <c r="F135" t="s">
        <v>172</v>
      </c>
    </row>
    <row r="136" spans="1:6" x14ac:dyDescent="0.25">
      <c r="A136" t="s">
        <v>169</v>
      </c>
      <c r="B136" t="s">
        <v>170</v>
      </c>
      <c r="C136" t="s">
        <v>141</v>
      </c>
      <c r="D136">
        <v>2010</v>
      </c>
      <c r="E136">
        <v>15.035</v>
      </c>
      <c r="F136" t="s">
        <v>172</v>
      </c>
    </row>
    <row r="137" spans="1:6" x14ac:dyDescent="0.25">
      <c r="A137" t="s">
        <v>169</v>
      </c>
      <c r="B137" t="s">
        <v>170</v>
      </c>
      <c r="C137" t="s">
        <v>142</v>
      </c>
      <c r="D137">
        <v>2014</v>
      </c>
      <c r="E137">
        <v>118.04900000000001</v>
      </c>
      <c r="F137" t="s">
        <v>172</v>
      </c>
    </row>
    <row r="138" spans="1:6" x14ac:dyDescent="0.25">
      <c r="A138" t="s">
        <v>169</v>
      </c>
      <c r="B138" t="s">
        <v>170</v>
      </c>
      <c r="C138" t="s">
        <v>142</v>
      </c>
      <c r="D138">
        <v>2013</v>
      </c>
      <c r="E138">
        <v>130.13399999999999</v>
      </c>
      <c r="F138" t="s">
        <v>172</v>
      </c>
    </row>
    <row r="139" spans="1:6" x14ac:dyDescent="0.25">
      <c r="A139" t="s">
        <v>169</v>
      </c>
      <c r="B139" t="s">
        <v>170</v>
      </c>
      <c r="C139" t="s">
        <v>142</v>
      </c>
      <c r="D139">
        <v>2012</v>
      </c>
      <c r="E139">
        <v>135.21899999999999</v>
      </c>
      <c r="F139" t="s">
        <v>172</v>
      </c>
    </row>
    <row r="140" spans="1:6" x14ac:dyDescent="0.25">
      <c r="A140" t="s">
        <v>169</v>
      </c>
      <c r="B140" t="s">
        <v>170</v>
      </c>
      <c r="C140" t="s">
        <v>142</v>
      </c>
      <c r="D140">
        <v>2011</v>
      </c>
      <c r="E140">
        <v>126.34</v>
      </c>
      <c r="F140" t="s">
        <v>172</v>
      </c>
    </row>
    <row r="141" spans="1:6" x14ac:dyDescent="0.25">
      <c r="A141" t="s">
        <v>169</v>
      </c>
      <c r="B141" t="s">
        <v>170</v>
      </c>
      <c r="C141" t="s">
        <v>142</v>
      </c>
      <c r="D141">
        <v>2010</v>
      </c>
      <c r="E141">
        <v>154.875</v>
      </c>
      <c r="F141" t="s">
        <v>172</v>
      </c>
    </row>
    <row r="142" spans="1:6" x14ac:dyDescent="0.25">
      <c r="A142" t="s">
        <v>169</v>
      </c>
      <c r="B142" t="s">
        <v>170</v>
      </c>
      <c r="C142" t="s">
        <v>166</v>
      </c>
      <c r="D142">
        <v>2014</v>
      </c>
      <c r="E142">
        <v>0</v>
      </c>
      <c r="F142" t="s">
        <v>172</v>
      </c>
    </row>
    <row r="143" spans="1:6" x14ac:dyDescent="0.25">
      <c r="A143" t="s">
        <v>169</v>
      </c>
      <c r="B143" t="s">
        <v>170</v>
      </c>
      <c r="C143" t="s">
        <v>166</v>
      </c>
      <c r="D143">
        <v>2013</v>
      </c>
      <c r="E143">
        <v>0</v>
      </c>
      <c r="F143" t="s">
        <v>172</v>
      </c>
    </row>
    <row r="144" spans="1:6" x14ac:dyDescent="0.25">
      <c r="A144" t="s">
        <v>169</v>
      </c>
      <c r="B144" t="s">
        <v>170</v>
      </c>
      <c r="C144" t="s">
        <v>166</v>
      </c>
      <c r="D144">
        <v>2012</v>
      </c>
      <c r="E144">
        <v>0</v>
      </c>
      <c r="F144" t="s">
        <v>172</v>
      </c>
    </row>
    <row r="145" spans="1:6" x14ac:dyDescent="0.25">
      <c r="A145" t="s">
        <v>169</v>
      </c>
      <c r="B145" t="s">
        <v>170</v>
      </c>
      <c r="C145" t="s">
        <v>166</v>
      </c>
      <c r="D145">
        <v>2011</v>
      </c>
      <c r="E145">
        <v>0</v>
      </c>
      <c r="F145" t="s">
        <v>172</v>
      </c>
    </row>
    <row r="146" spans="1:6" x14ac:dyDescent="0.25">
      <c r="A146" t="s">
        <v>169</v>
      </c>
      <c r="B146" t="s">
        <v>170</v>
      </c>
      <c r="C146" t="s">
        <v>166</v>
      </c>
      <c r="D146">
        <v>2010</v>
      </c>
      <c r="E146">
        <v>0</v>
      </c>
      <c r="F146" t="s">
        <v>172</v>
      </c>
    </row>
    <row r="147" spans="1:6" x14ac:dyDescent="0.25">
      <c r="A147" t="s">
        <v>169</v>
      </c>
      <c r="B147" t="s">
        <v>170</v>
      </c>
      <c r="C147" t="s">
        <v>143</v>
      </c>
      <c r="D147">
        <v>2014</v>
      </c>
      <c r="E147">
        <v>21.12</v>
      </c>
      <c r="F147" t="s">
        <v>172</v>
      </c>
    </row>
    <row r="148" spans="1:6" x14ac:dyDescent="0.25">
      <c r="A148" t="s">
        <v>169</v>
      </c>
      <c r="B148" t="s">
        <v>170</v>
      </c>
      <c r="C148" t="s">
        <v>143</v>
      </c>
      <c r="D148">
        <v>2013</v>
      </c>
      <c r="E148">
        <v>23.975999999999999</v>
      </c>
      <c r="F148" t="s">
        <v>172</v>
      </c>
    </row>
    <row r="149" spans="1:6" x14ac:dyDescent="0.25">
      <c r="A149" t="s">
        <v>169</v>
      </c>
      <c r="B149" t="s">
        <v>170</v>
      </c>
      <c r="C149" t="s">
        <v>143</v>
      </c>
      <c r="D149">
        <v>2012</v>
      </c>
      <c r="E149">
        <v>19.224</v>
      </c>
      <c r="F149" t="s">
        <v>172</v>
      </c>
    </row>
    <row r="150" spans="1:6" x14ac:dyDescent="0.25">
      <c r="A150" t="s">
        <v>169</v>
      </c>
      <c r="B150" t="s">
        <v>170</v>
      </c>
      <c r="C150" t="s">
        <v>143</v>
      </c>
      <c r="D150">
        <v>2011</v>
      </c>
      <c r="E150">
        <v>25.617000000000001</v>
      </c>
      <c r="F150" t="s">
        <v>172</v>
      </c>
    </row>
    <row r="151" spans="1:6" x14ac:dyDescent="0.25">
      <c r="A151" t="s">
        <v>169</v>
      </c>
      <c r="B151" t="s">
        <v>170</v>
      </c>
      <c r="C151" t="s">
        <v>143</v>
      </c>
      <c r="D151">
        <v>2010</v>
      </c>
      <c r="E151">
        <v>28.835000000000001</v>
      </c>
      <c r="F151" t="s">
        <v>172</v>
      </c>
    </row>
    <row r="152" spans="1:6" x14ac:dyDescent="0.25">
      <c r="A152" t="s">
        <v>169</v>
      </c>
      <c r="B152" t="s">
        <v>170</v>
      </c>
      <c r="C152" t="s">
        <v>144</v>
      </c>
      <c r="D152">
        <v>2014</v>
      </c>
      <c r="E152">
        <v>26.260999999999999</v>
      </c>
      <c r="F152" t="s">
        <v>172</v>
      </c>
    </row>
    <row r="153" spans="1:6" x14ac:dyDescent="0.25">
      <c r="A153" t="s">
        <v>169</v>
      </c>
      <c r="B153" t="s">
        <v>170</v>
      </c>
      <c r="C153" t="s">
        <v>144</v>
      </c>
      <c r="D153">
        <v>2013</v>
      </c>
      <c r="E153">
        <v>30.683</v>
      </c>
      <c r="F153" t="s">
        <v>172</v>
      </c>
    </row>
    <row r="154" spans="1:6" x14ac:dyDescent="0.25">
      <c r="A154" t="s">
        <v>169</v>
      </c>
      <c r="B154" t="s">
        <v>170</v>
      </c>
      <c r="C154" t="s">
        <v>144</v>
      </c>
      <c r="D154">
        <v>2012</v>
      </c>
      <c r="E154">
        <v>30.126000000000001</v>
      </c>
      <c r="F154" t="s">
        <v>172</v>
      </c>
    </row>
    <row r="155" spans="1:6" x14ac:dyDescent="0.25">
      <c r="A155" t="s">
        <v>169</v>
      </c>
      <c r="B155" t="s">
        <v>170</v>
      </c>
      <c r="C155" t="s">
        <v>144</v>
      </c>
      <c r="D155">
        <v>2011</v>
      </c>
      <c r="E155">
        <v>33.64</v>
      </c>
      <c r="F155" t="s">
        <v>172</v>
      </c>
    </row>
    <row r="156" spans="1:6" x14ac:dyDescent="0.25">
      <c r="A156" t="s">
        <v>169</v>
      </c>
      <c r="B156" t="s">
        <v>170</v>
      </c>
      <c r="C156" t="s">
        <v>144</v>
      </c>
      <c r="D156">
        <v>2010</v>
      </c>
      <c r="E156">
        <v>31.815999999999999</v>
      </c>
      <c r="F156" t="s">
        <v>172</v>
      </c>
    </row>
    <row r="157" spans="1:6" x14ac:dyDescent="0.25">
      <c r="A157" t="s">
        <v>169</v>
      </c>
      <c r="B157" t="s">
        <v>170</v>
      </c>
      <c r="C157" t="s">
        <v>145</v>
      </c>
      <c r="D157">
        <v>2014</v>
      </c>
      <c r="E157">
        <v>50.271000000000001</v>
      </c>
      <c r="F157" t="s">
        <v>172</v>
      </c>
    </row>
    <row r="158" spans="1:6" x14ac:dyDescent="0.25">
      <c r="A158" t="s">
        <v>169</v>
      </c>
      <c r="B158" t="s">
        <v>170</v>
      </c>
      <c r="C158" t="s">
        <v>145</v>
      </c>
      <c r="D158">
        <v>2013</v>
      </c>
      <c r="E158">
        <v>54.018000000000001</v>
      </c>
      <c r="F158" t="s">
        <v>172</v>
      </c>
    </row>
    <row r="159" spans="1:6" x14ac:dyDescent="0.25">
      <c r="A159" t="s">
        <v>169</v>
      </c>
      <c r="B159" t="s">
        <v>170</v>
      </c>
      <c r="C159" t="s">
        <v>145</v>
      </c>
      <c r="D159">
        <v>2012</v>
      </c>
      <c r="E159">
        <v>60.052999999999997</v>
      </c>
      <c r="F159" t="s">
        <v>172</v>
      </c>
    </row>
    <row r="160" spans="1:6" x14ac:dyDescent="0.25">
      <c r="A160" t="s">
        <v>169</v>
      </c>
      <c r="B160" t="s">
        <v>170</v>
      </c>
      <c r="C160" t="s">
        <v>145</v>
      </c>
      <c r="D160">
        <v>2011</v>
      </c>
      <c r="E160">
        <v>63.198999999999998</v>
      </c>
      <c r="F160" t="s">
        <v>172</v>
      </c>
    </row>
    <row r="161" spans="1:6" x14ac:dyDescent="0.25">
      <c r="A161" t="s">
        <v>169</v>
      </c>
      <c r="B161" t="s">
        <v>170</v>
      </c>
      <c r="C161" t="s">
        <v>145</v>
      </c>
      <c r="D161">
        <v>2010</v>
      </c>
      <c r="E161">
        <v>72.656999999999996</v>
      </c>
      <c r="F161" t="s">
        <v>172</v>
      </c>
    </row>
    <row r="162" spans="1:6" x14ac:dyDescent="0.25">
      <c r="A162" t="s">
        <v>169</v>
      </c>
      <c r="B162" t="s">
        <v>170</v>
      </c>
      <c r="C162" t="s">
        <v>146</v>
      </c>
      <c r="D162">
        <v>2014</v>
      </c>
      <c r="E162">
        <v>2.04</v>
      </c>
      <c r="F162" t="s">
        <v>172</v>
      </c>
    </row>
    <row r="163" spans="1:6" x14ac:dyDescent="0.25">
      <c r="A163" t="s">
        <v>169</v>
      </c>
      <c r="B163" t="s">
        <v>170</v>
      </c>
      <c r="C163" t="s">
        <v>146</v>
      </c>
      <c r="D163">
        <v>2013</v>
      </c>
      <c r="E163">
        <v>2.3879999999999999</v>
      </c>
      <c r="F163" t="s">
        <v>172</v>
      </c>
    </row>
    <row r="164" spans="1:6" x14ac:dyDescent="0.25">
      <c r="A164" t="s">
        <v>169</v>
      </c>
      <c r="B164" t="s">
        <v>170</v>
      </c>
      <c r="C164" t="s">
        <v>146</v>
      </c>
      <c r="D164">
        <v>2012</v>
      </c>
      <c r="E164">
        <v>2.61</v>
      </c>
      <c r="F164" t="s">
        <v>172</v>
      </c>
    </row>
    <row r="165" spans="1:6" x14ac:dyDescent="0.25">
      <c r="A165" t="s">
        <v>169</v>
      </c>
      <c r="B165" t="s">
        <v>170</v>
      </c>
      <c r="C165" t="s">
        <v>146</v>
      </c>
      <c r="D165">
        <v>2011</v>
      </c>
      <c r="E165">
        <v>2.6520000000000001</v>
      </c>
      <c r="F165" t="s">
        <v>172</v>
      </c>
    </row>
    <row r="166" spans="1:6" x14ac:dyDescent="0.25">
      <c r="A166" t="s">
        <v>169</v>
      </c>
      <c r="B166" t="s">
        <v>170</v>
      </c>
      <c r="C166" t="s">
        <v>146</v>
      </c>
      <c r="D166">
        <v>2010</v>
      </c>
      <c r="E166">
        <v>2.3969999999999998</v>
      </c>
      <c r="F166" t="s">
        <v>172</v>
      </c>
    </row>
    <row r="167" spans="1:6" x14ac:dyDescent="0.25">
      <c r="A167" t="s">
        <v>169</v>
      </c>
      <c r="B167" t="s">
        <v>170</v>
      </c>
      <c r="C167" t="s">
        <v>147</v>
      </c>
      <c r="D167">
        <v>2014</v>
      </c>
      <c r="E167">
        <v>12.318</v>
      </c>
      <c r="F167" t="s">
        <v>172</v>
      </c>
    </row>
    <row r="168" spans="1:6" x14ac:dyDescent="0.25">
      <c r="A168" t="s">
        <v>169</v>
      </c>
      <c r="B168" t="s">
        <v>170</v>
      </c>
      <c r="C168" t="s">
        <v>147</v>
      </c>
      <c r="D168">
        <v>2013</v>
      </c>
      <c r="E168">
        <v>15.202999999999999</v>
      </c>
      <c r="F168" t="s">
        <v>172</v>
      </c>
    </row>
    <row r="169" spans="1:6" x14ac:dyDescent="0.25">
      <c r="A169" t="s">
        <v>169</v>
      </c>
      <c r="B169" t="s">
        <v>170</v>
      </c>
      <c r="C169" t="s">
        <v>147</v>
      </c>
      <c r="D169">
        <v>2012</v>
      </c>
      <c r="E169">
        <v>17.405999999999999</v>
      </c>
      <c r="F169" t="s">
        <v>172</v>
      </c>
    </row>
    <row r="170" spans="1:6" x14ac:dyDescent="0.25">
      <c r="A170" t="s">
        <v>169</v>
      </c>
      <c r="B170" t="s">
        <v>170</v>
      </c>
      <c r="C170" t="s">
        <v>147</v>
      </c>
      <c r="D170">
        <v>2011</v>
      </c>
      <c r="E170">
        <v>17.818999999999999</v>
      </c>
      <c r="F170" t="s">
        <v>172</v>
      </c>
    </row>
    <row r="171" spans="1:6" x14ac:dyDescent="0.25">
      <c r="A171" t="s">
        <v>169</v>
      </c>
      <c r="B171" t="s">
        <v>170</v>
      </c>
      <c r="C171" t="s">
        <v>147</v>
      </c>
      <c r="D171">
        <v>2010</v>
      </c>
      <c r="E171">
        <v>20.829000000000001</v>
      </c>
      <c r="F171" t="s">
        <v>172</v>
      </c>
    </row>
    <row r="172" spans="1:6" x14ac:dyDescent="0.25">
      <c r="A172" t="s">
        <v>169</v>
      </c>
      <c r="B172" t="s">
        <v>170</v>
      </c>
      <c r="C172" t="s">
        <v>167</v>
      </c>
      <c r="D172">
        <v>2014</v>
      </c>
      <c r="E172">
        <v>0</v>
      </c>
      <c r="F172" t="s">
        <v>172</v>
      </c>
    </row>
    <row r="173" spans="1:6" x14ac:dyDescent="0.25">
      <c r="A173" t="s">
        <v>169</v>
      </c>
      <c r="B173" t="s">
        <v>170</v>
      </c>
      <c r="C173" t="s">
        <v>167</v>
      </c>
      <c r="D173">
        <v>2013</v>
      </c>
      <c r="E173">
        <v>0</v>
      </c>
      <c r="F173" t="s">
        <v>172</v>
      </c>
    </row>
    <row r="174" spans="1:6" x14ac:dyDescent="0.25">
      <c r="A174" t="s">
        <v>169</v>
      </c>
      <c r="B174" t="s">
        <v>170</v>
      </c>
      <c r="C174" t="s">
        <v>167</v>
      </c>
      <c r="D174">
        <v>2012</v>
      </c>
      <c r="E174">
        <v>0</v>
      </c>
      <c r="F174" t="s">
        <v>172</v>
      </c>
    </row>
    <row r="175" spans="1:6" x14ac:dyDescent="0.25">
      <c r="A175" t="s">
        <v>169</v>
      </c>
      <c r="B175" t="s">
        <v>170</v>
      </c>
      <c r="C175" t="s">
        <v>167</v>
      </c>
      <c r="D175">
        <v>2011</v>
      </c>
      <c r="E175">
        <v>0</v>
      </c>
      <c r="F175" t="s">
        <v>172</v>
      </c>
    </row>
    <row r="176" spans="1:6" x14ac:dyDescent="0.25">
      <c r="A176" t="s">
        <v>169</v>
      </c>
      <c r="B176" t="s">
        <v>170</v>
      </c>
      <c r="C176" t="s">
        <v>167</v>
      </c>
      <c r="D176">
        <v>2010</v>
      </c>
      <c r="E176">
        <v>0</v>
      </c>
      <c r="F176" t="s">
        <v>172</v>
      </c>
    </row>
    <row r="177" spans="1:6" x14ac:dyDescent="0.25">
      <c r="A177" t="s">
        <v>169</v>
      </c>
      <c r="B177" t="s">
        <v>170</v>
      </c>
      <c r="C177" t="s">
        <v>168</v>
      </c>
      <c r="D177">
        <v>2014</v>
      </c>
      <c r="E177">
        <v>283.34399999999999</v>
      </c>
      <c r="F177" t="s">
        <v>172</v>
      </c>
    </row>
    <row r="178" spans="1:6" x14ac:dyDescent="0.25">
      <c r="A178" t="s">
        <v>169</v>
      </c>
      <c r="B178" t="s">
        <v>170</v>
      </c>
      <c r="C178" t="s">
        <v>168</v>
      </c>
      <c r="D178">
        <v>2013</v>
      </c>
      <c r="E178">
        <v>403.30200000000002</v>
      </c>
      <c r="F178" t="s">
        <v>172</v>
      </c>
    </row>
    <row r="179" spans="1:6" x14ac:dyDescent="0.25">
      <c r="A179" t="s">
        <v>169</v>
      </c>
      <c r="B179" t="s">
        <v>170</v>
      </c>
      <c r="C179" t="s">
        <v>168</v>
      </c>
      <c r="D179">
        <v>2012</v>
      </c>
      <c r="E179">
        <v>407.75299999999999</v>
      </c>
      <c r="F179" t="s">
        <v>172</v>
      </c>
    </row>
    <row r="180" spans="1:6" x14ac:dyDescent="0.25">
      <c r="A180" t="s">
        <v>169</v>
      </c>
      <c r="B180" t="s">
        <v>170</v>
      </c>
      <c r="C180" t="s">
        <v>168</v>
      </c>
      <c r="D180">
        <v>2011</v>
      </c>
      <c r="E180">
        <v>438.226</v>
      </c>
      <c r="F180" t="s">
        <v>172</v>
      </c>
    </row>
    <row r="181" spans="1:6" x14ac:dyDescent="0.25">
      <c r="A181" t="s">
        <v>169</v>
      </c>
      <c r="B181" t="s">
        <v>170</v>
      </c>
      <c r="C181" t="s">
        <v>168</v>
      </c>
      <c r="D181">
        <v>2010</v>
      </c>
      <c r="E181">
        <v>442.26600000000002</v>
      </c>
      <c r="F181" t="s">
        <v>172</v>
      </c>
    </row>
    <row r="182" spans="1:6" x14ac:dyDescent="0.25">
      <c r="A182" t="s">
        <v>169</v>
      </c>
      <c r="B182" t="s">
        <v>170</v>
      </c>
      <c r="C182" t="s">
        <v>148</v>
      </c>
      <c r="D182">
        <v>2014</v>
      </c>
      <c r="E182">
        <v>105.17700000000001</v>
      </c>
      <c r="F182" t="s">
        <v>172</v>
      </c>
    </row>
    <row r="183" spans="1:6" x14ac:dyDescent="0.25">
      <c r="A183" t="s">
        <v>169</v>
      </c>
      <c r="B183" t="s">
        <v>170</v>
      </c>
      <c r="C183" t="s">
        <v>148</v>
      </c>
      <c r="D183">
        <v>2013</v>
      </c>
      <c r="E183">
        <v>102.69199999999999</v>
      </c>
      <c r="F183" t="s">
        <v>172</v>
      </c>
    </row>
    <row r="184" spans="1:6" x14ac:dyDescent="0.25">
      <c r="A184" t="s">
        <v>169</v>
      </c>
      <c r="B184" t="s">
        <v>170</v>
      </c>
      <c r="C184" t="s">
        <v>148</v>
      </c>
      <c r="D184">
        <v>2012</v>
      </c>
      <c r="E184">
        <v>102.86199999999999</v>
      </c>
      <c r="F184" t="s">
        <v>172</v>
      </c>
    </row>
    <row r="185" spans="1:6" x14ac:dyDescent="0.25">
      <c r="A185" t="s">
        <v>169</v>
      </c>
      <c r="B185" t="s">
        <v>170</v>
      </c>
      <c r="C185" t="s">
        <v>148</v>
      </c>
      <c r="D185">
        <v>2011</v>
      </c>
      <c r="E185">
        <v>97.233999999999995</v>
      </c>
      <c r="F185" t="s">
        <v>172</v>
      </c>
    </row>
    <row r="186" spans="1:6" x14ac:dyDescent="0.25">
      <c r="A186" t="s">
        <v>169</v>
      </c>
      <c r="B186" t="s">
        <v>170</v>
      </c>
      <c r="C186" t="s">
        <v>148</v>
      </c>
      <c r="D186">
        <v>2010</v>
      </c>
      <c r="E186">
        <v>95.495000000000005</v>
      </c>
      <c r="F186" t="s">
        <v>172</v>
      </c>
    </row>
    <row r="187" spans="1:6" x14ac:dyDescent="0.25">
      <c r="A187" t="s">
        <v>169</v>
      </c>
      <c r="B187" t="s">
        <v>170</v>
      </c>
      <c r="C187" t="s">
        <v>149</v>
      </c>
      <c r="D187">
        <v>2014</v>
      </c>
      <c r="E187">
        <v>0.12</v>
      </c>
      <c r="F187" t="s">
        <v>172</v>
      </c>
    </row>
    <row r="188" spans="1:6" x14ac:dyDescent="0.25">
      <c r="A188" t="s">
        <v>169</v>
      </c>
      <c r="B188" t="s">
        <v>170</v>
      </c>
      <c r="C188" t="s">
        <v>149</v>
      </c>
      <c r="D188">
        <v>2013</v>
      </c>
      <c r="E188">
        <v>0.24</v>
      </c>
      <c r="F188" t="s">
        <v>172</v>
      </c>
    </row>
    <row r="189" spans="1:6" x14ac:dyDescent="0.25">
      <c r="A189" t="s">
        <v>169</v>
      </c>
      <c r="B189" t="s">
        <v>170</v>
      </c>
      <c r="C189" t="s">
        <v>149</v>
      </c>
      <c r="D189">
        <v>2012</v>
      </c>
      <c r="E189">
        <v>0.24</v>
      </c>
      <c r="F189" t="s">
        <v>172</v>
      </c>
    </row>
    <row r="190" spans="1:6" x14ac:dyDescent="0.25">
      <c r="A190" t="s">
        <v>169</v>
      </c>
      <c r="B190" t="s">
        <v>170</v>
      </c>
      <c r="C190" t="s">
        <v>149</v>
      </c>
      <c r="D190">
        <v>2011</v>
      </c>
      <c r="E190">
        <v>0.2</v>
      </c>
      <c r="F190" t="s">
        <v>172</v>
      </c>
    </row>
    <row r="191" spans="1:6" x14ac:dyDescent="0.25">
      <c r="A191" t="s">
        <v>169</v>
      </c>
      <c r="B191" t="s">
        <v>170</v>
      </c>
      <c r="C191" t="s">
        <v>149</v>
      </c>
      <c r="D191">
        <v>2010</v>
      </c>
      <c r="E191">
        <v>0.28000000000000003</v>
      </c>
      <c r="F191" t="s">
        <v>172</v>
      </c>
    </row>
    <row r="192" spans="1:6" x14ac:dyDescent="0.25">
      <c r="A192" t="s">
        <v>169</v>
      </c>
      <c r="B192" t="s">
        <v>170</v>
      </c>
      <c r="C192" t="s">
        <v>121</v>
      </c>
      <c r="D192">
        <v>2014</v>
      </c>
      <c r="E192">
        <v>0</v>
      </c>
      <c r="F192" t="s">
        <v>175</v>
      </c>
    </row>
    <row r="193" spans="1:6" x14ac:dyDescent="0.25">
      <c r="A193" t="s">
        <v>169</v>
      </c>
      <c r="B193" t="s">
        <v>170</v>
      </c>
      <c r="C193" t="s">
        <v>121</v>
      </c>
      <c r="D193">
        <v>2013</v>
      </c>
      <c r="E193">
        <v>0</v>
      </c>
      <c r="F193" t="s">
        <v>175</v>
      </c>
    </row>
    <row r="194" spans="1:6" x14ac:dyDescent="0.25">
      <c r="A194" t="s">
        <v>169</v>
      </c>
      <c r="B194" t="s">
        <v>170</v>
      </c>
      <c r="C194" t="s">
        <v>121</v>
      </c>
      <c r="D194">
        <v>2012</v>
      </c>
      <c r="E194">
        <v>0</v>
      </c>
      <c r="F194" t="s">
        <v>175</v>
      </c>
    </row>
    <row r="195" spans="1:6" x14ac:dyDescent="0.25">
      <c r="A195" t="s">
        <v>169</v>
      </c>
      <c r="B195" t="s">
        <v>170</v>
      </c>
      <c r="C195" t="s">
        <v>121</v>
      </c>
      <c r="D195">
        <v>2011</v>
      </c>
      <c r="E195">
        <v>0</v>
      </c>
      <c r="F195" t="s">
        <v>175</v>
      </c>
    </row>
    <row r="196" spans="1:6" x14ac:dyDescent="0.25">
      <c r="A196" t="s">
        <v>169</v>
      </c>
      <c r="B196" t="s">
        <v>170</v>
      </c>
      <c r="C196" t="s">
        <v>121</v>
      </c>
      <c r="D196">
        <v>2010</v>
      </c>
      <c r="E196">
        <v>0</v>
      </c>
      <c r="F196" t="s">
        <v>175</v>
      </c>
    </row>
    <row r="197" spans="1:6" x14ac:dyDescent="0.25">
      <c r="A197" t="s">
        <v>169</v>
      </c>
      <c r="B197" t="s">
        <v>170</v>
      </c>
      <c r="C197" t="s">
        <v>122</v>
      </c>
      <c r="D197">
        <v>2014</v>
      </c>
      <c r="E197">
        <v>0</v>
      </c>
      <c r="F197" t="s">
        <v>175</v>
      </c>
    </row>
    <row r="198" spans="1:6" x14ac:dyDescent="0.25">
      <c r="A198" t="s">
        <v>169</v>
      </c>
      <c r="B198" t="s">
        <v>170</v>
      </c>
      <c r="C198" t="s">
        <v>122</v>
      </c>
      <c r="D198">
        <v>2013</v>
      </c>
      <c r="E198">
        <v>0</v>
      </c>
      <c r="F198" t="s">
        <v>175</v>
      </c>
    </row>
    <row r="199" spans="1:6" x14ac:dyDescent="0.25">
      <c r="A199" t="s">
        <v>169</v>
      </c>
      <c r="B199" t="s">
        <v>170</v>
      </c>
      <c r="C199" t="s">
        <v>122</v>
      </c>
      <c r="D199">
        <v>2012</v>
      </c>
      <c r="E199">
        <v>0</v>
      </c>
      <c r="F199" t="s">
        <v>175</v>
      </c>
    </row>
    <row r="200" spans="1:6" x14ac:dyDescent="0.25">
      <c r="A200" t="s">
        <v>169</v>
      </c>
      <c r="B200" t="s">
        <v>170</v>
      </c>
      <c r="C200" t="s">
        <v>122</v>
      </c>
      <c r="D200">
        <v>2011</v>
      </c>
      <c r="E200">
        <v>0</v>
      </c>
      <c r="F200" t="s">
        <v>175</v>
      </c>
    </row>
    <row r="201" spans="1:6" x14ac:dyDescent="0.25">
      <c r="A201" t="s">
        <v>169</v>
      </c>
      <c r="B201" t="s">
        <v>170</v>
      </c>
      <c r="C201" t="s">
        <v>122</v>
      </c>
      <c r="D201">
        <v>2010</v>
      </c>
      <c r="E201">
        <v>0</v>
      </c>
      <c r="F201" t="s">
        <v>175</v>
      </c>
    </row>
    <row r="202" spans="1:6" x14ac:dyDescent="0.25">
      <c r="A202" t="s">
        <v>169</v>
      </c>
      <c r="B202" t="s">
        <v>170</v>
      </c>
      <c r="C202" t="s">
        <v>123</v>
      </c>
      <c r="D202">
        <v>2014</v>
      </c>
      <c r="E202">
        <v>0</v>
      </c>
      <c r="F202" t="s">
        <v>175</v>
      </c>
    </row>
    <row r="203" spans="1:6" x14ac:dyDescent="0.25">
      <c r="A203" t="s">
        <v>169</v>
      </c>
      <c r="B203" t="s">
        <v>170</v>
      </c>
      <c r="C203" t="s">
        <v>123</v>
      </c>
      <c r="D203">
        <v>2013</v>
      </c>
      <c r="E203">
        <v>0</v>
      </c>
      <c r="F203" t="s">
        <v>175</v>
      </c>
    </row>
    <row r="204" spans="1:6" x14ac:dyDescent="0.25">
      <c r="A204" t="s">
        <v>169</v>
      </c>
      <c r="B204" t="s">
        <v>170</v>
      </c>
      <c r="C204" t="s">
        <v>123</v>
      </c>
      <c r="D204">
        <v>2012</v>
      </c>
      <c r="E204">
        <v>0</v>
      </c>
      <c r="F204" t="s">
        <v>175</v>
      </c>
    </row>
    <row r="205" spans="1:6" x14ac:dyDescent="0.25">
      <c r="A205" t="s">
        <v>169</v>
      </c>
      <c r="B205" t="s">
        <v>170</v>
      </c>
      <c r="C205" t="s">
        <v>123</v>
      </c>
      <c r="D205">
        <v>2011</v>
      </c>
      <c r="E205">
        <v>0</v>
      </c>
      <c r="F205" t="s">
        <v>175</v>
      </c>
    </row>
    <row r="206" spans="1:6" x14ac:dyDescent="0.25">
      <c r="A206" t="s">
        <v>169</v>
      </c>
      <c r="B206" t="s">
        <v>170</v>
      </c>
      <c r="C206" t="s">
        <v>123</v>
      </c>
      <c r="D206">
        <v>2010</v>
      </c>
      <c r="E206">
        <v>0</v>
      </c>
      <c r="F206" t="s">
        <v>175</v>
      </c>
    </row>
    <row r="207" spans="1:6" x14ac:dyDescent="0.25">
      <c r="A207" t="s">
        <v>169</v>
      </c>
      <c r="B207" t="s">
        <v>170</v>
      </c>
      <c r="C207" t="s">
        <v>124</v>
      </c>
      <c r="D207">
        <v>2014</v>
      </c>
      <c r="E207">
        <v>0.28199999999999997</v>
      </c>
      <c r="F207" t="s">
        <v>175</v>
      </c>
    </row>
    <row r="208" spans="1:6" x14ac:dyDescent="0.25">
      <c r="A208" t="s">
        <v>169</v>
      </c>
      <c r="B208" t="s">
        <v>170</v>
      </c>
      <c r="C208" t="s">
        <v>124</v>
      </c>
      <c r="D208">
        <v>2013</v>
      </c>
      <c r="E208">
        <v>0.23200000000000001</v>
      </c>
      <c r="F208" t="s">
        <v>175</v>
      </c>
    </row>
    <row r="209" spans="1:6" x14ac:dyDescent="0.25">
      <c r="A209" t="s">
        <v>169</v>
      </c>
      <c r="B209" t="s">
        <v>170</v>
      </c>
      <c r="C209" t="s">
        <v>124</v>
      </c>
      <c r="D209">
        <v>2012</v>
      </c>
      <c r="E209">
        <v>0.33300000000000002</v>
      </c>
      <c r="F209" t="s">
        <v>175</v>
      </c>
    </row>
    <row r="210" spans="1:6" x14ac:dyDescent="0.25">
      <c r="A210" t="s">
        <v>169</v>
      </c>
      <c r="B210" t="s">
        <v>170</v>
      </c>
      <c r="C210" t="s">
        <v>124</v>
      </c>
      <c r="D210">
        <v>2011</v>
      </c>
      <c r="E210">
        <v>1.075</v>
      </c>
      <c r="F210" t="s">
        <v>175</v>
      </c>
    </row>
    <row r="211" spans="1:6" x14ac:dyDescent="0.25">
      <c r="A211" t="s">
        <v>169</v>
      </c>
      <c r="B211" t="s">
        <v>170</v>
      </c>
      <c r="C211" t="s">
        <v>124</v>
      </c>
      <c r="D211">
        <v>2010</v>
      </c>
      <c r="E211">
        <v>0.64700000000000002</v>
      </c>
      <c r="F211" t="s">
        <v>175</v>
      </c>
    </row>
    <row r="212" spans="1:6" x14ac:dyDescent="0.25">
      <c r="A212" t="s">
        <v>169</v>
      </c>
      <c r="B212" t="s">
        <v>170</v>
      </c>
      <c r="C212" t="s">
        <v>160</v>
      </c>
      <c r="D212">
        <v>2014</v>
      </c>
      <c r="E212">
        <v>0</v>
      </c>
      <c r="F212" t="s">
        <v>175</v>
      </c>
    </row>
    <row r="213" spans="1:6" x14ac:dyDescent="0.25">
      <c r="A213" t="s">
        <v>169</v>
      </c>
      <c r="B213" t="s">
        <v>170</v>
      </c>
      <c r="C213" t="s">
        <v>160</v>
      </c>
      <c r="D213">
        <v>2013</v>
      </c>
      <c r="E213">
        <v>0</v>
      </c>
      <c r="F213" t="s">
        <v>175</v>
      </c>
    </row>
    <row r="214" spans="1:6" x14ac:dyDescent="0.25">
      <c r="A214" t="s">
        <v>169</v>
      </c>
      <c r="B214" t="s">
        <v>170</v>
      </c>
      <c r="C214" t="s">
        <v>160</v>
      </c>
      <c r="D214">
        <v>2012</v>
      </c>
      <c r="E214">
        <v>0</v>
      </c>
      <c r="F214" t="s">
        <v>175</v>
      </c>
    </row>
    <row r="215" spans="1:6" x14ac:dyDescent="0.25">
      <c r="A215" t="s">
        <v>169</v>
      </c>
      <c r="B215" t="s">
        <v>170</v>
      </c>
      <c r="C215" t="s">
        <v>160</v>
      </c>
      <c r="D215">
        <v>2011</v>
      </c>
      <c r="E215">
        <v>0</v>
      </c>
      <c r="F215" t="s">
        <v>175</v>
      </c>
    </row>
    <row r="216" spans="1:6" x14ac:dyDescent="0.25">
      <c r="A216" t="s">
        <v>169</v>
      </c>
      <c r="B216" t="s">
        <v>170</v>
      </c>
      <c r="C216" t="s">
        <v>160</v>
      </c>
      <c r="D216">
        <v>2010</v>
      </c>
      <c r="E216">
        <v>0</v>
      </c>
      <c r="F216" t="s">
        <v>175</v>
      </c>
    </row>
    <row r="217" spans="1:6" x14ac:dyDescent="0.25">
      <c r="A217" t="s">
        <v>169</v>
      </c>
      <c r="B217" t="s">
        <v>170</v>
      </c>
      <c r="C217" t="s">
        <v>125</v>
      </c>
      <c r="D217">
        <v>2014</v>
      </c>
      <c r="E217">
        <v>2.2690000000000001</v>
      </c>
      <c r="F217" t="s">
        <v>175</v>
      </c>
    </row>
    <row r="218" spans="1:6" x14ac:dyDescent="0.25">
      <c r="A218" t="s">
        <v>169</v>
      </c>
      <c r="B218" t="s">
        <v>170</v>
      </c>
      <c r="C218" t="s">
        <v>125</v>
      </c>
      <c r="D218">
        <v>2013</v>
      </c>
      <c r="E218">
        <v>2.79</v>
      </c>
      <c r="F218" t="s">
        <v>175</v>
      </c>
    </row>
    <row r="219" spans="1:6" x14ac:dyDescent="0.25">
      <c r="A219" t="s">
        <v>169</v>
      </c>
      <c r="B219" t="s">
        <v>170</v>
      </c>
      <c r="C219" t="s">
        <v>125</v>
      </c>
      <c r="D219">
        <v>2012</v>
      </c>
      <c r="E219">
        <v>3.01</v>
      </c>
      <c r="F219" t="s">
        <v>175</v>
      </c>
    </row>
    <row r="220" spans="1:6" x14ac:dyDescent="0.25">
      <c r="A220" t="s">
        <v>169</v>
      </c>
      <c r="B220" t="s">
        <v>170</v>
      </c>
      <c r="C220" t="s">
        <v>125</v>
      </c>
      <c r="D220">
        <v>2011</v>
      </c>
      <c r="E220">
        <v>3.5579999999999998</v>
      </c>
      <c r="F220" t="s">
        <v>175</v>
      </c>
    </row>
    <row r="221" spans="1:6" x14ac:dyDescent="0.25">
      <c r="A221" t="s">
        <v>169</v>
      </c>
      <c r="B221" t="s">
        <v>170</v>
      </c>
      <c r="C221" t="s">
        <v>125</v>
      </c>
      <c r="D221">
        <v>2010</v>
      </c>
      <c r="E221">
        <v>4.4580000000000002</v>
      </c>
      <c r="F221" t="s">
        <v>175</v>
      </c>
    </row>
    <row r="222" spans="1:6" x14ac:dyDescent="0.25">
      <c r="A222" t="s">
        <v>169</v>
      </c>
      <c r="B222" t="s">
        <v>170</v>
      </c>
      <c r="C222" t="s">
        <v>126</v>
      </c>
      <c r="D222">
        <v>2014</v>
      </c>
      <c r="E222">
        <v>15.689</v>
      </c>
      <c r="F222" t="s">
        <v>175</v>
      </c>
    </row>
    <row r="223" spans="1:6" x14ac:dyDescent="0.25">
      <c r="A223" t="s">
        <v>169</v>
      </c>
      <c r="B223" t="s">
        <v>170</v>
      </c>
      <c r="C223" t="s">
        <v>126</v>
      </c>
      <c r="D223">
        <v>2013</v>
      </c>
      <c r="E223">
        <v>16.984000000000002</v>
      </c>
      <c r="F223" t="s">
        <v>175</v>
      </c>
    </row>
    <row r="224" spans="1:6" x14ac:dyDescent="0.25">
      <c r="A224" t="s">
        <v>169</v>
      </c>
      <c r="B224" t="s">
        <v>170</v>
      </c>
      <c r="C224" t="s">
        <v>126</v>
      </c>
      <c r="D224">
        <v>2012</v>
      </c>
      <c r="E224">
        <v>33.582999999999998</v>
      </c>
      <c r="F224" t="s">
        <v>175</v>
      </c>
    </row>
    <row r="225" spans="1:6" x14ac:dyDescent="0.25">
      <c r="A225" t="s">
        <v>169</v>
      </c>
      <c r="B225" t="s">
        <v>170</v>
      </c>
      <c r="C225" t="s">
        <v>126</v>
      </c>
      <c r="D225">
        <v>2011</v>
      </c>
      <c r="E225">
        <v>32.177</v>
      </c>
      <c r="F225" t="s">
        <v>175</v>
      </c>
    </row>
    <row r="226" spans="1:6" x14ac:dyDescent="0.25">
      <c r="A226" t="s">
        <v>169</v>
      </c>
      <c r="B226" t="s">
        <v>170</v>
      </c>
      <c r="C226" t="s">
        <v>126</v>
      </c>
      <c r="D226">
        <v>2010</v>
      </c>
      <c r="E226">
        <v>29.375</v>
      </c>
      <c r="F226" t="s">
        <v>175</v>
      </c>
    </row>
    <row r="227" spans="1:6" x14ac:dyDescent="0.25">
      <c r="A227" t="s">
        <v>169</v>
      </c>
      <c r="B227" t="s">
        <v>170</v>
      </c>
      <c r="C227" t="s">
        <v>127</v>
      </c>
      <c r="D227">
        <v>2014</v>
      </c>
      <c r="E227">
        <v>7.3999999999999996E-2</v>
      </c>
      <c r="F227" t="s">
        <v>175</v>
      </c>
    </row>
    <row r="228" spans="1:6" x14ac:dyDescent="0.25">
      <c r="A228" t="s">
        <v>169</v>
      </c>
      <c r="B228" t="s">
        <v>170</v>
      </c>
      <c r="C228" t="s">
        <v>127</v>
      </c>
      <c r="D228">
        <v>2013</v>
      </c>
      <c r="E228">
        <v>9.8000000000000004E-2</v>
      </c>
      <c r="F228" t="s">
        <v>175</v>
      </c>
    </row>
    <row r="229" spans="1:6" x14ac:dyDescent="0.25">
      <c r="A229" t="s">
        <v>169</v>
      </c>
      <c r="B229" t="s">
        <v>170</v>
      </c>
      <c r="C229" t="s">
        <v>127</v>
      </c>
      <c r="D229">
        <v>2012</v>
      </c>
      <c r="E229">
        <v>9.7000000000000003E-2</v>
      </c>
      <c r="F229" t="s">
        <v>175</v>
      </c>
    </row>
    <row r="230" spans="1:6" x14ac:dyDescent="0.25">
      <c r="A230" t="s">
        <v>169</v>
      </c>
      <c r="B230" t="s">
        <v>170</v>
      </c>
      <c r="C230" t="s">
        <v>127</v>
      </c>
      <c r="D230">
        <v>2011</v>
      </c>
      <c r="E230">
        <v>7.2999999999999995E-2</v>
      </c>
      <c r="F230" t="s">
        <v>175</v>
      </c>
    </row>
    <row r="231" spans="1:6" x14ac:dyDescent="0.25">
      <c r="A231" t="s">
        <v>169</v>
      </c>
      <c r="B231" t="s">
        <v>170</v>
      </c>
      <c r="C231" t="s">
        <v>127</v>
      </c>
      <c r="D231">
        <v>2010</v>
      </c>
      <c r="E231">
        <v>0.122</v>
      </c>
      <c r="F231" t="s">
        <v>175</v>
      </c>
    </row>
    <row r="232" spans="1:6" x14ac:dyDescent="0.25">
      <c r="A232" t="s">
        <v>169</v>
      </c>
      <c r="B232" t="s">
        <v>170</v>
      </c>
      <c r="C232" t="s">
        <v>128</v>
      </c>
      <c r="D232">
        <v>2014</v>
      </c>
      <c r="E232">
        <v>0.57099999999999995</v>
      </c>
      <c r="F232" t="s">
        <v>175</v>
      </c>
    </row>
    <row r="233" spans="1:6" x14ac:dyDescent="0.25">
      <c r="A233" t="s">
        <v>169</v>
      </c>
      <c r="B233" t="s">
        <v>170</v>
      </c>
      <c r="C233" t="s">
        <v>128</v>
      </c>
      <c r="D233">
        <v>2013</v>
      </c>
      <c r="E233">
        <v>0.56299999999999994</v>
      </c>
      <c r="F233" t="s">
        <v>175</v>
      </c>
    </row>
    <row r="234" spans="1:6" x14ac:dyDescent="0.25">
      <c r="A234" t="s">
        <v>169</v>
      </c>
      <c r="B234" t="s">
        <v>170</v>
      </c>
      <c r="C234" t="s">
        <v>128</v>
      </c>
      <c r="D234">
        <v>2012</v>
      </c>
      <c r="E234">
        <v>0.71599999999999997</v>
      </c>
      <c r="F234" t="s">
        <v>175</v>
      </c>
    </row>
    <row r="235" spans="1:6" x14ac:dyDescent="0.25">
      <c r="A235" t="s">
        <v>169</v>
      </c>
      <c r="B235" t="s">
        <v>170</v>
      </c>
      <c r="C235" t="s">
        <v>128</v>
      </c>
      <c r="D235">
        <v>2011</v>
      </c>
      <c r="E235">
        <v>0.624</v>
      </c>
      <c r="F235" t="s">
        <v>175</v>
      </c>
    </row>
    <row r="236" spans="1:6" x14ac:dyDescent="0.25">
      <c r="A236" t="s">
        <v>169</v>
      </c>
      <c r="B236" t="s">
        <v>170</v>
      </c>
      <c r="C236" t="s">
        <v>128</v>
      </c>
      <c r="D236">
        <v>2010</v>
      </c>
      <c r="E236">
        <v>1.01</v>
      </c>
      <c r="F236" t="s">
        <v>175</v>
      </c>
    </row>
    <row r="237" spans="1:6" x14ac:dyDescent="0.25">
      <c r="A237" t="s">
        <v>169</v>
      </c>
      <c r="B237" t="s">
        <v>170</v>
      </c>
      <c r="C237" t="s">
        <v>161</v>
      </c>
      <c r="D237">
        <v>2014</v>
      </c>
      <c r="E237">
        <v>0</v>
      </c>
      <c r="F237" t="s">
        <v>175</v>
      </c>
    </row>
    <row r="238" spans="1:6" x14ac:dyDescent="0.25">
      <c r="A238" t="s">
        <v>169</v>
      </c>
      <c r="B238" t="s">
        <v>170</v>
      </c>
      <c r="C238" t="s">
        <v>161</v>
      </c>
      <c r="D238">
        <v>2013</v>
      </c>
      <c r="E238">
        <v>0</v>
      </c>
      <c r="F238" t="s">
        <v>175</v>
      </c>
    </row>
    <row r="239" spans="1:6" x14ac:dyDescent="0.25">
      <c r="A239" t="s">
        <v>169</v>
      </c>
      <c r="B239" t="s">
        <v>170</v>
      </c>
      <c r="C239" t="s">
        <v>161</v>
      </c>
      <c r="D239">
        <v>2012</v>
      </c>
      <c r="E239">
        <v>0</v>
      </c>
      <c r="F239" t="s">
        <v>175</v>
      </c>
    </row>
    <row r="240" spans="1:6" x14ac:dyDescent="0.25">
      <c r="A240" t="s">
        <v>169</v>
      </c>
      <c r="B240" t="s">
        <v>170</v>
      </c>
      <c r="C240" t="s">
        <v>161</v>
      </c>
      <c r="D240">
        <v>2011</v>
      </c>
      <c r="E240">
        <v>0</v>
      </c>
      <c r="F240" t="s">
        <v>175</v>
      </c>
    </row>
    <row r="241" spans="1:6" x14ac:dyDescent="0.25">
      <c r="A241" t="s">
        <v>169</v>
      </c>
      <c r="B241" t="s">
        <v>170</v>
      </c>
      <c r="C241" t="s">
        <v>161</v>
      </c>
      <c r="D241">
        <v>2010</v>
      </c>
      <c r="E241">
        <v>0</v>
      </c>
      <c r="F241" t="s">
        <v>175</v>
      </c>
    </row>
    <row r="242" spans="1:6" x14ac:dyDescent="0.25">
      <c r="A242" t="s">
        <v>169</v>
      </c>
      <c r="B242" t="s">
        <v>170</v>
      </c>
      <c r="C242" t="s">
        <v>162</v>
      </c>
      <c r="D242">
        <v>2014</v>
      </c>
      <c r="E242">
        <v>0</v>
      </c>
      <c r="F242" t="s">
        <v>175</v>
      </c>
    </row>
    <row r="243" spans="1:6" x14ac:dyDescent="0.25">
      <c r="A243" t="s">
        <v>169</v>
      </c>
      <c r="B243" t="s">
        <v>170</v>
      </c>
      <c r="C243" t="s">
        <v>162</v>
      </c>
      <c r="D243">
        <v>2013</v>
      </c>
      <c r="E243">
        <v>0</v>
      </c>
      <c r="F243" t="s">
        <v>175</v>
      </c>
    </row>
    <row r="244" spans="1:6" x14ac:dyDescent="0.25">
      <c r="A244" t="s">
        <v>169</v>
      </c>
      <c r="B244" t="s">
        <v>170</v>
      </c>
      <c r="C244" t="s">
        <v>162</v>
      </c>
      <c r="D244">
        <v>2012</v>
      </c>
      <c r="E244">
        <v>0</v>
      </c>
      <c r="F244" t="s">
        <v>175</v>
      </c>
    </row>
    <row r="245" spans="1:6" x14ac:dyDescent="0.25">
      <c r="A245" t="s">
        <v>169</v>
      </c>
      <c r="B245" t="s">
        <v>170</v>
      </c>
      <c r="C245" t="s">
        <v>162</v>
      </c>
      <c r="D245">
        <v>2011</v>
      </c>
      <c r="E245">
        <v>0</v>
      </c>
      <c r="F245" t="s">
        <v>175</v>
      </c>
    </row>
    <row r="246" spans="1:6" x14ac:dyDescent="0.25">
      <c r="A246" t="s">
        <v>169</v>
      </c>
      <c r="B246" t="s">
        <v>170</v>
      </c>
      <c r="C246" t="s">
        <v>162</v>
      </c>
      <c r="D246">
        <v>2010</v>
      </c>
      <c r="E246">
        <v>0</v>
      </c>
      <c r="F246" t="s">
        <v>175</v>
      </c>
    </row>
    <row r="247" spans="1:6" x14ac:dyDescent="0.25">
      <c r="A247" t="s">
        <v>169</v>
      </c>
      <c r="B247" t="s">
        <v>170</v>
      </c>
      <c r="C247" t="s">
        <v>129</v>
      </c>
      <c r="D247">
        <v>2014</v>
      </c>
      <c r="E247">
        <v>10.071</v>
      </c>
      <c r="F247" t="s">
        <v>175</v>
      </c>
    </row>
    <row r="248" spans="1:6" x14ac:dyDescent="0.25">
      <c r="A248" t="s">
        <v>169</v>
      </c>
      <c r="B248" t="s">
        <v>170</v>
      </c>
      <c r="C248" t="s">
        <v>129</v>
      </c>
      <c r="D248">
        <v>2013</v>
      </c>
      <c r="E248">
        <v>10.945</v>
      </c>
      <c r="F248" t="s">
        <v>175</v>
      </c>
    </row>
    <row r="249" spans="1:6" x14ac:dyDescent="0.25">
      <c r="A249" t="s">
        <v>169</v>
      </c>
      <c r="B249" t="s">
        <v>170</v>
      </c>
      <c r="C249" t="s">
        <v>129</v>
      </c>
      <c r="D249">
        <v>2012</v>
      </c>
      <c r="E249">
        <v>10.994999999999999</v>
      </c>
      <c r="F249" t="s">
        <v>175</v>
      </c>
    </row>
    <row r="250" spans="1:6" x14ac:dyDescent="0.25">
      <c r="A250" t="s">
        <v>169</v>
      </c>
      <c r="B250" t="s">
        <v>170</v>
      </c>
      <c r="C250" t="s">
        <v>129</v>
      </c>
      <c r="D250">
        <v>2011</v>
      </c>
      <c r="E250">
        <v>9.0210000000000008</v>
      </c>
      <c r="F250" t="s">
        <v>175</v>
      </c>
    </row>
    <row r="251" spans="1:6" x14ac:dyDescent="0.25">
      <c r="A251" t="s">
        <v>169</v>
      </c>
      <c r="B251" t="s">
        <v>170</v>
      </c>
      <c r="C251" t="s">
        <v>129</v>
      </c>
      <c r="D251">
        <v>2010</v>
      </c>
      <c r="E251">
        <v>10.35</v>
      </c>
      <c r="F251" t="s">
        <v>175</v>
      </c>
    </row>
    <row r="252" spans="1:6" x14ac:dyDescent="0.25">
      <c r="A252" t="s">
        <v>169</v>
      </c>
      <c r="B252" t="s">
        <v>170</v>
      </c>
      <c r="C252" t="s">
        <v>130</v>
      </c>
      <c r="D252">
        <v>2014</v>
      </c>
      <c r="E252">
        <v>9.49</v>
      </c>
      <c r="F252" t="s">
        <v>175</v>
      </c>
    </row>
    <row r="253" spans="1:6" x14ac:dyDescent="0.25">
      <c r="A253" t="s">
        <v>169</v>
      </c>
      <c r="B253" t="s">
        <v>170</v>
      </c>
      <c r="C253" t="s">
        <v>130</v>
      </c>
      <c r="D253">
        <v>2013</v>
      </c>
      <c r="E253">
        <v>10.842000000000001</v>
      </c>
      <c r="F253" t="s">
        <v>175</v>
      </c>
    </row>
    <row r="254" spans="1:6" x14ac:dyDescent="0.25">
      <c r="A254" t="s">
        <v>169</v>
      </c>
      <c r="B254" t="s">
        <v>170</v>
      </c>
      <c r="C254" t="s">
        <v>130</v>
      </c>
      <c r="D254">
        <v>2012</v>
      </c>
      <c r="E254">
        <v>8.58</v>
      </c>
      <c r="F254" t="s">
        <v>175</v>
      </c>
    </row>
    <row r="255" spans="1:6" x14ac:dyDescent="0.25">
      <c r="A255" t="s">
        <v>169</v>
      </c>
      <c r="B255" t="s">
        <v>170</v>
      </c>
      <c r="C255" t="s">
        <v>130</v>
      </c>
      <c r="D255">
        <v>2011</v>
      </c>
      <c r="E255">
        <v>0</v>
      </c>
      <c r="F255" t="s">
        <v>175</v>
      </c>
    </row>
    <row r="256" spans="1:6" x14ac:dyDescent="0.25">
      <c r="A256" t="s">
        <v>169</v>
      </c>
      <c r="B256" t="s">
        <v>170</v>
      </c>
      <c r="C256" t="s">
        <v>130</v>
      </c>
      <c r="D256">
        <v>2010</v>
      </c>
      <c r="E256">
        <v>0</v>
      </c>
      <c r="F256" t="s">
        <v>175</v>
      </c>
    </row>
    <row r="257" spans="1:6" x14ac:dyDescent="0.25">
      <c r="A257" t="s">
        <v>169</v>
      </c>
      <c r="B257" t="s">
        <v>170</v>
      </c>
      <c r="C257" t="s">
        <v>131</v>
      </c>
      <c r="D257">
        <v>2014</v>
      </c>
      <c r="E257">
        <v>0</v>
      </c>
      <c r="F257" t="s">
        <v>175</v>
      </c>
    </row>
    <row r="258" spans="1:6" x14ac:dyDescent="0.25">
      <c r="A258" t="s">
        <v>169</v>
      </c>
      <c r="B258" t="s">
        <v>170</v>
      </c>
      <c r="C258" t="s">
        <v>131</v>
      </c>
      <c r="D258">
        <v>2013</v>
      </c>
      <c r="E258">
        <v>0</v>
      </c>
      <c r="F258" t="s">
        <v>175</v>
      </c>
    </row>
    <row r="259" spans="1:6" x14ac:dyDescent="0.25">
      <c r="A259" t="s">
        <v>169</v>
      </c>
      <c r="B259" t="s">
        <v>170</v>
      </c>
      <c r="C259" t="s">
        <v>131</v>
      </c>
      <c r="D259">
        <v>2012</v>
      </c>
      <c r="E259">
        <v>0</v>
      </c>
      <c r="F259" t="s">
        <v>175</v>
      </c>
    </row>
    <row r="260" spans="1:6" x14ac:dyDescent="0.25">
      <c r="A260" t="s">
        <v>169</v>
      </c>
      <c r="B260" t="s">
        <v>170</v>
      </c>
      <c r="C260" t="s">
        <v>131</v>
      </c>
      <c r="D260">
        <v>2011</v>
      </c>
      <c r="E260">
        <v>0</v>
      </c>
      <c r="F260" t="s">
        <v>175</v>
      </c>
    </row>
    <row r="261" spans="1:6" x14ac:dyDescent="0.25">
      <c r="A261" t="s">
        <v>169</v>
      </c>
      <c r="B261" t="s">
        <v>170</v>
      </c>
      <c r="C261" t="s">
        <v>131</v>
      </c>
      <c r="D261">
        <v>2010</v>
      </c>
      <c r="E261">
        <v>0</v>
      </c>
      <c r="F261" t="s">
        <v>175</v>
      </c>
    </row>
    <row r="262" spans="1:6" x14ac:dyDescent="0.25">
      <c r="A262" t="s">
        <v>169</v>
      </c>
      <c r="B262" t="s">
        <v>170</v>
      </c>
      <c r="C262" t="s">
        <v>132</v>
      </c>
      <c r="D262">
        <v>2014</v>
      </c>
      <c r="E262">
        <v>0.10100000000000001</v>
      </c>
      <c r="F262" t="s">
        <v>175</v>
      </c>
    </row>
    <row r="263" spans="1:6" x14ac:dyDescent="0.25">
      <c r="A263" t="s">
        <v>169</v>
      </c>
      <c r="B263" t="s">
        <v>170</v>
      </c>
      <c r="C263" t="s">
        <v>132</v>
      </c>
      <c r="D263">
        <v>2013</v>
      </c>
      <c r="E263">
        <v>0.89500000000000002</v>
      </c>
      <c r="F263" t="s">
        <v>175</v>
      </c>
    </row>
    <row r="264" spans="1:6" x14ac:dyDescent="0.25">
      <c r="A264" t="s">
        <v>169</v>
      </c>
      <c r="B264" t="s">
        <v>170</v>
      </c>
      <c r="C264" t="s">
        <v>132</v>
      </c>
      <c r="D264">
        <v>2012</v>
      </c>
      <c r="E264">
        <v>1.617</v>
      </c>
      <c r="F264" t="s">
        <v>175</v>
      </c>
    </row>
    <row r="265" spans="1:6" x14ac:dyDescent="0.25">
      <c r="A265" t="s">
        <v>169</v>
      </c>
      <c r="B265" t="s">
        <v>170</v>
      </c>
      <c r="C265" t="s">
        <v>132</v>
      </c>
      <c r="D265">
        <v>2011</v>
      </c>
      <c r="E265">
        <v>1.63</v>
      </c>
      <c r="F265" t="s">
        <v>175</v>
      </c>
    </row>
    <row r="266" spans="1:6" x14ac:dyDescent="0.25">
      <c r="A266" t="s">
        <v>169</v>
      </c>
      <c r="B266" t="s">
        <v>170</v>
      </c>
      <c r="C266" t="s">
        <v>132</v>
      </c>
      <c r="D266">
        <v>2010</v>
      </c>
      <c r="E266">
        <v>1.5920000000000001</v>
      </c>
      <c r="F266" t="s">
        <v>175</v>
      </c>
    </row>
    <row r="267" spans="1:6" x14ac:dyDescent="0.25">
      <c r="A267" t="s">
        <v>169</v>
      </c>
      <c r="B267" t="s">
        <v>170</v>
      </c>
      <c r="C267" t="s">
        <v>163</v>
      </c>
      <c r="D267">
        <v>2014</v>
      </c>
      <c r="E267">
        <v>0</v>
      </c>
      <c r="F267" t="s">
        <v>175</v>
      </c>
    </row>
    <row r="268" spans="1:6" x14ac:dyDescent="0.25">
      <c r="A268" t="s">
        <v>169</v>
      </c>
      <c r="B268" t="s">
        <v>170</v>
      </c>
      <c r="C268" t="s">
        <v>163</v>
      </c>
      <c r="D268">
        <v>2013</v>
      </c>
      <c r="E268">
        <v>0</v>
      </c>
      <c r="F268" t="s">
        <v>175</v>
      </c>
    </row>
    <row r="269" spans="1:6" x14ac:dyDescent="0.25">
      <c r="A269" t="s">
        <v>169</v>
      </c>
      <c r="B269" t="s">
        <v>170</v>
      </c>
      <c r="C269" t="s">
        <v>163</v>
      </c>
      <c r="D269">
        <v>2012</v>
      </c>
      <c r="E269">
        <v>0</v>
      </c>
      <c r="F269" t="s">
        <v>175</v>
      </c>
    </row>
    <row r="270" spans="1:6" x14ac:dyDescent="0.25">
      <c r="A270" t="s">
        <v>169</v>
      </c>
      <c r="B270" t="s">
        <v>170</v>
      </c>
      <c r="C270" t="s">
        <v>163</v>
      </c>
      <c r="D270">
        <v>2011</v>
      </c>
      <c r="E270">
        <v>0</v>
      </c>
      <c r="F270" t="s">
        <v>175</v>
      </c>
    </row>
    <row r="271" spans="1:6" x14ac:dyDescent="0.25">
      <c r="A271" t="s">
        <v>169</v>
      </c>
      <c r="B271" t="s">
        <v>170</v>
      </c>
      <c r="C271" t="s">
        <v>163</v>
      </c>
      <c r="D271">
        <v>2010</v>
      </c>
      <c r="E271">
        <v>0</v>
      </c>
      <c r="F271" t="s">
        <v>175</v>
      </c>
    </row>
    <row r="272" spans="1:6" x14ac:dyDescent="0.25">
      <c r="A272" t="s">
        <v>169</v>
      </c>
      <c r="B272" t="s">
        <v>170</v>
      </c>
      <c r="C272" t="s">
        <v>133</v>
      </c>
      <c r="D272">
        <v>2014</v>
      </c>
      <c r="E272">
        <v>0</v>
      </c>
      <c r="F272" t="s">
        <v>175</v>
      </c>
    </row>
    <row r="273" spans="1:6" x14ac:dyDescent="0.25">
      <c r="A273" t="s">
        <v>169</v>
      </c>
      <c r="B273" t="s">
        <v>170</v>
      </c>
      <c r="C273" t="s">
        <v>133</v>
      </c>
      <c r="D273">
        <v>2013</v>
      </c>
      <c r="E273">
        <v>0</v>
      </c>
      <c r="F273" t="s">
        <v>175</v>
      </c>
    </row>
    <row r="274" spans="1:6" x14ac:dyDescent="0.25">
      <c r="A274" t="s">
        <v>169</v>
      </c>
      <c r="B274" t="s">
        <v>170</v>
      </c>
      <c r="C274" t="s">
        <v>133</v>
      </c>
      <c r="D274">
        <v>2012</v>
      </c>
      <c r="E274">
        <v>0</v>
      </c>
      <c r="F274" t="s">
        <v>175</v>
      </c>
    </row>
    <row r="275" spans="1:6" x14ac:dyDescent="0.25">
      <c r="A275" t="s">
        <v>169</v>
      </c>
      <c r="B275" t="s">
        <v>170</v>
      </c>
      <c r="C275" t="s">
        <v>133</v>
      </c>
      <c r="D275">
        <v>2011</v>
      </c>
      <c r="E275">
        <v>0</v>
      </c>
      <c r="F275" t="s">
        <v>175</v>
      </c>
    </row>
    <row r="276" spans="1:6" x14ac:dyDescent="0.25">
      <c r="A276" t="s">
        <v>169</v>
      </c>
      <c r="B276" t="s">
        <v>170</v>
      </c>
      <c r="C276" t="s">
        <v>133</v>
      </c>
      <c r="D276">
        <v>2010</v>
      </c>
      <c r="E276">
        <v>0</v>
      </c>
      <c r="F276" t="s">
        <v>175</v>
      </c>
    </row>
    <row r="277" spans="1:6" x14ac:dyDescent="0.25">
      <c r="A277" t="s">
        <v>169</v>
      </c>
      <c r="B277" t="s">
        <v>170</v>
      </c>
      <c r="C277" t="s">
        <v>134</v>
      </c>
      <c r="D277">
        <v>2014</v>
      </c>
      <c r="E277">
        <v>0</v>
      </c>
      <c r="F277" t="s">
        <v>175</v>
      </c>
    </row>
    <row r="278" spans="1:6" x14ac:dyDescent="0.25">
      <c r="A278" t="s">
        <v>169</v>
      </c>
      <c r="B278" t="s">
        <v>170</v>
      </c>
      <c r="C278" t="s">
        <v>134</v>
      </c>
      <c r="D278">
        <v>2013</v>
      </c>
      <c r="E278">
        <v>0</v>
      </c>
      <c r="F278" t="s">
        <v>175</v>
      </c>
    </row>
    <row r="279" spans="1:6" x14ac:dyDescent="0.25">
      <c r="A279" t="s">
        <v>169</v>
      </c>
      <c r="B279" t="s">
        <v>170</v>
      </c>
      <c r="C279" t="s">
        <v>134</v>
      </c>
      <c r="D279">
        <v>2012</v>
      </c>
      <c r="E279">
        <v>0</v>
      </c>
      <c r="F279" t="s">
        <v>175</v>
      </c>
    </row>
    <row r="280" spans="1:6" x14ac:dyDescent="0.25">
      <c r="A280" t="s">
        <v>169</v>
      </c>
      <c r="B280" t="s">
        <v>170</v>
      </c>
      <c r="C280" t="s">
        <v>134</v>
      </c>
      <c r="D280">
        <v>2011</v>
      </c>
      <c r="E280">
        <v>0</v>
      </c>
      <c r="F280" t="s">
        <v>175</v>
      </c>
    </row>
    <row r="281" spans="1:6" x14ac:dyDescent="0.25">
      <c r="A281" t="s">
        <v>169</v>
      </c>
      <c r="B281" t="s">
        <v>170</v>
      </c>
      <c r="C281" t="s">
        <v>134</v>
      </c>
      <c r="D281">
        <v>2010</v>
      </c>
      <c r="E281">
        <v>0</v>
      </c>
      <c r="F281" t="s">
        <v>175</v>
      </c>
    </row>
    <row r="282" spans="1:6" x14ac:dyDescent="0.25">
      <c r="A282" t="s">
        <v>169</v>
      </c>
      <c r="B282" t="s">
        <v>170</v>
      </c>
      <c r="C282" t="s">
        <v>135</v>
      </c>
      <c r="D282">
        <v>2014</v>
      </c>
      <c r="E282">
        <v>0.20399999999999999</v>
      </c>
      <c r="F282" t="s">
        <v>175</v>
      </c>
    </row>
    <row r="283" spans="1:6" x14ac:dyDescent="0.25">
      <c r="A283" t="s">
        <v>169</v>
      </c>
      <c r="B283" t="s">
        <v>170</v>
      </c>
      <c r="C283" t="s">
        <v>135</v>
      </c>
      <c r="D283">
        <v>2013</v>
      </c>
      <c r="E283">
        <v>0.53200000000000003</v>
      </c>
      <c r="F283" t="s">
        <v>175</v>
      </c>
    </row>
    <row r="284" spans="1:6" x14ac:dyDescent="0.25">
      <c r="A284" t="s">
        <v>169</v>
      </c>
      <c r="B284" t="s">
        <v>170</v>
      </c>
      <c r="C284" t="s">
        <v>135</v>
      </c>
      <c r="D284">
        <v>2012</v>
      </c>
      <c r="E284">
        <v>0.22600000000000001</v>
      </c>
      <c r="F284" t="s">
        <v>175</v>
      </c>
    </row>
    <row r="285" spans="1:6" x14ac:dyDescent="0.25">
      <c r="A285" t="s">
        <v>169</v>
      </c>
      <c r="B285" t="s">
        <v>170</v>
      </c>
      <c r="C285" t="s">
        <v>135</v>
      </c>
      <c r="D285">
        <v>2011</v>
      </c>
      <c r="E285">
        <v>0.27</v>
      </c>
      <c r="F285" t="s">
        <v>175</v>
      </c>
    </row>
    <row r="286" spans="1:6" x14ac:dyDescent="0.25">
      <c r="A286" t="s">
        <v>169</v>
      </c>
      <c r="B286" t="s">
        <v>170</v>
      </c>
      <c r="C286" t="s">
        <v>135</v>
      </c>
      <c r="D286">
        <v>2010</v>
      </c>
      <c r="E286">
        <v>0.26900000000000002</v>
      </c>
      <c r="F286" t="s">
        <v>175</v>
      </c>
    </row>
    <row r="287" spans="1:6" x14ac:dyDescent="0.25">
      <c r="A287" t="s">
        <v>169</v>
      </c>
      <c r="B287" t="s">
        <v>170</v>
      </c>
      <c r="C287" t="s">
        <v>136</v>
      </c>
      <c r="D287">
        <v>2014</v>
      </c>
      <c r="E287">
        <v>0</v>
      </c>
      <c r="F287" t="s">
        <v>175</v>
      </c>
    </row>
    <row r="288" spans="1:6" x14ac:dyDescent="0.25">
      <c r="A288" t="s">
        <v>169</v>
      </c>
      <c r="B288" t="s">
        <v>170</v>
      </c>
      <c r="C288" t="s">
        <v>136</v>
      </c>
      <c r="D288">
        <v>2013</v>
      </c>
      <c r="E288">
        <v>0</v>
      </c>
      <c r="F288" t="s">
        <v>175</v>
      </c>
    </row>
    <row r="289" spans="1:6" x14ac:dyDescent="0.25">
      <c r="A289" t="s">
        <v>169</v>
      </c>
      <c r="B289" t="s">
        <v>170</v>
      </c>
      <c r="C289" t="s">
        <v>136</v>
      </c>
      <c r="D289">
        <v>2012</v>
      </c>
      <c r="E289">
        <v>0</v>
      </c>
      <c r="F289" t="s">
        <v>175</v>
      </c>
    </row>
    <row r="290" spans="1:6" x14ac:dyDescent="0.25">
      <c r="A290" t="s">
        <v>169</v>
      </c>
      <c r="B290" t="s">
        <v>170</v>
      </c>
      <c r="C290" t="s">
        <v>136</v>
      </c>
      <c r="D290">
        <v>2011</v>
      </c>
      <c r="E290">
        <v>0</v>
      </c>
      <c r="F290" t="s">
        <v>175</v>
      </c>
    </row>
    <row r="291" spans="1:6" x14ac:dyDescent="0.25">
      <c r="A291" t="s">
        <v>169</v>
      </c>
      <c r="B291" t="s">
        <v>170</v>
      </c>
      <c r="C291" t="s">
        <v>136</v>
      </c>
      <c r="D291">
        <v>2010</v>
      </c>
      <c r="E291">
        <v>0</v>
      </c>
      <c r="F291" t="s">
        <v>175</v>
      </c>
    </row>
    <row r="292" spans="1:6" x14ac:dyDescent="0.25">
      <c r="A292" t="s">
        <v>169</v>
      </c>
      <c r="B292" t="s">
        <v>170</v>
      </c>
      <c r="C292" t="s">
        <v>137</v>
      </c>
      <c r="D292">
        <v>2014</v>
      </c>
      <c r="E292">
        <v>7.1999999999999995E-2</v>
      </c>
      <c r="F292" t="s">
        <v>175</v>
      </c>
    </row>
    <row r="293" spans="1:6" x14ac:dyDescent="0.25">
      <c r="A293" t="s">
        <v>169</v>
      </c>
      <c r="B293" t="s">
        <v>170</v>
      </c>
      <c r="C293" t="s">
        <v>137</v>
      </c>
      <c r="D293">
        <v>2013</v>
      </c>
      <c r="E293">
        <v>9.6000000000000002E-2</v>
      </c>
      <c r="F293" t="s">
        <v>175</v>
      </c>
    </row>
    <row r="294" spans="1:6" x14ac:dyDescent="0.25">
      <c r="A294" t="s">
        <v>169</v>
      </c>
      <c r="B294" t="s">
        <v>170</v>
      </c>
      <c r="C294" t="s">
        <v>137</v>
      </c>
      <c r="D294">
        <v>2012</v>
      </c>
      <c r="E294">
        <v>7.9000000000000001E-2</v>
      </c>
      <c r="F294" t="s">
        <v>175</v>
      </c>
    </row>
    <row r="295" spans="1:6" x14ac:dyDescent="0.25">
      <c r="A295" t="s">
        <v>169</v>
      </c>
      <c r="B295" t="s">
        <v>170</v>
      </c>
      <c r="C295" t="s">
        <v>137</v>
      </c>
      <c r="D295">
        <v>2011</v>
      </c>
      <c r="E295">
        <v>0.14099999999999999</v>
      </c>
      <c r="F295" t="s">
        <v>175</v>
      </c>
    </row>
    <row r="296" spans="1:6" x14ac:dyDescent="0.25">
      <c r="A296" t="s">
        <v>169</v>
      </c>
      <c r="B296" t="s">
        <v>170</v>
      </c>
      <c r="C296" t="s">
        <v>137</v>
      </c>
      <c r="D296">
        <v>2010</v>
      </c>
      <c r="E296">
        <v>0.16700000000000001</v>
      </c>
      <c r="F296" t="s">
        <v>175</v>
      </c>
    </row>
    <row r="297" spans="1:6" x14ac:dyDescent="0.25">
      <c r="A297" t="s">
        <v>169</v>
      </c>
      <c r="B297" t="s">
        <v>170</v>
      </c>
      <c r="C297" t="s">
        <v>138</v>
      </c>
      <c r="D297">
        <v>2014</v>
      </c>
      <c r="E297">
        <v>7.1999999999999995E-2</v>
      </c>
      <c r="F297" t="s">
        <v>175</v>
      </c>
    </row>
    <row r="298" spans="1:6" x14ac:dyDescent="0.25">
      <c r="A298" t="s">
        <v>169</v>
      </c>
      <c r="B298" t="s">
        <v>170</v>
      </c>
      <c r="C298" t="s">
        <v>138</v>
      </c>
      <c r="D298">
        <v>2013</v>
      </c>
      <c r="E298">
        <v>0.34</v>
      </c>
      <c r="F298" t="s">
        <v>175</v>
      </c>
    </row>
    <row r="299" spans="1:6" x14ac:dyDescent="0.25">
      <c r="A299" t="s">
        <v>169</v>
      </c>
      <c r="B299" t="s">
        <v>170</v>
      </c>
      <c r="C299" t="s">
        <v>138</v>
      </c>
      <c r="D299">
        <v>2012</v>
      </c>
      <c r="E299">
        <v>7.1999999999999995E-2</v>
      </c>
      <c r="F299" t="s">
        <v>175</v>
      </c>
    </row>
    <row r="300" spans="1:6" x14ac:dyDescent="0.25">
      <c r="A300" t="s">
        <v>169</v>
      </c>
      <c r="B300" t="s">
        <v>170</v>
      </c>
      <c r="C300" t="s">
        <v>138</v>
      </c>
      <c r="D300">
        <v>2011</v>
      </c>
      <c r="E300">
        <v>7.1999999999999995E-2</v>
      </c>
      <c r="F300" t="s">
        <v>175</v>
      </c>
    </row>
    <row r="301" spans="1:6" x14ac:dyDescent="0.25">
      <c r="A301" t="s">
        <v>169</v>
      </c>
      <c r="B301" t="s">
        <v>170</v>
      </c>
      <c r="C301" t="s">
        <v>138</v>
      </c>
      <c r="D301">
        <v>2010</v>
      </c>
      <c r="E301">
        <v>7.3999999999999996E-2</v>
      </c>
      <c r="F301" t="s">
        <v>175</v>
      </c>
    </row>
    <row r="302" spans="1:6" x14ac:dyDescent="0.25">
      <c r="A302" t="s">
        <v>169</v>
      </c>
      <c r="B302" t="s">
        <v>170</v>
      </c>
      <c r="C302" t="s">
        <v>164</v>
      </c>
      <c r="D302">
        <v>2014</v>
      </c>
      <c r="E302">
        <v>0</v>
      </c>
      <c r="F302" t="s">
        <v>175</v>
      </c>
    </row>
    <row r="303" spans="1:6" x14ac:dyDescent="0.25">
      <c r="A303" t="s">
        <v>169</v>
      </c>
      <c r="B303" t="s">
        <v>170</v>
      </c>
      <c r="C303" t="s">
        <v>164</v>
      </c>
      <c r="D303">
        <v>2013</v>
      </c>
      <c r="E303">
        <v>0</v>
      </c>
      <c r="F303" t="s">
        <v>175</v>
      </c>
    </row>
    <row r="304" spans="1:6" x14ac:dyDescent="0.25">
      <c r="A304" t="s">
        <v>169</v>
      </c>
      <c r="B304" t="s">
        <v>170</v>
      </c>
      <c r="C304" t="s">
        <v>164</v>
      </c>
      <c r="D304">
        <v>2012</v>
      </c>
      <c r="E304">
        <v>0</v>
      </c>
      <c r="F304" t="s">
        <v>175</v>
      </c>
    </row>
    <row r="305" spans="1:6" x14ac:dyDescent="0.25">
      <c r="A305" t="s">
        <v>169</v>
      </c>
      <c r="B305" t="s">
        <v>170</v>
      </c>
      <c r="C305" t="s">
        <v>164</v>
      </c>
      <c r="D305">
        <v>2011</v>
      </c>
      <c r="E305">
        <v>0</v>
      </c>
      <c r="F305" t="s">
        <v>175</v>
      </c>
    </row>
    <row r="306" spans="1:6" x14ac:dyDescent="0.25">
      <c r="A306" t="s">
        <v>169</v>
      </c>
      <c r="B306" t="s">
        <v>170</v>
      </c>
      <c r="C306" t="s">
        <v>164</v>
      </c>
      <c r="D306">
        <v>2010</v>
      </c>
      <c r="E306">
        <v>0</v>
      </c>
      <c r="F306" t="s">
        <v>175</v>
      </c>
    </row>
    <row r="307" spans="1:6" x14ac:dyDescent="0.25">
      <c r="A307" t="s">
        <v>169</v>
      </c>
      <c r="B307" t="s">
        <v>170</v>
      </c>
      <c r="C307" t="s">
        <v>139</v>
      </c>
      <c r="D307">
        <v>2014</v>
      </c>
      <c r="E307">
        <v>0</v>
      </c>
      <c r="F307" t="s">
        <v>175</v>
      </c>
    </row>
    <row r="308" spans="1:6" x14ac:dyDescent="0.25">
      <c r="A308" t="s">
        <v>169</v>
      </c>
      <c r="B308" t="s">
        <v>170</v>
      </c>
      <c r="C308" t="s">
        <v>139</v>
      </c>
      <c r="D308">
        <v>2013</v>
      </c>
      <c r="E308">
        <v>0</v>
      </c>
      <c r="F308" t="s">
        <v>175</v>
      </c>
    </row>
    <row r="309" spans="1:6" x14ac:dyDescent="0.25">
      <c r="A309" t="s">
        <v>169</v>
      </c>
      <c r="B309" t="s">
        <v>170</v>
      </c>
      <c r="C309" t="s">
        <v>139</v>
      </c>
      <c r="D309">
        <v>2012</v>
      </c>
      <c r="E309">
        <v>0</v>
      </c>
      <c r="F309" t="s">
        <v>175</v>
      </c>
    </row>
    <row r="310" spans="1:6" x14ac:dyDescent="0.25">
      <c r="A310" t="s">
        <v>169</v>
      </c>
      <c r="B310" t="s">
        <v>170</v>
      </c>
      <c r="C310" t="s">
        <v>139</v>
      </c>
      <c r="D310">
        <v>2011</v>
      </c>
      <c r="E310">
        <v>0</v>
      </c>
      <c r="F310" t="s">
        <v>175</v>
      </c>
    </row>
    <row r="311" spans="1:6" x14ac:dyDescent="0.25">
      <c r="A311" t="s">
        <v>169</v>
      </c>
      <c r="B311" t="s">
        <v>170</v>
      </c>
      <c r="C311" t="s">
        <v>139</v>
      </c>
      <c r="D311">
        <v>2010</v>
      </c>
      <c r="E311">
        <v>0</v>
      </c>
      <c r="F311" t="s">
        <v>175</v>
      </c>
    </row>
    <row r="312" spans="1:6" x14ac:dyDescent="0.25">
      <c r="A312" t="s">
        <v>169</v>
      </c>
      <c r="B312" t="s">
        <v>170</v>
      </c>
      <c r="C312" t="s">
        <v>165</v>
      </c>
      <c r="D312">
        <v>2014</v>
      </c>
      <c r="E312" t="s">
        <v>207</v>
      </c>
      <c r="F312" t="s">
        <v>175</v>
      </c>
    </row>
    <row r="313" spans="1:6" x14ac:dyDescent="0.25">
      <c r="A313" t="s">
        <v>169</v>
      </c>
      <c r="B313" t="s">
        <v>170</v>
      </c>
      <c r="C313" t="s">
        <v>165</v>
      </c>
      <c r="D313">
        <v>2013</v>
      </c>
      <c r="E313" t="s">
        <v>207</v>
      </c>
      <c r="F313" t="s">
        <v>175</v>
      </c>
    </row>
    <row r="314" spans="1:6" x14ac:dyDescent="0.25">
      <c r="A314" t="s">
        <v>169</v>
      </c>
      <c r="B314" t="s">
        <v>170</v>
      </c>
      <c r="C314" t="s">
        <v>165</v>
      </c>
      <c r="D314">
        <v>2012</v>
      </c>
      <c r="E314">
        <v>0</v>
      </c>
      <c r="F314" t="s">
        <v>175</v>
      </c>
    </row>
    <row r="315" spans="1:6" x14ac:dyDescent="0.25">
      <c r="A315" t="s">
        <v>169</v>
      </c>
      <c r="B315" t="s">
        <v>170</v>
      </c>
      <c r="C315" t="s">
        <v>165</v>
      </c>
      <c r="D315">
        <v>2011</v>
      </c>
      <c r="E315">
        <v>0</v>
      </c>
      <c r="F315" t="s">
        <v>175</v>
      </c>
    </row>
    <row r="316" spans="1:6" x14ac:dyDescent="0.25">
      <c r="A316" t="s">
        <v>169</v>
      </c>
      <c r="B316" t="s">
        <v>170</v>
      </c>
      <c r="C316" t="s">
        <v>165</v>
      </c>
      <c r="D316">
        <v>2010</v>
      </c>
      <c r="E316">
        <v>0</v>
      </c>
      <c r="F316" t="s">
        <v>175</v>
      </c>
    </row>
    <row r="317" spans="1:6" x14ac:dyDescent="0.25">
      <c r="A317" t="s">
        <v>169</v>
      </c>
      <c r="B317" t="s">
        <v>170</v>
      </c>
      <c r="C317" t="s">
        <v>140</v>
      </c>
      <c r="D317">
        <v>2014</v>
      </c>
      <c r="E317">
        <v>0</v>
      </c>
      <c r="F317" t="s">
        <v>175</v>
      </c>
    </row>
    <row r="318" spans="1:6" x14ac:dyDescent="0.25">
      <c r="A318" t="s">
        <v>169</v>
      </c>
      <c r="B318" t="s">
        <v>170</v>
      </c>
      <c r="C318" t="s">
        <v>140</v>
      </c>
      <c r="D318">
        <v>2013</v>
      </c>
      <c r="E318">
        <v>0</v>
      </c>
      <c r="F318" t="s">
        <v>175</v>
      </c>
    </row>
    <row r="319" spans="1:6" x14ac:dyDescent="0.25">
      <c r="A319" t="s">
        <v>169</v>
      </c>
      <c r="B319" t="s">
        <v>170</v>
      </c>
      <c r="C319" t="s">
        <v>140</v>
      </c>
      <c r="D319">
        <v>2012</v>
      </c>
      <c r="E319">
        <v>0</v>
      </c>
      <c r="F319" t="s">
        <v>175</v>
      </c>
    </row>
    <row r="320" spans="1:6" x14ac:dyDescent="0.25">
      <c r="A320" t="s">
        <v>169</v>
      </c>
      <c r="B320" t="s">
        <v>170</v>
      </c>
      <c r="C320" t="s">
        <v>140</v>
      </c>
      <c r="D320">
        <v>2011</v>
      </c>
      <c r="E320">
        <v>0</v>
      </c>
      <c r="F320" t="s">
        <v>175</v>
      </c>
    </row>
    <row r="321" spans="1:6" x14ac:dyDescent="0.25">
      <c r="A321" t="s">
        <v>169</v>
      </c>
      <c r="B321" t="s">
        <v>170</v>
      </c>
      <c r="C321" t="s">
        <v>140</v>
      </c>
      <c r="D321">
        <v>2010</v>
      </c>
      <c r="E321">
        <v>0</v>
      </c>
      <c r="F321" t="s">
        <v>175</v>
      </c>
    </row>
    <row r="322" spans="1:6" x14ac:dyDescent="0.25">
      <c r="A322" t="s">
        <v>169</v>
      </c>
      <c r="B322" t="s">
        <v>170</v>
      </c>
      <c r="C322" t="s">
        <v>141</v>
      </c>
      <c r="D322">
        <v>2014</v>
      </c>
      <c r="E322">
        <v>0</v>
      </c>
      <c r="F322" t="s">
        <v>175</v>
      </c>
    </row>
    <row r="323" spans="1:6" x14ac:dyDescent="0.25">
      <c r="A323" t="s">
        <v>169</v>
      </c>
      <c r="B323" t="s">
        <v>170</v>
      </c>
      <c r="C323" t="s">
        <v>141</v>
      </c>
      <c r="D323">
        <v>2013</v>
      </c>
      <c r="E323">
        <v>0</v>
      </c>
      <c r="F323" t="s">
        <v>175</v>
      </c>
    </row>
    <row r="324" spans="1:6" x14ac:dyDescent="0.25">
      <c r="A324" t="s">
        <v>169</v>
      </c>
      <c r="B324" t="s">
        <v>170</v>
      </c>
      <c r="C324" t="s">
        <v>141</v>
      </c>
      <c r="D324">
        <v>2012</v>
      </c>
      <c r="E324">
        <v>0</v>
      </c>
      <c r="F324" t="s">
        <v>175</v>
      </c>
    </row>
    <row r="325" spans="1:6" x14ac:dyDescent="0.25">
      <c r="A325" t="s">
        <v>169</v>
      </c>
      <c r="B325" t="s">
        <v>170</v>
      </c>
      <c r="C325" t="s">
        <v>141</v>
      </c>
      <c r="D325">
        <v>2011</v>
      </c>
      <c r="E325">
        <v>0</v>
      </c>
      <c r="F325" t="s">
        <v>175</v>
      </c>
    </row>
    <row r="326" spans="1:6" x14ac:dyDescent="0.25">
      <c r="A326" t="s">
        <v>169</v>
      </c>
      <c r="B326" t="s">
        <v>170</v>
      </c>
      <c r="C326" t="s">
        <v>141</v>
      </c>
      <c r="D326">
        <v>2010</v>
      </c>
      <c r="E326">
        <v>0</v>
      </c>
      <c r="F326" t="s">
        <v>175</v>
      </c>
    </row>
    <row r="327" spans="1:6" x14ac:dyDescent="0.25">
      <c r="A327" t="s">
        <v>169</v>
      </c>
      <c r="B327" t="s">
        <v>170</v>
      </c>
      <c r="C327" t="s">
        <v>142</v>
      </c>
      <c r="D327">
        <v>2014</v>
      </c>
      <c r="E327">
        <v>105.89100000000001</v>
      </c>
      <c r="F327" t="s">
        <v>175</v>
      </c>
    </row>
    <row r="328" spans="1:6" x14ac:dyDescent="0.25">
      <c r="A328" t="s">
        <v>169</v>
      </c>
      <c r="B328" t="s">
        <v>170</v>
      </c>
      <c r="C328" t="s">
        <v>142</v>
      </c>
      <c r="D328">
        <v>2013</v>
      </c>
      <c r="E328">
        <v>116.05500000000001</v>
      </c>
      <c r="F328" t="s">
        <v>175</v>
      </c>
    </row>
    <row r="329" spans="1:6" x14ac:dyDescent="0.25">
      <c r="A329" t="s">
        <v>169</v>
      </c>
      <c r="B329" t="s">
        <v>170</v>
      </c>
      <c r="C329" t="s">
        <v>142</v>
      </c>
      <c r="D329">
        <v>2012</v>
      </c>
      <c r="E329">
        <v>121.54900000000001</v>
      </c>
      <c r="F329" t="s">
        <v>175</v>
      </c>
    </row>
    <row r="330" spans="1:6" x14ac:dyDescent="0.25">
      <c r="A330" t="s">
        <v>169</v>
      </c>
      <c r="B330" t="s">
        <v>170</v>
      </c>
      <c r="C330" t="s">
        <v>142</v>
      </c>
      <c r="D330">
        <v>2011</v>
      </c>
      <c r="E330">
        <v>112.765</v>
      </c>
      <c r="F330" t="s">
        <v>175</v>
      </c>
    </row>
    <row r="331" spans="1:6" x14ac:dyDescent="0.25">
      <c r="A331" t="s">
        <v>169</v>
      </c>
      <c r="B331" t="s">
        <v>170</v>
      </c>
      <c r="C331" t="s">
        <v>142</v>
      </c>
      <c r="D331">
        <v>2010</v>
      </c>
      <c r="E331">
        <v>139.28800000000001</v>
      </c>
      <c r="F331" t="s">
        <v>175</v>
      </c>
    </row>
    <row r="332" spans="1:6" x14ac:dyDescent="0.25">
      <c r="A332" t="s">
        <v>169</v>
      </c>
      <c r="B332" t="s">
        <v>170</v>
      </c>
      <c r="C332" t="s">
        <v>166</v>
      </c>
      <c r="D332">
        <v>2014</v>
      </c>
      <c r="E332">
        <v>0</v>
      </c>
      <c r="F332" t="s">
        <v>175</v>
      </c>
    </row>
    <row r="333" spans="1:6" x14ac:dyDescent="0.25">
      <c r="A333" t="s">
        <v>169</v>
      </c>
      <c r="B333" t="s">
        <v>170</v>
      </c>
      <c r="C333" t="s">
        <v>166</v>
      </c>
      <c r="D333">
        <v>2013</v>
      </c>
      <c r="E333">
        <v>0</v>
      </c>
      <c r="F333" t="s">
        <v>175</v>
      </c>
    </row>
    <row r="334" spans="1:6" x14ac:dyDescent="0.25">
      <c r="A334" t="s">
        <v>169</v>
      </c>
      <c r="B334" t="s">
        <v>170</v>
      </c>
      <c r="C334" t="s">
        <v>166</v>
      </c>
      <c r="D334">
        <v>2012</v>
      </c>
      <c r="E334">
        <v>0</v>
      </c>
      <c r="F334" t="s">
        <v>175</v>
      </c>
    </row>
    <row r="335" spans="1:6" x14ac:dyDescent="0.25">
      <c r="A335" t="s">
        <v>169</v>
      </c>
      <c r="B335" t="s">
        <v>170</v>
      </c>
      <c r="C335" t="s">
        <v>166</v>
      </c>
      <c r="D335">
        <v>2011</v>
      </c>
      <c r="E335">
        <v>0</v>
      </c>
      <c r="F335" t="s">
        <v>175</v>
      </c>
    </row>
    <row r="336" spans="1:6" x14ac:dyDescent="0.25">
      <c r="A336" t="s">
        <v>169</v>
      </c>
      <c r="B336" t="s">
        <v>170</v>
      </c>
      <c r="C336" t="s">
        <v>166</v>
      </c>
      <c r="D336">
        <v>2010</v>
      </c>
      <c r="E336">
        <v>0</v>
      </c>
      <c r="F336" t="s">
        <v>175</v>
      </c>
    </row>
    <row r="337" spans="1:6" x14ac:dyDescent="0.25">
      <c r="A337" t="s">
        <v>169</v>
      </c>
      <c r="B337" t="s">
        <v>170</v>
      </c>
      <c r="C337" t="s">
        <v>143</v>
      </c>
      <c r="D337">
        <v>2014</v>
      </c>
      <c r="E337">
        <v>0.26900000000000002</v>
      </c>
      <c r="F337" t="s">
        <v>175</v>
      </c>
    </row>
    <row r="338" spans="1:6" x14ac:dyDescent="0.25">
      <c r="A338" t="s">
        <v>169</v>
      </c>
      <c r="B338" t="s">
        <v>170</v>
      </c>
      <c r="C338" t="s">
        <v>143</v>
      </c>
      <c r="D338">
        <v>2013</v>
      </c>
      <c r="E338">
        <v>0.19</v>
      </c>
      <c r="F338" t="s">
        <v>175</v>
      </c>
    </row>
    <row r="339" spans="1:6" x14ac:dyDescent="0.25">
      <c r="A339" t="s">
        <v>169</v>
      </c>
      <c r="B339" t="s">
        <v>170</v>
      </c>
      <c r="C339" t="s">
        <v>143</v>
      </c>
      <c r="D339">
        <v>2012</v>
      </c>
      <c r="E339">
        <v>8.5999999999999993E-2</v>
      </c>
      <c r="F339" t="s">
        <v>175</v>
      </c>
    </row>
    <row r="340" spans="1:6" x14ac:dyDescent="0.25">
      <c r="A340" t="s">
        <v>169</v>
      </c>
      <c r="B340" t="s">
        <v>170</v>
      </c>
      <c r="C340" t="s">
        <v>143</v>
      </c>
      <c r="D340">
        <v>2011</v>
      </c>
      <c r="E340">
        <v>0.126</v>
      </c>
      <c r="F340" t="s">
        <v>175</v>
      </c>
    </row>
    <row r="341" spans="1:6" x14ac:dyDescent="0.25">
      <c r="A341" t="s">
        <v>169</v>
      </c>
      <c r="B341" t="s">
        <v>170</v>
      </c>
      <c r="C341" t="s">
        <v>143</v>
      </c>
      <c r="D341">
        <v>2010</v>
      </c>
      <c r="E341">
        <v>0.13400000000000001</v>
      </c>
      <c r="F341" t="s">
        <v>175</v>
      </c>
    </row>
    <row r="342" spans="1:6" x14ac:dyDescent="0.25">
      <c r="A342" t="s">
        <v>169</v>
      </c>
      <c r="B342" t="s">
        <v>170</v>
      </c>
      <c r="C342" t="s">
        <v>144</v>
      </c>
      <c r="D342">
        <v>2014</v>
      </c>
      <c r="E342">
        <v>4.1500000000000004</v>
      </c>
      <c r="F342" t="s">
        <v>175</v>
      </c>
    </row>
    <row r="343" spans="1:6" x14ac:dyDescent="0.25">
      <c r="A343" t="s">
        <v>169</v>
      </c>
      <c r="B343" t="s">
        <v>170</v>
      </c>
      <c r="C343" t="s">
        <v>144</v>
      </c>
      <c r="D343">
        <v>2013</v>
      </c>
      <c r="E343">
        <v>7.016</v>
      </c>
      <c r="F343" t="s">
        <v>175</v>
      </c>
    </row>
    <row r="344" spans="1:6" x14ac:dyDescent="0.25">
      <c r="A344" t="s">
        <v>169</v>
      </c>
      <c r="B344" t="s">
        <v>170</v>
      </c>
      <c r="C344" t="s">
        <v>144</v>
      </c>
      <c r="D344">
        <v>2012</v>
      </c>
      <c r="E344">
        <v>5.9080000000000004</v>
      </c>
      <c r="F344" t="s">
        <v>175</v>
      </c>
    </row>
    <row r="345" spans="1:6" x14ac:dyDescent="0.25">
      <c r="A345" t="s">
        <v>169</v>
      </c>
      <c r="B345" t="s">
        <v>170</v>
      </c>
      <c r="C345" t="s">
        <v>144</v>
      </c>
      <c r="D345">
        <v>2011</v>
      </c>
      <c r="E345">
        <v>6.6</v>
      </c>
      <c r="F345" t="s">
        <v>175</v>
      </c>
    </row>
    <row r="346" spans="1:6" x14ac:dyDescent="0.25">
      <c r="A346" t="s">
        <v>169</v>
      </c>
      <c r="B346" t="s">
        <v>170</v>
      </c>
      <c r="C346" t="s">
        <v>144</v>
      </c>
      <c r="D346">
        <v>2010</v>
      </c>
      <c r="E346">
        <v>5.9850000000000003</v>
      </c>
      <c r="F346" t="s">
        <v>175</v>
      </c>
    </row>
    <row r="347" spans="1:6" x14ac:dyDescent="0.25">
      <c r="A347" t="s">
        <v>169</v>
      </c>
      <c r="B347" t="s">
        <v>170</v>
      </c>
      <c r="C347" t="s">
        <v>145</v>
      </c>
      <c r="D347">
        <v>2014</v>
      </c>
      <c r="E347">
        <v>1.5529999999999999</v>
      </c>
      <c r="F347" t="s">
        <v>175</v>
      </c>
    </row>
    <row r="348" spans="1:6" x14ac:dyDescent="0.25">
      <c r="A348" t="s">
        <v>169</v>
      </c>
      <c r="B348" t="s">
        <v>170</v>
      </c>
      <c r="C348" t="s">
        <v>145</v>
      </c>
      <c r="D348">
        <v>2013</v>
      </c>
      <c r="E348">
        <v>1.825</v>
      </c>
      <c r="F348" t="s">
        <v>175</v>
      </c>
    </row>
    <row r="349" spans="1:6" x14ac:dyDescent="0.25">
      <c r="A349" t="s">
        <v>169</v>
      </c>
      <c r="B349" t="s">
        <v>170</v>
      </c>
      <c r="C349" t="s">
        <v>145</v>
      </c>
      <c r="D349">
        <v>2012</v>
      </c>
      <c r="E349">
        <v>1.462</v>
      </c>
      <c r="F349" t="s">
        <v>175</v>
      </c>
    </row>
    <row r="350" spans="1:6" x14ac:dyDescent="0.25">
      <c r="A350" t="s">
        <v>169</v>
      </c>
      <c r="B350" t="s">
        <v>170</v>
      </c>
      <c r="C350" t="s">
        <v>145</v>
      </c>
      <c r="D350">
        <v>2011</v>
      </c>
      <c r="E350">
        <v>2.3940000000000001</v>
      </c>
      <c r="F350" t="s">
        <v>175</v>
      </c>
    </row>
    <row r="351" spans="1:6" x14ac:dyDescent="0.25">
      <c r="A351" t="s">
        <v>169</v>
      </c>
      <c r="B351" t="s">
        <v>170</v>
      </c>
      <c r="C351" t="s">
        <v>145</v>
      </c>
      <c r="D351">
        <v>2010</v>
      </c>
      <c r="E351">
        <v>1.85</v>
      </c>
      <c r="F351" t="s">
        <v>175</v>
      </c>
    </row>
    <row r="352" spans="1:6" x14ac:dyDescent="0.25">
      <c r="A352" t="s">
        <v>169</v>
      </c>
      <c r="B352" t="s">
        <v>170</v>
      </c>
      <c r="C352" t="s">
        <v>146</v>
      </c>
      <c r="D352">
        <v>2014</v>
      </c>
      <c r="E352">
        <v>7.4999999999999997E-2</v>
      </c>
      <c r="F352" t="s">
        <v>175</v>
      </c>
    </row>
    <row r="353" spans="1:6" x14ac:dyDescent="0.25">
      <c r="A353" t="s">
        <v>169</v>
      </c>
      <c r="B353" t="s">
        <v>170</v>
      </c>
      <c r="C353" t="s">
        <v>146</v>
      </c>
      <c r="D353">
        <v>2013</v>
      </c>
      <c r="E353">
        <v>0</v>
      </c>
      <c r="F353" t="s">
        <v>175</v>
      </c>
    </row>
    <row r="354" spans="1:6" x14ac:dyDescent="0.25">
      <c r="A354" t="s">
        <v>169</v>
      </c>
      <c r="B354" t="s">
        <v>170</v>
      </c>
      <c r="C354" t="s">
        <v>146</v>
      </c>
      <c r="D354">
        <v>2012</v>
      </c>
      <c r="E354">
        <v>0</v>
      </c>
      <c r="F354" t="s">
        <v>175</v>
      </c>
    </row>
    <row r="355" spans="1:6" x14ac:dyDescent="0.25">
      <c r="A355" t="s">
        <v>169</v>
      </c>
      <c r="B355" t="s">
        <v>170</v>
      </c>
      <c r="C355" t="s">
        <v>146</v>
      </c>
      <c r="D355">
        <v>2011</v>
      </c>
      <c r="E355">
        <v>0</v>
      </c>
      <c r="F355" t="s">
        <v>175</v>
      </c>
    </row>
    <row r="356" spans="1:6" x14ac:dyDescent="0.25">
      <c r="A356" t="s">
        <v>169</v>
      </c>
      <c r="B356" t="s">
        <v>170</v>
      </c>
      <c r="C356" t="s">
        <v>146</v>
      </c>
      <c r="D356">
        <v>2010</v>
      </c>
      <c r="E356">
        <v>0</v>
      </c>
      <c r="F356" t="s">
        <v>175</v>
      </c>
    </row>
    <row r="357" spans="1:6" x14ac:dyDescent="0.25">
      <c r="A357" t="s">
        <v>169</v>
      </c>
      <c r="B357" t="s">
        <v>170</v>
      </c>
      <c r="C357" t="s">
        <v>147</v>
      </c>
      <c r="D357">
        <v>2014</v>
      </c>
      <c r="E357">
        <v>6.8000000000000005E-2</v>
      </c>
      <c r="F357" t="s">
        <v>175</v>
      </c>
    </row>
    <row r="358" spans="1:6" x14ac:dyDescent="0.25">
      <c r="A358" t="s">
        <v>169</v>
      </c>
      <c r="B358" t="s">
        <v>170</v>
      </c>
      <c r="C358" t="s">
        <v>147</v>
      </c>
      <c r="D358">
        <v>2013</v>
      </c>
      <c r="E358">
        <v>0.13800000000000001</v>
      </c>
      <c r="F358" t="s">
        <v>175</v>
      </c>
    </row>
    <row r="359" spans="1:6" x14ac:dyDescent="0.25">
      <c r="A359" t="s">
        <v>169</v>
      </c>
      <c r="B359" t="s">
        <v>170</v>
      </c>
      <c r="C359" t="s">
        <v>147</v>
      </c>
      <c r="D359">
        <v>2012</v>
      </c>
      <c r="E359">
        <v>0.13700000000000001</v>
      </c>
      <c r="F359" t="s">
        <v>175</v>
      </c>
    </row>
    <row r="360" spans="1:6" x14ac:dyDescent="0.25">
      <c r="A360" t="s">
        <v>169</v>
      </c>
      <c r="B360" t="s">
        <v>170</v>
      </c>
      <c r="C360" t="s">
        <v>147</v>
      </c>
      <c r="D360">
        <v>2011</v>
      </c>
      <c r="E360">
        <v>0.13900000000000001</v>
      </c>
      <c r="F360" t="s">
        <v>175</v>
      </c>
    </row>
    <row r="361" spans="1:6" x14ac:dyDescent="0.25">
      <c r="A361" t="s">
        <v>169</v>
      </c>
      <c r="B361" t="s">
        <v>170</v>
      </c>
      <c r="C361" t="s">
        <v>147</v>
      </c>
      <c r="D361">
        <v>2010</v>
      </c>
      <c r="E361">
        <v>0.16400000000000001</v>
      </c>
      <c r="F361" t="s">
        <v>175</v>
      </c>
    </row>
    <row r="362" spans="1:6" x14ac:dyDescent="0.25">
      <c r="A362" t="s">
        <v>169</v>
      </c>
      <c r="B362" t="s">
        <v>170</v>
      </c>
      <c r="C362" t="s">
        <v>167</v>
      </c>
      <c r="D362">
        <v>2014</v>
      </c>
      <c r="E362">
        <v>0</v>
      </c>
      <c r="F362" t="s">
        <v>175</v>
      </c>
    </row>
    <row r="363" spans="1:6" x14ac:dyDescent="0.25">
      <c r="A363" t="s">
        <v>169</v>
      </c>
      <c r="B363" t="s">
        <v>170</v>
      </c>
      <c r="C363" t="s">
        <v>167</v>
      </c>
      <c r="D363">
        <v>2013</v>
      </c>
      <c r="E363">
        <v>0</v>
      </c>
      <c r="F363" t="s">
        <v>175</v>
      </c>
    </row>
    <row r="364" spans="1:6" x14ac:dyDescent="0.25">
      <c r="A364" t="s">
        <v>169</v>
      </c>
      <c r="B364" t="s">
        <v>170</v>
      </c>
      <c r="C364" t="s">
        <v>167</v>
      </c>
      <c r="D364">
        <v>2012</v>
      </c>
      <c r="E364">
        <v>0</v>
      </c>
      <c r="F364" t="s">
        <v>175</v>
      </c>
    </row>
    <row r="365" spans="1:6" x14ac:dyDescent="0.25">
      <c r="A365" t="s">
        <v>169</v>
      </c>
      <c r="B365" t="s">
        <v>170</v>
      </c>
      <c r="C365" t="s">
        <v>167</v>
      </c>
      <c r="D365">
        <v>2011</v>
      </c>
      <c r="E365">
        <v>0</v>
      </c>
      <c r="F365" t="s">
        <v>175</v>
      </c>
    </row>
    <row r="366" spans="1:6" x14ac:dyDescent="0.25">
      <c r="A366" t="s">
        <v>169</v>
      </c>
      <c r="B366" t="s">
        <v>170</v>
      </c>
      <c r="C366" t="s">
        <v>167</v>
      </c>
      <c r="D366">
        <v>2010</v>
      </c>
      <c r="E366">
        <v>0</v>
      </c>
      <c r="F366" t="s">
        <v>175</v>
      </c>
    </row>
    <row r="367" spans="1:6" x14ac:dyDescent="0.25">
      <c r="A367" t="s">
        <v>169</v>
      </c>
      <c r="B367" t="s">
        <v>170</v>
      </c>
      <c r="C367" t="s">
        <v>168</v>
      </c>
      <c r="D367">
        <v>2014</v>
      </c>
      <c r="E367">
        <v>26.792999999999999</v>
      </c>
      <c r="F367" t="s">
        <v>175</v>
      </c>
    </row>
    <row r="368" spans="1:6" x14ac:dyDescent="0.25">
      <c r="A368" t="s">
        <v>169</v>
      </c>
      <c r="B368" t="s">
        <v>170</v>
      </c>
      <c r="C368" t="s">
        <v>168</v>
      </c>
      <c r="D368">
        <v>2013</v>
      </c>
      <c r="E368">
        <v>28.451000000000001</v>
      </c>
      <c r="F368" t="s">
        <v>175</v>
      </c>
    </row>
    <row r="369" spans="1:6" x14ac:dyDescent="0.25">
      <c r="A369" t="s">
        <v>169</v>
      </c>
      <c r="B369" t="s">
        <v>170</v>
      </c>
      <c r="C369" t="s">
        <v>168</v>
      </c>
      <c r="D369">
        <v>2012</v>
      </c>
      <c r="E369">
        <v>30.135000000000002</v>
      </c>
      <c r="F369" t="s">
        <v>175</v>
      </c>
    </row>
    <row r="370" spans="1:6" x14ac:dyDescent="0.25">
      <c r="A370" t="s">
        <v>169</v>
      </c>
      <c r="B370" t="s">
        <v>170</v>
      </c>
      <c r="C370" t="s">
        <v>168</v>
      </c>
      <c r="D370">
        <v>2011</v>
      </c>
      <c r="E370">
        <v>31.048999999999999</v>
      </c>
      <c r="F370" t="s">
        <v>175</v>
      </c>
    </row>
    <row r="371" spans="1:6" x14ac:dyDescent="0.25">
      <c r="A371" t="s">
        <v>169</v>
      </c>
      <c r="B371" t="s">
        <v>170</v>
      </c>
      <c r="C371" t="s">
        <v>168</v>
      </c>
      <c r="D371">
        <v>2010</v>
      </c>
      <c r="E371">
        <v>32.886000000000003</v>
      </c>
      <c r="F371" t="s">
        <v>175</v>
      </c>
    </row>
    <row r="372" spans="1:6" x14ac:dyDescent="0.25">
      <c r="A372" t="s">
        <v>169</v>
      </c>
      <c r="B372" t="s">
        <v>170</v>
      </c>
      <c r="C372" t="s">
        <v>148</v>
      </c>
      <c r="D372">
        <v>2014</v>
      </c>
      <c r="E372">
        <v>13.108000000000001</v>
      </c>
      <c r="F372" t="s">
        <v>175</v>
      </c>
    </row>
    <row r="373" spans="1:6" x14ac:dyDescent="0.25">
      <c r="A373" t="s">
        <v>169</v>
      </c>
      <c r="B373" t="s">
        <v>170</v>
      </c>
      <c r="C373" t="s">
        <v>148</v>
      </c>
      <c r="D373">
        <v>2013</v>
      </c>
      <c r="E373">
        <v>15.52</v>
      </c>
      <c r="F373" t="s">
        <v>175</v>
      </c>
    </row>
    <row r="374" spans="1:6" x14ac:dyDescent="0.25">
      <c r="A374" t="s">
        <v>169</v>
      </c>
      <c r="B374" t="s">
        <v>170</v>
      </c>
      <c r="C374" t="s">
        <v>148</v>
      </c>
      <c r="D374">
        <v>2012</v>
      </c>
      <c r="E374">
        <v>11.755000000000001</v>
      </c>
      <c r="F374" t="s">
        <v>175</v>
      </c>
    </row>
    <row r="375" spans="1:6" x14ac:dyDescent="0.25">
      <c r="A375" t="s">
        <v>169</v>
      </c>
      <c r="B375" t="s">
        <v>170</v>
      </c>
      <c r="C375" t="s">
        <v>148</v>
      </c>
      <c r="D375">
        <v>2011</v>
      </c>
      <c r="E375">
        <v>14.326000000000001</v>
      </c>
      <c r="F375" t="s">
        <v>175</v>
      </c>
    </row>
    <row r="376" spans="1:6" x14ac:dyDescent="0.25">
      <c r="A376" t="s">
        <v>169</v>
      </c>
      <c r="B376" t="s">
        <v>170</v>
      </c>
      <c r="C376" t="s">
        <v>148</v>
      </c>
      <c r="D376">
        <v>2010</v>
      </c>
      <c r="E376">
        <v>12.547000000000001</v>
      </c>
      <c r="F376" t="s">
        <v>175</v>
      </c>
    </row>
    <row r="377" spans="1:6" x14ac:dyDescent="0.25">
      <c r="A377" t="s">
        <v>169</v>
      </c>
      <c r="B377" t="s">
        <v>170</v>
      </c>
      <c r="C377" t="s">
        <v>149</v>
      </c>
      <c r="D377">
        <v>2014</v>
      </c>
      <c r="E377">
        <v>0</v>
      </c>
      <c r="F377" t="s">
        <v>175</v>
      </c>
    </row>
    <row r="378" spans="1:6" x14ac:dyDescent="0.25">
      <c r="A378" t="s">
        <v>169</v>
      </c>
      <c r="B378" t="s">
        <v>170</v>
      </c>
      <c r="C378" t="s">
        <v>149</v>
      </c>
      <c r="D378">
        <v>2013</v>
      </c>
      <c r="E378">
        <v>0</v>
      </c>
      <c r="F378" t="s">
        <v>175</v>
      </c>
    </row>
    <row r="379" spans="1:6" x14ac:dyDescent="0.25">
      <c r="A379" t="s">
        <v>169</v>
      </c>
      <c r="B379" t="s">
        <v>170</v>
      </c>
      <c r="C379" t="s">
        <v>149</v>
      </c>
      <c r="D379">
        <v>2012</v>
      </c>
      <c r="E379">
        <v>0</v>
      </c>
      <c r="F379" t="s">
        <v>175</v>
      </c>
    </row>
    <row r="380" spans="1:6" x14ac:dyDescent="0.25">
      <c r="A380" t="s">
        <v>169</v>
      </c>
      <c r="B380" t="s">
        <v>170</v>
      </c>
      <c r="C380" t="s">
        <v>149</v>
      </c>
      <c r="D380">
        <v>2011</v>
      </c>
      <c r="E380">
        <v>0</v>
      </c>
      <c r="F380" t="s">
        <v>175</v>
      </c>
    </row>
    <row r="381" spans="1:6" x14ac:dyDescent="0.25">
      <c r="A381" t="s">
        <v>169</v>
      </c>
      <c r="B381" t="s">
        <v>170</v>
      </c>
      <c r="C381" t="s">
        <v>149</v>
      </c>
      <c r="D381">
        <v>2010</v>
      </c>
      <c r="E381">
        <v>0</v>
      </c>
      <c r="F381" t="s">
        <v>175</v>
      </c>
    </row>
    <row r="382" spans="1:6" x14ac:dyDescent="0.25">
      <c r="A382" t="s">
        <v>169</v>
      </c>
      <c r="B382" t="s">
        <v>170</v>
      </c>
      <c r="C382" t="s">
        <v>121</v>
      </c>
      <c r="D382">
        <v>2014</v>
      </c>
      <c r="E382">
        <v>0.57699999999999996</v>
      </c>
      <c r="F382" t="s">
        <v>176</v>
      </c>
    </row>
    <row r="383" spans="1:6" x14ac:dyDescent="0.25">
      <c r="A383" t="s">
        <v>169</v>
      </c>
      <c r="B383" t="s">
        <v>170</v>
      </c>
      <c r="C383" t="s">
        <v>121</v>
      </c>
      <c r="D383">
        <v>2013</v>
      </c>
      <c r="E383">
        <v>0</v>
      </c>
      <c r="F383" t="s">
        <v>176</v>
      </c>
    </row>
    <row r="384" spans="1:6" x14ac:dyDescent="0.25">
      <c r="A384" t="s">
        <v>169</v>
      </c>
      <c r="B384" t="s">
        <v>170</v>
      </c>
      <c r="C384" t="s">
        <v>121</v>
      </c>
      <c r="D384">
        <v>2012</v>
      </c>
      <c r="E384">
        <v>0</v>
      </c>
      <c r="F384" t="s">
        <v>176</v>
      </c>
    </row>
    <row r="385" spans="1:6" x14ac:dyDescent="0.25">
      <c r="A385" t="s">
        <v>169</v>
      </c>
      <c r="B385" t="s">
        <v>170</v>
      </c>
      <c r="C385" t="s">
        <v>121</v>
      </c>
      <c r="D385">
        <v>2011</v>
      </c>
      <c r="E385">
        <v>0</v>
      </c>
      <c r="F385" t="s">
        <v>176</v>
      </c>
    </row>
    <row r="386" spans="1:6" x14ac:dyDescent="0.25">
      <c r="A386" t="s">
        <v>169</v>
      </c>
      <c r="B386" t="s">
        <v>170</v>
      </c>
      <c r="C386" t="s">
        <v>121</v>
      </c>
      <c r="D386">
        <v>2010</v>
      </c>
      <c r="E386">
        <v>0</v>
      </c>
      <c r="F386" t="s">
        <v>176</v>
      </c>
    </row>
    <row r="387" spans="1:6" x14ac:dyDescent="0.25">
      <c r="A387" t="s">
        <v>169</v>
      </c>
      <c r="B387" t="s">
        <v>170</v>
      </c>
      <c r="C387" t="s">
        <v>122</v>
      </c>
      <c r="D387">
        <v>2014</v>
      </c>
      <c r="E387">
        <v>1.4470000000000001</v>
      </c>
      <c r="F387" t="s">
        <v>176</v>
      </c>
    </row>
    <row r="388" spans="1:6" x14ac:dyDescent="0.25">
      <c r="A388" t="s">
        <v>169</v>
      </c>
      <c r="B388" t="s">
        <v>170</v>
      </c>
      <c r="C388" t="s">
        <v>122</v>
      </c>
      <c r="D388">
        <v>2013</v>
      </c>
      <c r="E388">
        <v>1.363</v>
      </c>
      <c r="F388" t="s">
        <v>176</v>
      </c>
    </row>
    <row r="389" spans="1:6" x14ac:dyDescent="0.25">
      <c r="A389" t="s">
        <v>169</v>
      </c>
      <c r="B389" t="s">
        <v>170</v>
      </c>
      <c r="C389" t="s">
        <v>122</v>
      </c>
      <c r="D389">
        <v>2012</v>
      </c>
      <c r="E389">
        <v>1.4430000000000001</v>
      </c>
      <c r="F389" t="s">
        <v>176</v>
      </c>
    </row>
    <row r="390" spans="1:6" x14ac:dyDescent="0.25">
      <c r="A390" t="s">
        <v>169</v>
      </c>
      <c r="B390" t="s">
        <v>170</v>
      </c>
      <c r="C390" t="s">
        <v>122</v>
      </c>
      <c r="D390">
        <v>2011</v>
      </c>
      <c r="E390">
        <v>1.1220000000000001</v>
      </c>
      <c r="F390" t="s">
        <v>176</v>
      </c>
    </row>
    <row r="391" spans="1:6" x14ac:dyDescent="0.25">
      <c r="A391" t="s">
        <v>169</v>
      </c>
      <c r="B391" t="s">
        <v>170</v>
      </c>
      <c r="C391" t="s">
        <v>122</v>
      </c>
      <c r="D391">
        <v>2010</v>
      </c>
      <c r="E391">
        <v>1.4830000000000001</v>
      </c>
      <c r="F391" t="s">
        <v>176</v>
      </c>
    </row>
    <row r="392" spans="1:6" x14ac:dyDescent="0.25">
      <c r="A392" t="s">
        <v>169</v>
      </c>
      <c r="B392" t="s">
        <v>170</v>
      </c>
      <c r="C392" t="s">
        <v>123</v>
      </c>
      <c r="D392">
        <v>2014</v>
      </c>
      <c r="E392">
        <v>0</v>
      </c>
      <c r="F392" t="s">
        <v>176</v>
      </c>
    </row>
    <row r="393" spans="1:6" x14ac:dyDescent="0.25">
      <c r="A393" t="s">
        <v>169</v>
      </c>
      <c r="B393" t="s">
        <v>170</v>
      </c>
      <c r="C393" t="s">
        <v>123</v>
      </c>
      <c r="D393">
        <v>2013</v>
      </c>
      <c r="E393">
        <v>0</v>
      </c>
      <c r="F393" t="s">
        <v>176</v>
      </c>
    </row>
    <row r="394" spans="1:6" x14ac:dyDescent="0.25">
      <c r="A394" t="s">
        <v>169</v>
      </c>
      <c r="B394" t="s">
        <v>170</v>
      </c>
      <c r="C394" t="s">
        <v>123</v>
      </c>
      <c r="D394">
        <v>2012</v>
      </c>
      <c r="E394">
        <v>0</v>
      </c>
      <c r="F394" t="s">
        <v>176</v>
      </c>
    </row>
    <row r="395" spans="1:6" x14ac:dyDescent="0.25">
      <c r="A395" t="s">
        <v>169</v>
      </c>
      <c r="B395" t="s">
        <v>170</v>
      </c>
      <c r="C395" t="s">
        <v>123</v>
      </c>
      <c r="D395">
        <v>2011</v>
      </c>
      <c r="E395">
        <v>0</v>
      </c>
      <c r="F395" t="s">
        <v>176</v>
      </c>
    </row>
    <row r="396" spans="1:6" x14ac:dyDescent="0.25">
      <c r="A396" t="s">
        <v>169</v>
      </c>
      <c r="B396" t="s">
        <v>170</v>
      </c>
      <c r="C396" t="s">
        <v>123</v>
      </c>
      <c r="D396">
        <v>2010</v>
      </c>
      <c r="E396">
        <v>0</v>
      </c>
      <c r="F396" t="s">
        <v>176</v>
      </c>
    </row>
    <row r="397" spans="1:6" x14ac:dyDescent="0.25">
      <c r="A397" t="s">
        <v>169</v>
      </c>
      <c r="B397" t="s">
        <v>170</v>
      </c>
      <c r="C397" t="s">
        <v>124</v>
      </c>
      <c r="D397">
        <v>2014</v>
      </c>
      <c r="E397">
        <v>0.26500000000000001</v>
      </c>
      <c r="F397" t="s">
        <v>176</v>
      </c>
    </row>
    <row r="398" spans="1:6" x14ac:dyDescent="0.25">
      <c r="A398" t="s">
        <v>169</v>
      </c>
      <c r="B398" t="s">
        <v>170</v>
      </c>
      <c r="C398" t="s">
        <v>124</v>
      </c>
      <c r="D398">
        <v>2013</v>
      </c>
      <c r="E398">
        <v>0.157</v>
      </c>
      <c r="F398" t="s">
        <v>176</v>
      </c>
    </row>
    <row r="399" spans="1:6" x14ac:dyDescent="0.25">
      <c r="A399" t="s">
        <v>169</v>
      </c>
      <c r="B399" t="s">
        <v>170</v>
      </c>
      <c r="C399" t="s">
        <v>124</v>
      </c>
      <c r="D399">
        <v>2012</v>
      </c>
      <c r="E399">
        <v>0.27700000000000002</v>
      </c>
      <c r="F399" t="s">
        <v>176</v>
      </c>
    </row>
    <row r="400" spans="1:6" x14ac:dyDescent="0.25">
      <c r="A400" t="s">
        <v>169</v>
      </c>
      <c r="B400" t="s">
        <v>170</v>
      </c>
      <c r="C400" t="s">
        <v>124</v>
      </c>
      <c r="D400">
        <v>2011</v>
      </c>
      <c r="E400">
        <v>0.45500000000000002</v>
      </c>
      <c r="F400" t="s">
        <v>176</v>
      </c>
    </row>
    <row r="401" spans="1:6" x14ac:dyDescent="0.25">
      <c r="A401" t="s">
        <v>169</v>
      </c>
      <c r="B401" t="s">
        <v>170</v>
      </c>
      <c r="C401" t="s">
        <v>124</v>
      </c>
      <c r="D401">
        <v>2010</v>
      </c>
      <c r="E401">
        <v>0.59299999999999997</v>
      </c>
      <c r="F401" t="s">
        <v>176</v>
      </c>
    </row>
    <row r="402" spans="1:6" x14ac:dyDescent="0.25">
      <c r="A402" t="s">
        <v>169</v>
      </c>
      <c r="B402" t="s">
        <v>170</v>
      </c>
      <c r="C402" t="s">
        <v>160</v>
      </c>
      <c r="D402">
        <v>2014</v>
      </c>
      <c r="E402">
        <v>0</v>
      </c>
      <c r="F402" t="s">
        <v>176</v>
      </c>
    </row>
    <row r="403" spans="1:6" x14ac:dyDescent="0.25">
      <c r="A403" t="s">
        <v>169</v>
      </c>
      <c r="B403" t="s">
        <v>170</v>
      </c>
      <c r="C403" t="s">
        <v>160</v>
      </c>
      <c r="D403">
        <v>2013</v>
      </c>
      <c r="E403">
        <v>0</v>
      </c>
      <c r="F403" t="s">
        <v>176</v>
      </c>
    </row>
    <row r="404" spans="1:6" x14ac:dyDescent="0.25">
      <c r="A404" t="s">
        <v>169</v>
      </c>
      <c r="B404" t="s">
        <v>170</v>
      </c>
      <c r="C404" t="s">
        <v>160</v>
      </c>
      <c r="D404">
        <v>2012</v>
      </c>
      <c r="E404">
        <v>0</v>
      </c>
      <c r="F404" t="s">
        <v>176</v>
      </c>
    </row>
    <row r="405" spans="1:6" x14ac:dyDescent="0.25">
      <c r="A405" t="s">
        <v>169</v>
      </c>
      <c r="B405" t="s">
        <v>170</v>
      </c>
      <c r="C405" t="s">
        <v>160</v>
      </c>
      <c r="D405">
        <v>2011</v>
      </c>
      <c r="E405">
        <v>0</v>
      </c>
      <c r="F405" t="s">
        <v>176</v>
      </c>
    </row>
    <row r="406" spans="1:6" x14ac:dyDescent="0.25">
      <c r="A406" t="s">
        <v>169</v>
      </c>
      <c r="B406" t="s">
        <v>170</v>
      </c>
      <c r="C406" t="s">
        <v>160</v>
      </c>
      <c r="D406">
        <v>2010</v>
      </c>
      <c r="E406">
        <v>0</v>
      </c>
      <c r="F406" t="s">
        <v>176</v>
      </c>
    </row>
    <row r="407" spans="1:6" x14ac:dyDescent="0.25">
      <c r="A407" t="s">
        <v>169</v>
      </c>
      <c r="B407" t="s">
        <v>170</v>
      </c>
      <c r="C407" t="s">
        <v>125</v>
      </c>
      <c r="D407">
        <v>2014</v>
      </c>
      <c r="E407">
        <v>0.16</v>
      </c>
      <c r="F407" t="s">
        <v>176</v>
      </c>
    </row>
    <row r="408" spans="1:6" x14ac:dyDescent="0.25">
      <c r="A408" t="s">
        <v>169</v>
      </c>
      <c r="B408" t="s">
        <v>170</v>
      </c>
      <c r="C408" t="s">
        <v>125</v>
      </c>
      <c r="D408">
        <v>2013</v>
      </c>
      <c r="E408">
        <v>0.36599999999999999</v>
      </c>
      <c r="F408" t="s">
        <v>176</v>
      </c>
    </row>
    <row r="409" spans="1:6" x14ac:dyDescent="0.25">
      <c r="A409" t="s">
        <v>169</v>
      </c>
      <c r="B409" t="s">
        <v>170</v>
      </c>
      <c r="C409" t="s">
        <v>125</v>
      </c>
      <c r="D409">
        <v>2012</v>
      </c>
      <c r="E409">
        <v>0.48299999999999998</v>
      </c>
      <c r="F409" t="s">
        <v>176</v>
      </c>
    </row>
    <row r="410" spans="1:6" x14ac:dyDescent="0.25">
      <c r="A410" t="s">
        <v>169</v>
      </c>
      <c r="B410" t="s">
        <v>170</v>
      </c>
      <c r="C410" t="s">
        <v>125</v>
      </c>
      <c r="D410">
        <v>2011</v>
      </c>
      <c r="E410">
        <v>0.52</v>
      </c>
      <c r="F410" t="s">
        <v>176</v>
      </c>
    </row>
    <row r="411" spans="1:6" x14ac:dyDescent="0.25">
      <c r="A411" t="s">
        <v>169</v>
      </c>
      <c r="B411" t="s">
        <v>170</v>
      </c>
      <c r="C411" t="s">
        <v>125</v>
      </c>
      <c r="D411">
        <v>2010</v>
      </c>
      <c r="E411">
        <v>0.88600000000000001</v>
      </c>
      <c r="F411" t="s">
        <v>176</v>
      </c>
    </row>
    <row r="412" spans="1:6" x14ac:dyDescent="0.25">
      <c r="A412" t="s">
        <v>169</v>
      </c>
      <c r="B412" t="s">
        <v>170</v>
      </c>
      <c r="C412" t="s">
        <v>126</v>
      </c>
      <c r="D412">
        <v>2014</v>
      </c>
      <c r="E412">
        <v>4.7080000000000002</v>
      </c>
      <c r="F412" t="s">
        <v>176</v>
      </c>
    </row>
    <row r="413" spans="1:6" x14ac:dyDescent="0.25">
      <c r="A413" t="s">
        <v>169</v>
      </c>
      <c r="B413" t="s">
        <v>170</v>
      </c>
      <c r="C413" t="s">
        <v>126</v>
      </c>
      <c r="D413">
        <v>2013</v>
      </c>
      <c r="E413">
        <v>5.7229999999999999</v>
      </c>
      <c r="F413" t="s">
        <v>176</v>
      </c>
    </row>
    <row r="414" spans="1:6" x14ac:dyDescent="0.25">
      <c r="A414" t="s">
        <v>169</v>
      </c>
      <c r="B414" t="s">
        <v>170</v>
      </c>
      <c r="C414" t="s">
        <v>126</v>
      </c>
      <c r="D414">
        <v>2012</v>
      </c>
      <c r="E414">
        <v>7.6689999999999996</v>
      </c>
      <c r="F414" t="s">
        <v>176</v>
      </c>
    </row>
    <row r="415" spans="1:6" x14ac:dyDescent="0.25">
      <c r="A415" t="s">
        <v>169</v>
      </c>
      <c r="B415" t="s">
        <v>170</v>
      </c>
      <c r="C415" t="s">
        <v>126</v>
      </c>
      <c r="D415">
        <v>2011</v>
      </c>
      <c r="E415">
        <v>5.3659999999999997</v>
      </c>
      <c r="F415" t="s">
        <v>176</v>
      </c>
    </row>
    <row r="416" spans="1:6" x14ac:dyDescent="0.25">
      <c r="A416" t="s">
        <v>169</v>
      </c>
      <c r="B416" t="s">
        <v>170</v>
      </c>
      <c r="C416" t="s">
        <v>126</v>
      </c>
      <c r="D416">
        <v>2010</v>
      </c>
      <c r="E416">
        <v>7.8150000000000004</v>
      </c>
      <c r="F416" t="s">
        <v>176</v>
      </c>
    </row>
    <row r="417" spans="1:6" x14ac:dyDescent="0.25">
      <c r="A417" t="s">
        <v>169</v>
      </c>
      <c r="B417" t="s">
        <v>170</v>
      </c>
      <c r="C417" t="s">
        <v>127</v>
      </c>
      <c r="D417">
        <v>2014</v>
      </c>
      <c r="E417">
        <v>1.526</v>
      </c>
      <c r="F417" t="s">
        <v>176</v>
      </c>
    </row>
    <row r="418" spans="1:6" x14ac:dyDescent="0.25">
      <c r="A418" t="s">
        <v>169</v>
      </c>
      <c r="B418" t="s">
        <v>170</v>
      </c>
      <c r="C418" t="s">
        <v>127</v>
      </c>
      <c r="D418">
        <v>2013</v>
      </c>
      <c r="E418">
        <v>1.526</v>
      </c>
      <c r="F418" t="s">
        <v>176</v>
      </c>
    </row>
    <row r="419" spans="1:6" x14ac:dyDescent="0.25">
      <c r="A419" t="s">
        <v>169</v>
      </c>
      <c r="B419" t="s">
        <v>170</v>
      </c>
      <c r="C419" t="s">
        <v>127</v>
      </c>
      <c r="D419">
        <v>2012</v>
      </c>
      <c r="E419">
        <v>1.774</v>
      </c>
      <c r="F419" t="s">
        <v>176</v>
      </c>
    </row>
    <row r="420" spans="1:6" x14ac:dyDescent="0.25">
      <c r="A420" t="s">
        <v>169</v>
      </c>
      <c r="B420" t="s">
        <v>170</v>
      </c>
      <c r="C420" t="s">
        <v>127</v>
      </c>
      <c r="D420">
        <v>2011</v>
      </c>
      <c r="E420">
        <v>1.9</v>
      </c>
      <c r="F420" t="s">
        <v>176</v>
      </c>
    </row>
    <row r="421" spans="1:6" x14ac:dyDescent="0.25">
      <c r="A421" t="s">
        <v>169</v>
      </c>
      <c r="B421" t="s">
        <v>170</v>
      </c>
      <c r="C421" t="s">
        <v>127</v>
      </c>
      <c r="D421">
        <v>2010</v>
      </c>
      <c r="E421">
        <v>3.3330000000000002</v>
      </c>
      <c r="F421" t="s">
        <v>176</v>
      </c>
    </row>
    <row r="422" spans="1:6" x14ac:dyDescent="0.25">
      <c r="A422" t="s">
        <v>169</v>
      </c>
      <c r="B422" t="s">
        <v>170</v>
      </c>
      <c r="C422" t="s">
        <v>128</v>
      </c>
      <c r="D422">
        <v>2014</v>
      </c>
      <c r="E422">
        <v>0.52</v>
      </c>
      <c r="F422" t="s">
        <v>176</v>
      </c>
    </row>
    <row r="423" spans="1:6" x14ac:dyDescent="0.25">
      <c r="A423" t="s">
        <v>169</v>
      </c>
      <c r="B423" t="s">
        <v>170</v>
      </c>
      <c r="C423" t="s">
        <v>128</v>
      </c>
      <c r="D423">
        <v>2013</v>
      </c>
      <c r="E423">
        <v>0.64</v>
      </c>
      <c r="F423" t="s">
        <v>176</v>
      </c>
    </row>
    <row r="424" spans="1:6" x14ac:dyDescent="0.25">
      <c r="A424" t="s">
        <v>169</v>
      </c>
      <c r="B424" t="s">
        <v>170</v>
      </c>
      <c r="C424" t="s">
        <v>128</v>
      </c>
      <c r="D424">
        <v>2012</v>
      </c>
      <c r="E424">
        <v>1.3620000000000001</v>
      </c>
      <c r="F424" t="s">
        <v>176</v>
      </c>
    </row>
    <row r="425" spans="1:6" x14ac:dyDescent="0.25">
      <c r="A425" t="s">
        <v>169</v>
      </c>
      <c r="B425" t="s">
        <v>170</v>
      </c>
      <c r="C425" t="s">
        <v>128</v>
      </c>
      <c r="D425">
        <v>2011</v>
      </c>
      <c r="E425">
        <v>1.52</v>
      </c>
      <c r="F425" t="s">
        <v>176</v>
      </c>
    </row>
    <row r="426" spans="1:6" x14ac:dyDescent="0.25">
      <c r="A426" t="s">
        <v>169</v>
      </c>
      <c r="B426" t="s">
        <v>170</v>
      </c>
      <c r="C426" t="s">
        <v>128</v>
      </c>
      <c r="D426">
        <v>2010</v>
      </c>
      <c r="E426">
        <v>2.12</v>
      </c>
      <c r="F426" t="s">
        <v>176</v>
      </c>
    </row>
    <row r="427" spans="1:6" x14ac:dyDescent="0.25">
      <c r="A427" t="s">
        <v>169</v>
      </c>
      <c r="B427" t="s">
        <v>170</v>
      </c>
      <c r="C427" t="s">
        <v>161</v>
      </c>
      <c r="D427">
        <v>2014</v>
      </c>
      <c r="E427">
        <v>0</v>
      </c>
      <c r="F427" t="s">
        <v>176</v>
      </c>
    </row>
    <row r="428" spans="1:6" x14ac:dyDescent="0.25">
      <c r="A428" t="s">
        <v>169</v>
      </c>
      <c r="B428" t="s">
        <v>170</v>
      </c>
      <c r="C428" t="s">
        <v>161</v>
      </c>
      <c r="D428">
        <v>2013</v>
      </c>
      <c r="E428">
        <v>0</v>
      </c>
      <c r="F428" t="s">
        <v>176</v>
      </c>
    </row>
    <row r="429" spans="1:6" x14ac:dyDescent="0.25">
      <c r="A429" t="s">
        <v>169</v>
      </c>
      <c r="B429" t="s">
        <v>170</v>
      </c>
      <c r="C429" t="s">
        <v>161</v>
      </c>
      <c r="D429">
        <v>2012</v>
      </c>
      <c r="E429">
        <v>0</v>
      </c>
      <c r="F429" t="s">
        <v>176</v>
      </c>
    </row>
    <row r="430" spans="1:6" x14ac:dyDescent="0.25">
      <c r="A430" t="s">
        <v>169</v>
      </c>
      <c r="B430" t="s">
        <v>170</v>
      </c>
      <c r="C430" t="s">
        <v>161</v>
      </c>
      <c r="D430">
        <v>2011</v>
      </c>
      <c r="E430">
        <v>0</v>
      </c>
      <c r="F430" t="s">
        <v>176</v>
      </c>
    </row>
    <row r="431" spans="1:6" x14ac:dyDescent="0.25">
      <c r="A431" t="s">
        <v>169</v>
      </c>
      <c r="B431" t="s">
        <v>170</v>
      </c>
      <c r="C431" t="s">
        <v>161</v>
      </c>
      <c r="D431">
        <v>2010</v>
      </c>
      <c r="E431">
        <v>0</v>
      </c>
      <c r="F431" t="s">
        <v>176</v>
      </c>
    </row>
    <row r="432" spans="1:6" x14ac:dyDescent="0.25">
      <c r="A432" t="s">
        <v>169</v>
      </c>
      <c r="B432" t="s">
        <v>170</v>
      </c>
      <c r="C432" t="s">
        <v>162</v>
      </c>
      <c r="D432">
        <v>2014</v>
      </c>
      <c r="E432">
        <v>0</v>
      </c>
      <c r="F432" t="s">
        <v>176</v>
      </c>
    </row>
    <row r="433" spans="1:6" x14ac:dyDescent="0.25">
      <c r="A433" t="s">
        <v>169</v>
      </c>
      <c r="B433" t="s">
        <v>170</v>
      </c>
      <c r="C433" t="s">
        <v>162</v>
      </c>
      <c r="D433">
        <v>2013</v>
      </c>
      <c r="E433">
        <v>0</v>
      </c>
      <c r="F433" t="s">
        <v>176</v>
      </c>
    </row>
    <row r="434" spans="1:6" x14ac:dyDescent="0.25">
      <c r="A434" t="s">
        <v>169</v>
      </c>
      <c r="B434" t="s">
        <v>170</v>
      </c>
      <c r="C434" t="s">
        <v>162</v>
      </c>
      <c r="D434">
        <v>2012</v>
      </c>
      <c r="E434">
        <v>0</v>
      </c>
      <c r="F434" t="s">
        <v>176</v>
      </c>
    </row>
    <row r="435" spans="1:6" x14ac:dyDescent="0.25">
      <c r="A435" t="s">
        <v>169</v>
      </c>
      <c r="B435" t="s">
        <v>170</v>
      </c>
      <c r="C435" t="s">
        <v>162</v>
      </c>
      <c r="D435">
        <v>2011</v>
      </c>
      <c r="E435">
        <v>0</v>
      </c>
      <c r="F435" t="s">
        <v>176</v>
      </c>
    </row>
    <row r="436" spans="1:6" x14ac:dyDescent="0.25">
      <c r="A436" t="s">
        <v>169</v>
      </c>
      <c r="B436" t="s">
        <v>170</v>
      </c>
      <c r="C436" t="s">
        <v>162</v>
      </c>
      <c r="D436">
        <v>2010</v>
      </c>
      <c r="E436">
        <v>0</v>
      </c>
      <c r="F436" t="s">
        <v>176</v>
      </c>
    </row>
    <row r="437" spans="1:6" x14ac:dyDescent="0.25">
      <c r="A437" t="s">
        <v>169</v>
      </c>
      <c r="B437" t="s">
        <v>170</v>
      </c>
      <c r="C437" t="s">
        <v>129</v>
      </c>
      <c r="D437">
        <v>2014</v>
      </c>
      <c r="E437">
        <v>5.3230000000000004</v>
      </c>
      <c r="F437" t="s">
        <v>176</v>
      </c>
    </row>
    <row r="438" spans="1:6" x14ac:dyDescent="0.25">
      <c r="A438" t="s">
        <v>169</v>
      </c>
      <c r="B438" t="s">
        <v>170</v>
      </c>
      <c r="C438" t="s">
        <v>129</v>
      </c>
      <c r="D438">
        <v>2013</v>
      </c>
      <c r="E438">
        <v>5.8879999999999999</v>
      </c>
      <c r="F438" t="s">
        <v>176</v>
      </c>
    </row>
    <row r="439" spans="1:6" x14ac:dyDescent="0.25">
      <c r="A439" t="s">
        <v>169</v>
      </c>
      <c r="B439" t="s">
        <v>170</v>
      </c>
      <c r="C439" t="s">
        <v>129</v>
      </c>
      <c r="D439">
        <v>2012</v>
      </c>
      <c r="E439">
        <v>9.782</v>
      </c>
      <c r="F439" t="s">
        <v>176</v>
      </c>
    </row>
    <row r="440" spans="1:6" x14ac:dyDescent="0.25">
      <c r="A440" t="s">
        <v>169</v>
      </c>
      <c r="B440" t="s">
        <v>170</v>
      </c>
      <c r="C440" t="s">
        <v>129</v>
      </c>
      <c r="D440">
        <v>2011</v>
      </c>
      <c r="E440">
        <v>9.9730000000000008</v>
      </c>
      <c r="F440" t="s">
        <v>176</v>
      </c>
    </row>
    <row r="441" spans="1:6" x14ac:dyDescent="0.25">
      <c r="A441" t="s">
        <v>169</v>
      </c>
      <c r="B441" t="s">
        <v>170</v>
      </c>
      <c r="C441" t="s">
        <v>129</v>
      </c>
      <c r="D441">
        <v>2010</v>
      </c>
      <c r="E441">
        <v>13.125999999999999</v>
      </c>
      <c r="F441" t="s">
        <v>176</v>
      </c>
    </row>
    <row r="442" spans="1:6" x14ac:dyDescent="0.25">
      <c r="A442" t="s">
        <v>169</v>
      </c>
      <c r="B442" t="s">
        <v>170</v>
      </c>
      <c r="C442" t="s">
        <v>130</v>
      </c>
      <c r="D442">
        <v>2014</v>
      </c>
      <c r="E442">
        <v>2.6139999999999999</v>
      </c>
      <c r="F442" t="s">
        <v>176</v>
      </c>
    </row>
    <row r="443" spans="1:6" x14ac:dyDescent="0.25">
      <c r="A443" t="s">
        <v>169</v>
      </c>
      <c r="B443" t="s">
        <v>170</v>
      </c>
      <c r="C443" t="s">
        <v>130</v>
      </c>
      <c r="D443">
        <v>2013</v>
      </c>
      <c r="E443">
        <v>6.0650000000000004</v>
      </c>
      <c r="F443" t="s">
        <v>176</v>
      </c>
    </row>
    <row r="444" spans="1:6" x14ac:dyDescent="0.25">
      <c r="A444" t="s">
        <v>169</v>
      </c>
      <c r="B444" t="s">
        <v>170</v>
      </c>
      <c r="C444" t="s">
        <v>130</v>
      </c>
      <c r="D444">
        <v>2012</v>
      </c>
      <c r="E444">
        <v>5.9269999999999996</v>
      </c>
      <c r="F444" t="s">
        <v>176</v>
      </c>
    </row>
    <row r="445" spans="1:6" x14ac:dyDescent="0.25">
      <c r="A445" t="s">
        <v>169</v>
      </c>
      <c r="B445" t="s">
        <v>170</v>
      </c>
      <c r="C445" t="s">
        <v>130</v>
      </c>
      <c r="D445">
        <v>2011</v>
      </c>
      <c r="E445">
        <v>0</v>
      </c>
      <c r="F445" t="s">
        <v>176</v>
      </c>
    </row>
    <row r="446" spans="1:6" x14ac:dyDescent="0.25">
      <c r="A446" t="s">
        <v>169</v>
      </c>
      <c r="B446" t="s">
        <v>170</v>
      </c>
      <c r="C446" t="s">
        <v>130</v>
      </c>
      <c r="D446">
        <v>2010</v>
      </c>
      <c r="E446">
        <v>0</v>
      </c>
      <c r="F446" t="s">
        <v>176</v>
      </c>
    </row>
    <row r="447" spans="1:6" x14ac:dyDescent="0.25">
      <c r="A447" t="s">
        <v>169</v>
      </c>
      <c r="B447" t="s">
        <v>170</v>
      </c>
      <c r="C447" t="s">
        <v>131</v>
      </c>
      <c r="D447">
        <v>2014</v>
      </c>
      <c r="E447">
        <v>0.248</v>
      </c>
      <c r="F447" t="s">
        <v>176</v>
      </c>
    </row>
    <row r="448" spans="1:6" x14ac:dyDescent="0.25">
      <c r="A448" t="s">
        <v>169</v>
      </c>
      <c r="B448" t="s">
        <v>170</v>
      </c>
      <c r="C448" t="s">
        <v>131</v>
      </c>
      <c r="D448">
        <v>2013</v>
      </c>
      <c r="E448">
        <v>0.371</v>
      </c>
      <c r="F448" t="s">
        <v>176</v>
      </c>
    </row>
    <row r="449" spans="1:6" x14ac:dyDescent="0.25">
      <c r="A449" t="s">
        <v>169</v>
      </c>
      <c r="B449" t="s">
        <v>170</v>
      </c>
      <c r="C449" t="s">
        <v>131</v>
      </c>
      <c r="D449">
        <v>2012</v>
      </c>
      <c r="E449">
        <v>0.68799999999999994</v>
      </c>
      <c r="F449" t="s">
        <v>176</v>
      </c>
    </row>
    <row r="450" spans="1:6" x14ac:dyDescent="0.25">
      <c r="A450" t="s">
        <v>169</v>
      </c>
      <c r="B450" t="s">
        <v>170</v>
      </c>
      <c r="C450" t="s">
        <v>131</v>
      </c>
      <c r="D450">
        <v>2011</v>
      </c>
      <c r="E450">
        <v>1.1739999999999999</v>
      </c>
      <c r="F450" t="s">
        <v>176</v>
      </c>
    </row>
    <row r="451" spans="1:6" x14ac:dyDescent="0.25">
      <c r="A451" t="s">
        <v>169</v>
      </c>
      <c r="B451" t="s">
        <v>170</v>
      </c>
      <c r="C451" t="s">
        <v>131</v>
      </c>
      <c r="D451">
        <v>2010</v>
      </c>
      <c r="E451">
        <v>1.1339999999999999</v>
      </c>
      <c r="F451" t="s">
        <v>176</v>
      </c>
    </row>
    <row r="452" spans="1:6" x14ac:dyDescent="0.25">
      <c r="A452" t="s">
        <v>169</v>
      </c>
      <c r="B452" t="s">
        <v>170</v>
      </c>
      <c r="C452" t="s">
        <v>132</v>
      </c>
      <c r="D452">
        <v>2014</v>
      </c>
      <c r="E452">
        <v>0.17</v>
      </c>
      <c r="F452" t="s">
        <v>176</v>
      </c>
    </row>
    <row r="453" spans="1:6" x14ac:dyDescent="0.25">
      <c r="A453" t="s">
        <v>169</v>
      </c>
      <c r="B453" t="s">
        <v>170</v>
      </c>
      <c r="C453" t="s">
        <v>132</v>
      </c>
      <c r="D453">
        <v>2013</v>
      </c>
      <c r="E453">
        <v>0.20799999999999999</v>
      </c>
      <c r="F453" t="s">
        <v>176</v>
      </c>
    </row>
    <row r="454" spans="1:6" x14ac:dyDescent="0.25">
      <c r="A454" t="s">
        <v>169</v>
      </c>
      <c r="B454" t="s">
        <v>170</v>
      </c>
      <c r="C454" t="s">
        <v>132</v>
      </c>
      <c r="D454">
        <v>2012</v>
      </c>
      <c r="E454">
        <v>0.24</v>
      </c>
      <c r="F454" t="s">
        <v>176</v>
      </c>
    </row>
    <row r="455" spans="1:6" x14ac:dyDescent="0.25">
      <c r="A455" t="s">
        <v>169</v>
      </c>
      <c r="B455" t="s">
        <v>170</v>
      </c>
      <c r="C455" t="s">
        <v>132</v>
      </c>
      <c r="D455">
        <v>2011</v>
      </c>
      <c r="E455">
        <v>0.16</v>
      </c>
      <c r="F455" t="s">
        <v>176</v>
      </c>
    </row>
    <row r="456" spans="1:6" x14ac:dyDescent="0.25">
      <c r="A456" t="s">
        <v>169</v>
      </c>
      <c r="B456" t="s">
        <v>170</v>
      </c>
      <c r="C456" t="s">
        <v>132</v>
      </c>
      <c r="D456">
        <v>2010</v>
      </c>
      <c r="E456">
        <v>0.24</v>
      </c>
      <c r="F456" t="s">
        <v>176</v>
      </c>
    </row>
    <row r="457" spans="1:6" x14ac:dyDescent="0.25">
      <c r="A457" t="s">
        <v>169</v>
      </c>
      <c r="B457" t="s">
        <v>170</v>
      </c>
      <c r="C457" t="s">
        <v>163</v>
      </c>
      <c r="D457">
        <v>2014</v>
      </c>
      <c r="E457">
        <v>0</v>
      </c>
      <c r="F457" t="s">
        <v>176</v>
      </c>
    </row>
    <row r="458" spans="1:6" x14ac:dyDescent="0.25">
      <c r="A458" t="s">
        <v>169</v>
      </c>
      <c r="B458" t="s">
        <v>170</v>
      </c>
      <c r="C458" t="s">
        <v>163</v>
      </c>
      <c r="D458">
        <v>2013</v>
      </c>
      <c r="E458">
        <v>0</v>
      </c>
      <c r="F458" t="s">
        <v>176</v>
      </c>
    </row>
    <row r="459" spans="1:6" x14ac:dyDescent="0.25">
      <c r="A459" t="s">
        <v>169</v>
      </c>
      <c r="B459" t="s">
        <v>170</v>
      </c>
      <c r="C459" t="s">
        <v>163</v>
      </c>
      <c r="D459">
        <v>2012</v>
      </c>
      <c r="E459">
        <v>0</v>
      </c>
      <c r="F459" t="s">
        <v>176</v>
      </c>
    </row>
    <row r="460" spans="1:6" x14ac:dyDescent="0.25">
      <c r="A460" t="s">
        <v>169</v>
      </c>
      <c r="B460" t="s">
        <v>170</v>
      </c>
      <c r="C460" t="s">
        <v>163</v>
      </c>
      <c r="D460">
        <v>2011</v>
      </c>
      <c r="E460">
        <v>0</v>
      </c>
      <c r="F460" t="s">
        <v>176</v>
      </c>
    </row>
    <row r="461" spans="1:6" x14ac:dyDescent="0.25">
      <c r="A461" t="s">
        <v>169</v>
      </c>
      <c r="B461" t="s">
        <v>170</v>
      </c>
      <c r="C461" t="s">
        <v>163</v>
      </c>
      <c r="D461">
        <v>2010</v>
      </c>
      <c r="E461">
        <v>0</v>
      </c>
      <c r="F461" t="s">
        <v>176</v>
      </c>
    </row>
    <row r="462" spans="1:6" x14ac:dyDescent="0.25">
      <c r="A462" t="s">
        <v>169</v>
      </c>
      <c r="B462" t="s">
        <v>170</v>
      </c>
      <c r="C462" t="s">
        <v>133</v>
      </c>
      <c r="D462">
        <v>2014</v>
      </c>
      <c r="E462">
        <v>0</v>
      </c>
      <c r="F462" t="s">
        <v>176</v>
      </c>
    </row>
    <row r="463" spans="1:6" x14ac:dyDescent="0.25">
      <c r="A463" t="s">
        <v>169</v>
      </c>
      <c r="B463" t="s">
        <v>170</v>
      </c>
      <c r="C463" t="s">
        <v>133</v>
      </c>
      <c r="D463">
        <v>2013</v>
      </c>
      <c r="E463">
        <v>0</v>
      </c>
      <c r="F463" t="s">
        <v>176</v>
      </c>
    </row>
    <row r="464" spans="1:6" x14ac:dyDescent="0.25">
      <c r="A464" t="s">
        <v>169</v>
      </c>
      <c r="B464" t="s">
        <v>170</v>
      </c>
      <c r="C464" t="s">
        <v>133</v>
      </c>
      <c r="D464">
        <v>2012</v>
      </c>
      <c r="E464">
        <v>0</v>
      </c>
      <c r="F464" t="s">
        <v>176</v>
      </c>
    </row>
    <row r="465" spans="1:6" x14ac:dyDescent="0.25">
      <c r="A465" t="s">
        <v>169</v>
      </c>
      <c r="B465" t="s">
        <v>170</v>
      </c>
      <c r="C465" t="s">
        <v>133</v>
      </c>
      <c r="D465">
        <v>2011</v>
      </c>
      <c r="E465">
        <v>0</v>
      </c>
      <c r="F465" t="s">
        <v>176</v>
      </c>
    </row>
    <row r="466" spans="1:6" x14ac:dyDescent="0.25">
      <c r="A466" t="s">
        <v>169</v>
      </c>
      <c r="B466" t="s">
        <v>170</v>
      </c>
      <c r="C466" t="s">
        <v>133</v>
      </c>
      <c r="D466">
        <v>2010</v>
      </c>
      <c r="E466">
        <v>0</v>
      </c>
      <c r="F466" t="s">
        <v>176</v>
      </c>
    </row>
    <row r="467" spans="1:6" x14ac:dyDescent="0.25">
      <c r="A467" t="s">
        <v>169</v>
      </c>
      <c r="B467" t="s">
        <v>170</v>
      </c>
      <c r="C467" t="s">
        <v>134</v>
      </c>
      <c r="D467">
        <v>2014</v>
      </c>
      <c r="E467">
        <v>0</v>
      </c>
      <c r="F467" t="s">
        <v>176</v>
      </c>
    </row>
    <row r="468" spans="1:6" x14ac:dyDescent="0.25">
      <c r="A468" t="s">
        <v>169</v>
      </c>
      <c r="B468" t="s">
        <v>170</v>
      </c>
      <c r="C468" t="s">
        <v>134</v>
      </c>
      <c r="D468">
        <v>2013</v>
      </c>
      <c r="E468">
        <v>0</v>
      </c>
      <c r="F468" t="s">
        <v>176</v>
      </c>
    </row>
    <row r="469" spans="1:6" x14ac:dyDescent="0.25">
      <c r="A469" t="s">
        <v>169</v>
      </c>
      <c r="B469" t="s">
        <v>170</v>
      </c>
      <c r="C469" t="s">
        <v>134</v>
      </c>
      <c r="D469">
        <v>2012</v>
      </c>
      <c r="E469">
        <v>0</v>
      </c>
      <c r="F469" t="s">
        <v>176</v>
      </c>
    </row>
    <row r="470" spans="1:6" x14ac:dyDescent="0.25">
      <c r="A470" t="s">
        <v>169</v>
      </c>
      <c r="B470" t="s">
        <v>170</v>
      </c>
      <c r="C470" t="s">
        <v>134</v>
      </c>
      <c r="D470">
        <v>2011</v>
      </c>
      <c r="E470">
        <v>0</v>
      </c>
      <c r="F470" t="s">
        <v>176</v>
      </c>
    </row>
    <row r="471" spans="1:6" x14ac:dyDescent="0.25">
      <c r="A471" t="s">
        <v>169</v>
      </c>
      <c r="B471" t="s">
        <v>170</v>
      </c>
      <c r="C471" t="s">
        <v>134</v>
      </c>
      <c r="D471">
        <v>2010</v>
      </c>
      <c r="E471">
        <v>0</v>
      </c>
      <c r="F471" t="s">
        <v>176</v>
      </c>
    </row>
    <row r="472" spans="1:6" x14ac:dyDescent="0.25">
      <c r="A472" t="s">
        <v>169</v>
      </c>
      <c r="B472" t="s">
        <v>170</v>
      </c>
      <c r="C472" t="s">
        <v>135</v>
      </c>
      <c r="D472">
        <v>2014</v>
      </c>
      <c r="E472">
        <v>0.53600000000000003</v>
      </c>
      <c r="F472" t="s">
        <v>176</v>
      </c>
    </row>
    <row r="473" spans="1:6" x14ac:dyDescent="0.25">
      <c r="A473" t="s">
        <v>169</v>
      </c>
      <c r="B473" t="s">
        <v>170</v>
      </c>
      <c r="C473" t="s">
        <v>135</v>
      </c>
      <c r="D473">
        <v>2013</v>
      </c>
      <c r="E473">
        <v>0.496</v>
      </c>
      <c r="F473" t="s">
        <v>176</v>
      </c>
    </row>
    <row r="474" spans="1:6" x14ac:dyDescent="0.25">
      <c r="A474" t="s">
        <v>169</v>
      </c>
      <c r="B474" t="s">
        <v>170</v>
      </c>
      <c r="C474" t="s">
        <v>135</v>
      </c>
      <c r="D474">
        <v>2012</v>
      </c>
      <c r="E474">
        <v>0.65600000000000003</v>
      </c>
      <c r="F474" t="s">
        <v>176</v>
      </c>
    </row>
    <row r="475" spans="1:6" x14ac:dyDescent="0.25">
      <c r="A475" t="s">
        <v>169</v>
      </c>
      <c r="B475" t="s">
        <v>170</v>
      </c>
      <c r="C475" t="s">
        <v>135</v>
      </c>
      <c r="D475">
        <v>2011</v>
      </c>
      <c r="E475">
        <v>0.53600000000000003</v>
      </c>
      <c r="F475" t="s">
        <v>176</v>
      </c>
    </row>
    <row r="476" spans="1:6" x14ac:dyDescent="0.25">
      <c r="A476" t="s">
        <v>169</v>
      </c>
      <c r="B476" t="s">
        <v>170</v>
      </c>
      <c r="C476" t="s">
        <v>135</v>
      </c>
      <c r="D476">
        <v>2010</v>
      </c>
      <c r="E476">
        <v>0.81599999999999995</v>
      </c>
      <c r="F476" t="s">
        <v>176</v>
      </c>
    </row>
    <row r="477" spans="1:6" x14ac:dyDescent="0.25">
      <c r="A477" t="s">
        <v>169</v>
      </c>
      <c r="B477" t="s">
        <v>170</v>
      </c>
      <c r="C477" t="s">
        <v>136</v>
      </c>
      <c r="D477">
        <v>2014</v>
      </c>
      <c r="E477">
        <v>0</v>
      </c>
      <c r="F477" t="s">
        <v>176</v>
      </c>
    </row>
    <row r="478" spans="1:6" x14ac:dyDescent="0.25">
      <c r="A478" t="s">
        <v>169</v>
      </c>
      <c r="B478" t="s">
        <v>170</v>
      </c>
      <c r="C478" t="s">
        <v>136</v>
      </c>
      <c r="D478">
        <v>2013</v>
      </c>
      <c r="E478">
        <v>0</v>
      </c>
      <c r="F478" t="s">
        <v>176</v>
      </c>
    </row>
    <row r="479" spans="1:6" x14ac:dyDescent="0.25">
      <c r="A479" t="s">
        <v>169</v>
      </c>
      <c r="B479" t="s">
        <v>170</v>
      </c>
      <c r="C479" t="s">
        <v>136</v>
      </c>
      <c r="D479">
        <v>2012</v>
      </c>
      <c r="E479">
        <v>0</v>
      </c>
      <c r="F479" t="s">
        <v>176</v>
      </c>
    </row>
    <row r="480" spans="1:6" x14ac:dyDescent="0.25">
      <c r="A480" t="s">
        <v>169</v>
      </c>
      <c r="B480" t="s">
        <v>170</v>
      </c>
      <c r="C480" t="s">
        <v>136</v>
      </c>
      <c r="D480">
        <v>2011</v>
      </c>
      <c r="E480">
        <v>0</v>
      </c>
      <c r="F480" t="s">
        <v>176</v>
      </c>
    </row>
    <row r="481" spans="1:6" x14ac:dyDescent="0.25">
      <c r="A481" t="s">
        <v>169</v>
      </c>
      <c r="B481" t="s">
        <v>170</v>
      </c>
      <c r="C481" t="s">
        <v>136</v>
      </c>
      <c r="D481">
        <v>2010</v>
      </c>
      <c r="E481">
        <v>0</v>
      </c>
      <c r="F481" t="s">
        <v>176</v>
      </c>
    </row>
    <row r="482" spans="1:6" x14ac:dyDescent="0.25">
      <c r="A482" t="s">
        <v>169</v>
      </c>
      <c r="B482" t="s">
        <v>170</v>
      </c>
      <c r="C482" t="s">
        <v>137</v>
      </c>
      <c r="D482">
        <v>2014</v>
      </c>
      <c r="E482">
        <v>0</v>
      </c>
      <c r="F482" t="s">
        <v>176</v>
      </c>
    </row>
    <row r="483" spans="1:6" x14ac:dyDescent="0.25">
      <c r="A483" t="s">
        <v>169</v>
      </c>
      <c r="B483" t="s">
        <v>170</v>
      </c>
      <c r="C483" t="s">
        <v>137</v>
      </c>
      <c r="D483">
        <v>2013</v>
      </c>
      <c r="E483">
        <v>8.5000000000000006E-2</v>
      </c>
      <c r="F483" t="s">
        <v>176</v>
      </c>
    </row>
    <row r="484" spans="1:6" x14ac:dyDescent="0.25">
      <c r="A484" t="s">
        <v>169</v>
      </c>
      <c r="B484" t="s">
        <v>170</v>
      </c>
      <c r="C484" t="s">
        <v>137</v>
      </c>
      <c r="D484">
        <v>2012</v>
      </c>
      <c r="E484">
        <v>0.32700000000000001</v>
      </c>
      <c r="F484" t="s">
        <v>176</v>
      </c>
    </row>
    <row r="485" spans="1:6" x14ac:dyDescent="0.25">
      <c r="A485" t="s">
        <v>169</v>
      </c>
      <c r="B485" t="s">
        <v>170</v>
      </c>
      <c r="C485" t="s">
        <v>137</v>
      </c>
      <c r="D485">
        <v>2011</v>
      </c>
      <c r="E485">
        <v>0.40200000000000002</v>
      </c>
      <c r="F485" t="s">
        <v>176</v>
      </c>
    </row>
    <row r="486" spans="1:6" x14ac:dyDescent="0.25">
      <c r="A486" t="s">
        <v>169</v>
      </c>
      <c r="B486" t="s">
        <v>170</v>
      </c>
      <c r="C486" t="s">
        <v>137</v>
      </c>
      <c r="D486">
        <v>2010</v>
      </c>
      <c r="E486">
        <v>0.52</v>
      </c>
      <c r="F486" t="s">
        <v>176</v>
      </c>
    </row>
    <row r="487" spans="1:6" x14ac:dyDescent="0.25">
      <c r="A487" t="s">
        <v>169</v>
      </c>
      <c r="B487" t="s">
        <v>170</v>
      </c>
      <c r="C487" t="s">
        <v>138</v>
      </c>
      <c r="D487">
        <v>2014</v>
      </c>
      <c r="E487">
        <v>0</v>
      </c>
      <c r="F487" t="s">
        <v>176</v>
      </c>
    </row>
    <row r="488" spans="1:6" x14ac:dyDescent="0.25">
      <c r="A488" t="s">
        <v>169</v>
      </c>
      <c r="B488" t="s">
        <v>170</v>
      </c>
      <c r="C488" t="s">
        <v>138</v>
      </c>
      <c r="D488">
        <v>2013</v>
      </c>
      <c r="E488">
        <v>4.2999999999999997E-2</v>
      </c>
      <c r="F488" t="s">
        <v>176</v>
      </c>
    </row>
    <row r="489" spans="1:6" x14ac:dyDescent="0.25">
      <c r="A489" t="s">
        <v>169</v>
      </c>
      <c r="B489" t="s">
        <v>170</v>
      </c>
      <c r="C489" t="s">
        <v>138</v>
      </c>
      <c r="D489">
        <v>2012</v>
      </c>
      <c r="E489">
        <v>0.04</v>
      </c>
      <c r="F489" t="s">
        <v>176</v>
      </c>
    </row>
    <row r="490" spans="1:6" x14ac:dyDescent="0.25">
      <c r="A490" t="s">
        <v>169</v>
      </c>
      <c r="B490" t="s">
        <v>170</v>
      </c>
      <c r="C490" t="s">
        <v>138</v>
      </c>
      <c r="D490">
        <v>2011</v>
      </c>
      <c r="E490">
        <v>0.04</v>
      </c>
      <c r="F490" t="s">
        <v>176</v>
      </c>
    </row>
    <row r="491" spans="1:6" x14ac:dyDescent="0.25">
      <c r="A491" t="s">
        <v>169</v>
      </c>
      <c r="B491" t="s">
        <v>170</v>
      </c>
      <c r="C491" t="s">
        <v>138</v>
      </c>
      <c r="D491">
        <v>2010</v>
      </c>
      <c r="E491">
        <v>0.123</v>
      </c>
      <c r="F491" t="s">
        <v>176</v>
      </c>
    </row>
    <row r="492" spans="1:6" x14ac:dyDescent="0.25">
      <c r="A492" t="s">
        <v>169</v>
      </c>
      <c r="B492" t="s">
        <v>170</v>
      </c>
      <c r="C492" t="s">
        <v>164</v>
      </c>
      <c r="D492">
        <v>2014</v>
      </c>
      <c r="E492">
        <v>0</v>
      </c>
      <c r="F492" t="s">
        <v>176</v>
      </c>
    </row>
    <row r="493" spans="1:6" x14ac:dyDescent="0.25">
      <c r="A493" t="s">
        <v>169</v>
      </c>
      <c r="B493" t="s">
        <v>170</v>
      </c>
      <c r="C493" t="s">
        <v>164</v>
      </c>
      <c r="D493">
        <v>2013</v>
      </c>
      <c r="E493">
        <v>0</v>
      </c>
      <c r="F493" t="s">
        <v>176</v>
      </c>
    </row>
    <row r="494" spans="1:6" x14ac:dyDescent="0.25">
      <c r="A494" t="s">
        <v>169</v>
      </c>
      <c r="B494" t="s">
        <v>170</v>
      </c>
      <c r="C494" t="s">
        <v>164</v>
      </c>
      <c r="D494">
        <v>2012</v>
      </c>
      <c r="E494">
        <v>0</v>
      </c>
      <c r="F494" t="s">
        <v>176</v>
      </c>
    </row>
    <row r="495" spans="1:6" x14ac:dyDescent="0.25">
      <c r="A495" t="s">
        <v>169</v>
      </c>
      <c r="B495" t="s">
        <v>170</v>
      </c>
      <c r="C495" t="s">
        <v>164</v>
      </c>
      <c r="D495">
        <v>2011</v>
      </c>
      <c r="E495">
        <v>0</v>
      </c>
      <c r="F495" t="s">
        <v>176</v>
      </c>
    </row>
    <row r="496" spans="1:6" x14ac:dyDescent="0.25">
      <c r="A496" t="s">
        <v>169</v>
      </c>
      <c r="B496" t="s">
        <v>170</v>
      </c>
      <c r="C496" t="s">
        <v>164</v>
      </c>
      <c r="D496">
        <v>2010</v>
      </c>
      <c r="E496">
        <v>0</v>
      </c>
      <c r="F496" t="s">
        <v>176</v>
      </c>
    </row>
    <row r="497" spans="1:6" x14ac:dyDescent="0.25">
      <c r="A497" t="s">
        <v>169</v>
      </c>
      <c r="B497" t="s">
        <v>170</v>
      </c>
      <c r="C497" t="s">
        <v>139</v>
      </c>
      <c r="D497">
        <v>2014</v>
      </c>
      <c r="E497">
        <v>0</v>
      </c>
      <c r="F497" t="s">
        <v>176</v>
      </c>
    </row>
    <row r="498" spans="1:6" x14ac:dyDescent="0.25">
      <c r="A498" t="s">
        <v>169</v>
      </c>
      <c r="B498" t="s">
        <v>170</v>
      </c>
      <c r="C498" t="s">
        <v>139</v>
      </c>
      <c r="D498">
        <v>2013</v>
      </c>
      <c r="E498">
        <v>0.08</v>
      </c>
      <c r="F498" t="s">
        <v>176</v>
      </c>
    </row>
    <row r="499" spans="1:6" x14ac:dyDescent="0.25">
      <c r="A499" t="s">
        <v>169</v>
      </c>
      <c r="B499" t="s">
        <v>170</v>
      </c>
      <c r="C499" t="s">
        <v>139</v>
      </c>
      <c r="D499">
        <v>2012</v>
      </c>
      <c r="E499">
        <v>0.68</v>
      </c>
      <c r="F499" t="s">
        <v>176</v>
      </c>
    </row>
    <row r="500" spans="1:6" x14ac:dyDescent="0.25">
      <c r="A500" t="s">
        <v>169</v>
      </c>
      <c r="B500" t="s">
        <v>170</v>
      </c>
      <c r="C500" t="s">
        <v>139</v>
      </c>
      <c r="D500">
        <v>2011</v>
      </c>
      <c r="E500">
        <v>0.72</v>
      </c>
      <c r="F500" t="s">
        <v>176</v>
      </c>
    </row>
    <row r="501" spans="1:6" x14ac:dyDescent="0.25">
      <c r="A501" t="s">
        <v>169</v>
      </c>
      <c r="B501" t="s">
        <v>170</v>
      </c>
      <c r="C501" t="s">
        <v>139</v>
      </c>
      <c r="D501">
        <v>2010</v>
      </c>
      <c r="E501">
        <v>1.643</v>
      </c>
      <c r="F501" t="s">
        <v>176</v>
      </c>
    </row>
    <row r="502" spans="1:6" x14ac:dyDescent="0.25">
      <c r="A502" t="s">
        <v>169</v>
      </c>
      <c r="B502" t="s">
        <v>170</v>
      </c>
      <c r="C502" t="s">
        <v>165</v>
      </c>
      <c r="D502">
        <v>2014</v>
      </c>
      <c r="E502">
        <v>0</v>
      </c>
      <c r="F502" t="s">
        <v>176</v>
      </c>
    </row>
    <row r="503" spans="1:6" x14ac:dyDescent="0.25">
      <c r="A503" t="s">
        <v>169</v>
      </c>
      <c r="B503" t="s">
        <v>170</v>
      </c>
      <c r="C503" t="s">
        <v>165</v>
      </c>
      <c r="D503">
        <v>2013</v>
      </c>
      <c r="E503">
        <v>0</v>
      </c>
      <c r="F503" t="s">
        <v>176</v>
      </c>
    </row>
    <row r="504" spans="1:6" x14ac:dyDescent="0.25">
      <c r="A504" t="s">
        <v>169</v>
      </c>
      <c r="B504" t="s">
        <v>170</v>
      </c>
      <c r="C504" t="s">
        <v>165</v>
      </c>
      <c r="D504">
        <v>2012</v>
      </c>
      <c r="E504">
        <v>0</v>
      </c>
      <c r="F504" t="s">
        <v>176</v>
      </c>
    </row>
    <row r="505" spans="1:6" x14ac:dyDescent="0.25">
      <c r="A505" t="s">
        <v>169</v>
      </c>
      <c r="B505" t="s">
        <v>170</v>
      </c>
      <c r="C505" t="s">
        <v>165</v>
      </c>
      <c r="D505">
        <v>2011</v>
      </c>
      <c r="E505">
        <v>0</v>
      </c>
      <c r="F505" t="s">
        <v>176</v>
      </c>
    </row>
    <row r="506" spans="1:6" x14ac:dyDescent="0.25">
      <c r="A506" t="s">
        <v>169</v>
      </c>
      <c r="B506" t="s">
        <v>170</v>
      </c>
      <c r="C506" t="s">
        <v>165</v>
      </c>
      <c r="D506">
        <v>2010</v>
      </c>
      <c r="E506">
        <v>0</v>
      </c>
      <c r="F506" t="s">
        <v>176</v>
      </c>
    </row>
    <row r="507" spans="1:6" x14ac:dyDescent="0.25">
      <c r="A507" t="s">
        <v>169</v>
      </c>
      <c r="B507" t="s">
        <v>170</v>
      </c>
      <c r="C507" t="s">
        <v>140</v>
      </c>
      <c r="D507">
        <v>2014</v>
      </c>
      <c r="E507">
        <v>18.484999999999999</v>
      </c>
      <c r="F507" t="s">
        <v>176</v>
      </c>
    </row>
    <row r="508" spans="1:6" x14ac:dyDescent="0.25">
      <c r="A508" t="s">
        <v>169</v>
      </c>
      <c r="B508" t="s">
        <v>170</v>
      </c>
      <c r="C508" t="s">
        <v>140</v>
      </c>
      <c r="D508">
        <v>2013</v>
      </c>
      <c r="E508">
        <v>11.118</v>
      </c>
      <c r="F508" t="s">
        <v>176</v>
      </c>
    </row>
    <row r="509" spans="1:6" x14ac:dyDescent="0.25">
      <c r="A509" t="s">
        <v>169</v>
      </c>
      <c r="B509" t="s">
        <v>170</v>
      </c>
      <c r="C509" t="s">
        <v>140</v>
      </c>
      <c r="D509">
        <v>2012</v>
      </c>
      <c r="E509">
        <v>10.621</v>
      </c>
      <c r="F509" t="s">
        <v>176</v>
      </c>
    </row>
    <row r="510" spans="1:6" x14ac:dyDescent="0.25">
      <c r="A510" t="s">
        <v>169</v>
      </c>
      <c r="B510" t="s">
        <v>170</v>
      </c>
      <c r="C510" t="s">
        <v>140</v>
      </c>
      <c r="D510">
        <v>2011</v>
      </c>
      <c r="E510">
        <v>10.666</v>
      </c>
      <c r="F510" t="s">
        <v>176</v>
      </c>
    </row>
    <row r="511" spans="1:6" x14ac:dyDescent="0.25">
      <c r="A511" t="s">
        <v>169</v>
      </c>
      <c r="B511" t="s">
        <v>170</v>
      </c>
      <c r="C511" t="s">
        <v>140</v>
      </c>
      <c r="D511">
        <v>2010</v>
      </c>
      <c r="E511">
        <v>10.936999999999999</v>
      </c>
      <c r="F511" t="s">
        <v>176</v>
      </c>
    </row>
    <row r="512" spans="1:6" x14ac:dyDescent="0.25">
      <c r="A512" t="s">
        <v>169</v>
      </c>
      <c r="B512" t="s">
        <v>170</v>
      </c>
      <c r="C512" t="s">
        <v>141</v>
      </c>
      <c r="D512">
        <v>2014</v>
      </c>
      <c r="E512">
        <v>0.48599999999999999</v>
      </c>
      <c r="F512" t="s">
        <v>176</v>
      </c>
    </row>
    <row r="513" spans="1:6" x14ac:dyDescent="0.25">
      <c r="A513" t="s">
        <v>169</v>
      </c>
      <c r="B513" t="s">
        <v>170</v>
      </c>
      <c r="C513" t="s">
        <v>141</v>
      </c>
      <c r="D513">
        <v>2013</v>
      </c>
      <c r="E513">
        <v>0.83699999999999997</v>
      </c>
      <c r="F513" t="s">
        <v>176</v>
      </c>
    </row>
    <row r="514" spans="1:6" x14ac:dyDescent="0.25">
      <c r="A514" t="s">
        <v>169</v>
      </c>
      <c r="B514" t="s">
        <v>170</v>
      </c>
      <c r="C514" t="s">
        <v>141</v>
      </c>
      <c r="D514">
        <v>2012</v>
      </c>
      <c r="E514">
        <v>1.3149999999999999</v>
      </c>
      <c r="F514" t="s">
        <v>176</v>
      </c>
    </row>
    <row r="515" spans="1:6" x14ac:dyDescent="0.25">
      <c r="A515" t="s">
        <v>169</v>
      </c>
      <c r="B515" t="s">
        <v>170</v>
      </c>
      <c r="C515" t="s">
        <v>141</v>
      </c>
      <c r="D515">
        <v>2011</v>
      </c>
      <c r="E515">
        <v>4.5629999999999997</v>
      </c>
      <c r="F515" t="s">
        <v>176</v>
      </c>
    </row>
    <row r="516" spans="1:6" x14ac:dyDescent="0.25">
      <c r="A516" t="s">
        <v>169</v>
      </c>
      <c r="B516" t="s">
        <v>170</v>
      </c>
      <c r="C516" t="s">
        <v>141</v>
      </c>
      <c r="D516">
        <v>2010</v>
      </c>
      <c r="E516">
        <v>3.3420000000000001</v>
      </c>
      <c r="F516" t="s">
        <v>176</v>
      </c>
    </row>
    <row r="517" spans="1:6" x14ac:dyDescent="0.25">
      <c r="A517" t="s">
        <v>169</v>
      </c>
      <c r="B517" t="s">
        <v>170</v>
      </c>
      <c r="C517" t="s">
        <v>142</v>
      </c>
      <c r="D517">
        <v>2014</v>
      </c>
      <c r="E517">
        <v>0.753</v>
      </c>
      <c r="F517" t="s">
        <v>176</v>
      </c>
    </row>
    <row r="518" spans="1:6" x14ac:dyDescent="0.25">
      <c r="A518" t="s">
        <v>169</v>
      </c>
      <c r="B518" t="s">
        <v>170</v>
      </c>
      <c r="C518" t="s">
        <v>142</v>
      </c>
      <c r="D518">
        <v>2013</v>
      </c>
      <c r="E518">
        <v>0.753</v>
      </c>
      <c r="F518" t="s">
        <v>176</v>
      </c>
    </row>
    <row r="519" spans="1:6" x14ac:dyDescent="0.25">
      <c r="A519" t="s">
        <v>169</v>
      </c>
      <c r="B519" t="s">
        <v>170</v>
      </c>
      <c r="C519" t="s">
        <v>142</v>
      </c>
      <c r="D519">
        <v>2012</v>
      </c>
      <c r="E519">
        <v>1.341</v>
      </c>
      <c r="F519" t="s">
        <v>176</v>
      </c>
    </row>
    <row r="520" spans="1:6" x14ac:dyDescent="0.25">
      <c r="A520" t="s">
        <v>169</v>
      </c>
      <c r="B520" t="s">
        <v>170</v>
      </c>
      <c r="C520" t="s">
        <v>142</v>
      </c>
      <c r="D520">
        <v>2011</v>
      </c>
      <c r="E520">
        <v>1.03</v>
      </c>
      <c r="F520" t="s">
        <v>176</v>
      </c>
    </row>
    <row r="521" spans="1:6" x14ac:dyDescent="0.25">
      <c r="A521" t="s">
        <v>169</v>
      </c>
      <c r="B521" t="s">
        <v>170</v>
      </c>
      <c r="C521" t="s">
        <v>142</v>
      </c>
      <c r="D521">
        <v>2010</v>
      </c>
      <c r="E521">
        <v>1.583</v>
      </c>
      <c r="F521" t="s">
        <v>176</v>
      </c>
    </row>
    <row r="522" spans="1:6" x14ac:dyDescent="0.25">
      <c r="A522" t="s">
        <v>169</v>
      </c>
      <c r="B522" t="s">
        <v>170</v>
      </c>
      <c r="C522" t="s">
        <v>166</v>
      </c>
      <c r="D522">
        <v>2014</v>
      </c>
      <c r="E522">
        <v>0</v>
      </c>
      <c r="F522" t="s">
        <v>176</v>
      </c>
    </row>
    <row r="523" spans="1:6" x14ac:dyDescent="0.25">
      <c r="A523" t="s">
        <v>169</v>
      </c>
      <c r="B523" t="s">
        <v>170</v>
      </c>
      <c r="C523" t="s">
        <v>166</v>
      </c>
      <c r="D523">
        <v>2013</v>
      </c>
      <c r="E523">
        <v>0</v>
      </c>
      <c r="F523" t="s">
        <v>176</v>
      </c>
    </row>
    <row r="524" spans="1:6" x14ac:dyDescent="0.25">
      <c r="A524" t="s">
        <v>169</v>
      </c>
      <c r="B524" t="s">
        <v>170</v>
      </c>
      <c r="C524" t="s">
        <v>166</v>
      </c>
      <c r="D524">
        <v>2012</v>
      </c>
      <c r="E524">
        <v>0</v>
      </c>
      <c r="F524" t="s">
        <v>176</v>
      </c>
    </row>
    <row r="525" spans="1:6" x14ac:dyDescent="0.25">
      <c r="A525" t="s">
        <v>169</v>
      </c>
      <c r="B525" t="s">
        <v>170</v>
      </c>
      <c r="C525" t="s">
        <v>166</v>
      </c>
      <c r="D525">
        <v>2011</v>
      </c>
      <c r="E525">
        <v>0</v>
      </c>
      <c r="F525" t="s">
        <v>176</v>
      </c>
    </row>
    <row r="526" spans="1:6" x14ac:dyDescent="0.25">
      <c r="A526" t="s">
        <v>169</v>
      </c>
      <c r="B526" t="s">
        <v>170</v>
      </c>
      <c r="C526" t="s">
        <v>166</v>
      </c>
      <c r="D526">
        <v>2010</v>
      </c>
      <c r="E526">
        <v>0</v>
      </c>
      <c r="F526" t="s">
        <v>176</v>
      </c>
    </row>
    <row r="527" spans="1:6" x14ac:dyDescent="0.25">
      <c r="A527" t="s">
        <v>169</v>
      </c>
      <c r="B527" t="s">
        <v>170</v>
      </c>
      <c r="C527" t="s">
        <v>143</v>
      </c>
      <c r="D527">
        <v>2014</v>
      </c>
      <c r="E527">
        <v>2.6389999999999998</v>
      </c>
      <c r="F527" t="s">
        <v>176</v>
      </c>
    </row>
    <row r="528" spans="1:6" x14ac:dyDescent="0.25">
      <c r="A528" t="s">
        <v>169</v>
      </c>
      <c r="B528" t="s">
        <v>170</v>
      </c>
      <c r="C528" t="s">
        <v>143</v>
      </c>
      <c r="D528">
        <v>2013</v>
      </c>
      <c r="E528">
        <v>2.6709999999999998</v>
      </c>
      <c r="F528" t="s">
        <v>176</v>
      </c>
    </row>
    <row r="529" spans="1:6" x14ac:dyDescent="0.25">
      <c r="A529" t="s">
        <v>169</v>
      </c>
      <c r="B529" t="s">
        <v>170</v>
      </c>
      <c r="C529" t="s">
        <v>143</v>
      </c>
      <c r="D529">
        <v>2012</v>
      </c>
      <c r="E529">
        <v>3.45</v>
      </c>
      <c r="F529" t="s">
        <v>176</v>
      </c>
    </row>
    <row r="530" spans="1:6" x14ac:dyDescent="0.25">
      <c r="A530" t="s">
        <v>169</v>
      </c>
      <c r="B530" t="s">
        <v>170</v>
      </c>
      <c r="C530" t="s">
        <v>143</v>
      </c>
      <c r="D530">
        <v>2011</v>
      </c>
      <c r="E530">
        <v>3.3519999999999999</v>
      </c>
      <c r="F530" t="s">
        <v>176</v>
      </c>
    </row>
    <row r="531" spans="1:6" x14ac:dyDescent="0.25">
      <c r="A531" t="s">
        <v>169</v>
      </c>
      <c r="B531" t="s">
        <v>170</v>
      </c>
      <c r="C531" t="s">
        <v>143</v>
      </c>
      <c r="D531">
        <v>2010</v>
      </c>
      <c r="E531">
        <v>3.9550000000000001</v>
      </c>
      <c r="F531" t="s">
        <v>176</v>
      </c>
    </row>
    <row r="532" spans="1:6" x14ac:dyDescent="0.25">
      <c r="A532" t="s">
        <v>169</v>
      </c>
      <c r="B532" t="s">
        <v>170</v>
      </c>
      <c r="C532" t="s">
        <v>144</v>
      </c>
      <c r="D532">
        <v>2014</v>
      </c>
      <c r="E532">
        <v>4.242</v>
      </c>
      <c r="F532" t="s">
        <v>176</v>
      </c>
    </row>
    <row r="533" spans="1:6" x14ac:dyDescent="0.25">
      <c r="A533" t="s">
        <v>169</v>
      </c>
      <c r="B533" t="s">
        <v>170</v>
      </c>
      <c r="C533" t="s">
        <v>144</v>
      </c>
      <c r="D533">
        <v>2013</v>
      </c>
      <c r="E533">
        <v>4.9820000000000002</v>
      </c>
      <c r="F533" t="s">
        <v>176</v>
      </c>
    </row>
    <row r="534" spans="1:6" x14ac:dyDescent="0.25">
      <c r="A534" t="s">
        <v>169</v>
      </c>
      <c r="B534" t="s">
        <v>170</v>
      </c>
      <c r="C534" t="s">
        <v>144</v>
      </c>
      <c r="D534">
        <v>2012</v>
      </c>
      <c r="E534">
        <v>4.3319999999999999</v>
      </c>
      <c r="F534" t="s">
        <v>176</v>
      </c>
    </row>
    <row r="535" spans="1:6" x14ac:dyDescent="0.25">
      <c r="A535" t="s">
        <v>169</v>
      </c>
      <c r="B535" t="s">
        <v>170</v>
      </c>
      <c r="C535" t="s">
        <v>144</v>
      </c>
      <c r="D535">
        <v>2011</v>
      </c>
      <c r="E535">
        <v>5.766</v>
      </c>
      <c r="F535" t="s">
        <v>176</v>
      </c>
    </row>
    <row r="536" spans="1:6" x14ac:dyDescent="0.25">
      <c r="A536" t="s">
        <v>169</v>
      </c>
      <c r="B536" t="s">
        <v>170</v>
      </c>
      <c r="C536" t="s">
        <v>144</v>
      </c>
      <c r="D536">
        <v>2010</v>
      </c>
      <c r="E536">
        <v>6.4669999999999996</v>
      </c>
      <c r="F536" t="s">
        <v>176</v>
      </c>
    </row>
    <row r="537" spans="1:6" x14ac:dyDescent="0.25">
      <c r="A537" t="s">
        <v>169</v>
      </c>
      <c r="B537" t="s">
        <v>170</v>
      </c>
      <c r="C537" t="s">
        <v>145</v>
      </c>
      <c r="D537">
        <v>2014</v>
      </c>
      <c r="E537">
        <v>1.4239999999999999</v>
      </c>
      <c r="F537" t="s">
        <v>176</v>
      </c>
    </row>
    <row r="538" spans="1:6" x14ac:dyDescent="0.25">
      <c r="A538" t="s">
        <v>169</v>
      </c>
      <c r="B538" t="s">
        <v>170</v>
      </c>
      <c r="C538" t="s">
        <v>145</v>
      </c>
      <c r="D538">
        <v>2013</v>
      </c>
      <c r="E538">
        <v>2.4220000000000002</v>
      </c>
      <c r="F538" t="s">
        <v>176</v>
      </c>
    </row>
    <row r="539" spans="1:6" x14ac:dyDescent="0.25">
      <c r="A539" t="s">
        <v>169</v>
      </c>
      <c r="B539" t="s">
        <v>170</v>
      </c>
      <c r="C539" t="s">
        <v>145</v>
      </c>
      <c r="D539">
        <v>2012</v>
      </c>
      <c r="E539">
        <v>3.214</v>
      </c>
      <c r="F539" t="s">
        <v>176</v>
      </c>
    </row>
    <row r="540" spans="1:6" x14ac:dyDescent="0.25">
      <c r="A540" t="s">
        <v>169</v>
      </c>
      <c r="B540" t="s">
        <v>170</v>
      </c>
      <c r="C540" t="s">
        <v>145</v>
      </c>
      <c r="D540">
        <v>2011</v>
      </c>
      <c r="E540">
        <v>3.831</v>
      </c>
      <c r="F540" t="s">
        <v>176</v>
      </c>
    </row>
    <row r="541" spans="1:6" x14ac:dyDescent="0.25">
      <c r="A541" t="s">
        <v>169</v>
      </c>
      <c r="B541" t="s">
        <v>170</v>
      </c>
      <c r="C541" t="s">
        <v>145</v>
      </c>
      <c r="D541">
        <v>2010</v>
      </c>
      <c r="E541">
        <v>7.9770000000000003</v>
      </c>
      <c r="F541" t="s">
        <v>176</v>
      </c>
    </row>
    <row r="542" spans="1:6" x14ac:dyDescent="0.25">
      <c r="A542" t="s">
        <v>169</v>
      </c>
      <c r="B542" t="s">
        <v>170</v>
      </c>
      <c r="C542" t="s">
        <v>146</v>
      </c>
      <c r="D542">
        <v>2014</v>
      </c>
      <c r="E542">
        <v>0.248</v>
      </c>
      <c r="F542" t="s">
        <v>176</v>
      </c>
    </row>
    <row r="543" spans="1:6" x14ac:dyDescent="0.25">
      <c r="A543" t="s">
        <v>169</v>
      </c>
      <c r="B543" t="s">
        <v>170</v>
      </c>
      <c r="C543" t="s">
        <v>146</v>
      </c>
      <c r="D543">
        <v>2013</v>
      </c>
      <c r="E543">
        <v>0.25</v>
      </c>
      <c r="F543" t="s">
        <v>176</v>
      </c>
    </row>
    <row r="544" spans="1:6" x14ac:dyDescent="0.25">
      <c r="A544" t="s">
        <v>169</v>
      </c>
      <c r="B544" t="s">
        <v>170</v>
      </c>
      <c r="C544" t="s">
        <v>146</v>
      </c>
      <c r="D544">
        <v>2012</v>
      </c>
      <c r="E544">
        <v>0.21299999999999999</v>
      </c>
      <c r="F544" t="s">
        <v>176</v>
      </c>
    </row>
    <row r="545" spans="1:6" x14ac:dyDescent="0.25">
      <c r="A545" t="s">
        <v>169</v>
      </c>
      <c r="B545" t="s">
        <v>170</v>
      </c>
      <c r="C545" t="s">
        <v>146</v>
      </c>
      <c r="D545">
        <v>2011</v>
      </c>
      <c r="E545">
        <v>0.17</v>
      </c>
      <c r="F545" t="s">
        <v>176</v>
      </c>
    </row>
    <row r="546" spans="1:6" x14ac:dyDescent="0.25">
      <c r="A546" t="s">
        <v>169</v>
      </c>
      <c r="B546" t="s">
        <v>170</v>
      </c>
      <c r="C546" t="s">
        <v>146</v>
      </c>
      <c r="D546">
        <v>2010</v>
      </c>
      <c r="E546">
        <v>0.17</v>
      </c>
      <c r="F546" t="s">
        <v>176</v>
      </c>
    </row>
    <row r="547" spans="1:6" x14ac:dyDescent="0.25">
      <c r="A547" t="s">
        <v>169</v>
      </c>
      <c r="B547" t="s">
        <v>170</v>
      </c>
      <c r="C547" t="s">
        <v>147</v>
      </c>
      <c r="D547">
        <v>2014</v>
      </c>
      <c r="E547">
        <v>0</v>
      </c>
      <c r="F547" t="s">
        <v>176</v>
      </c>
    </row>
    <row r="548" spans="1:6" x14ac:dyDescent="0.25">
      <c r="A548" t="s">
        <v>169</v>
      </c>
      <c r="B548" t="s">
        <v>170</v>
      </c>
      <c r="C548" t="s">
        <v>147</v>
      </c>
      <c r="D548">
        <v>2013</v>
      </c>
      <c r="E548">
        <v>0</v>
      </c>
      <c r="F548" t="s">
        <v>176</v>
      </c>
    </row>
    <row r="549" spans="1:6" x14ac:dyDescent="0.25">
      <c r="A549" t="s">
        <v>169</v>
      </c>
      <c r="B549" t="s">
        <v>170</v>
      </c>
      <c r="C549" t="s">
        <v>147</v>
      </c>
      <c r="D549">
        <v>2012</v>
      </c>
      <c r="E549">
        <v>0.04</v>
      </c>
      <c r="F549" t="s">
        <v>176</v>
      </c>
    </row>
    <row r="550" spans="1:6" x14ac:dyDescent="0.25">
      <c r="A550" t="s">
        <v>169</v>
      </c>
      <c r="B550" t="s">
        <v>170</v>
      </c>
      <c r="C550" t="s">
        <v>147</v>
      </c>
      <c r="D550">
        <v>2011</v>
      </c>
      <c r="E550">
        <v>0</v>
      </c>
      <c r="F550" t="s">
        <v>176</v>
      </c>
    </row>
    <row r="551" spans="1:6" x14ac:dyDescent="0.25">
      <c r="A551" t="s">
        <v>169</v>
      </c>
      <c r="B551" t="s">
        <v>170</v>
      </c>
      <c r="C551" t="s">
        <v>147</v>
      </c>
      <c r="D551">
        <v>2010</v>
      </c>
      <c r="E551">
        <v>0</v>
      </c>
      <c r="F551" t="s">
        <v>176</v>
      </c>
    </row>
    <row r="552" spans="1:6" x14ac:dyDescent="0.25">
      <c r="A552" t="s">
        <v>169</v>
      </c>
      <c r="B552" t="s">
        <v>170</v>
      </c>
      <c r="C552" t="s">
        <v>167</v>
      </c>
      <c r="D552">
        <v>2014</v>
      </c>
      <c r="E552">
        <v>0</v>
      </c>
      <c r="F552" t="s">
        <v>176</v>
      </c>
    </row>
    <row r="553" spans="1:6" x14ac:dyDescent="0.25">
      <c r="A553" t="s">
        <v>169</v>
      </c>
      <c r="B553" t="s">
        <v>170</v>
      </c>
      <c r="C553" t="s">
        <v>167</v>
      </c>
      <c r="D553">
        <v>2013</v>
      </c>
      <c r="E553">
        <v>0</v>
      </c>
      <c r="F553" t="s">
        <v>176</v>
      </c>
    </row>
    <row r="554" spans="1:6" x14ac:dyDescent="0.25">
      <c r="A554" t="s">
        <v>169</v>
      </c>
      <c r="B554" t="s">
        <v>170</v>
      </c>
      <c r="C554" t="s">
        <v>167</v>
      </c>
      <c r="D554">
        <v>2012</v>
      </c>
      <c r="E554">
        <v>0</v>
      </c>
      <c r="F554" t="s">
        <v>176</v>
      </c>
    </row>
    <row r="555" spans="1:6" x14ac:dyDescent="0.25">
      <c r="A555" t="s">
        <v>169</v>
      </c>
      <c r="B555" t="s">
        <v>170</v>
      </c>
      <c r="C555" t="s">
        <v>167</v>
      </c>
      <c r="D555">
        <v>2011</v>
      </c>
      <c r="E555">
        <v>0</v>
      </c>
      <c r="F555" t="s">
        <v>176</v>
      </c>
    </row>
    <row r="556" spans="1:6" x14ac:dyDescent="0.25">
      <c r="A556" t="s">
        <v>169</v>
      </c>
      <c r="B556" t="s">
        <v>170</v>
      </c>
      <c r="C556" t="s">
        <v>167</v>
      </c>
      <c r="D556">
        <v>2010</v>
      </c>
      <c r="E556">
        <v>0</v>
      </c>
      <c r="F556" t="s">
        <v>176</v>
      </c>
    </row>
    <row r="557" spans="1:6" x14ac:dyDescent="0.25">
      <c r="A557" t="s">
        <v>169</v>
      </c>
      <c r="B557" t="s">
        <v>170</v>
      </c>
      <c r="C557" t="s">
        <v>168</v>
      </c>
      <c r="D557">
        <v>2014</v>
      </c>
      <c r="E557">
        <v>3.5640000000000001</v>
      </c>
      <c r="F557" t="s">
        <v>176</v>
      </c>
    </row>
    <row r="558" spans="1:6" x14ac:dyDescent="0.25">
      <c r="A558" t="s">
        <v>169</v>
      </c>
      <c r="B558" t="s">
        <v>170</v>
      </c>
      <c r="C558" t="s">
        <v>168</v>
      </c>
      <c r="D558">
        <v>2013</v>
      </c>
      <c r="E558">
        <v>5.9720000000000004</v>
      </c>
      <c r="F558" t="s">
        <v>176</v>
      </c>
    </row>
    <row r="559" spans="1:6" x14ac:dyDescent="0.25">
      <c r="A559" t="s">
        <v>169</v>
      </c>
      <c r="B559" t="s">
        <v>170</v>
      </c>
      <c r="C559" t="s">
        <v>168</v>
      </c>
      <c r="D559">
        <v>2012</v>
      </c>
      <c r="E559">
        <v>3.89</v>
      </c>
      <c r="F559" t="s">
        <v>176</v>
      </c>
    </row>
    <row r="560" spans="1:6" x14ac:dyDescent="0.25">
      <c r="A560" t="s">
        <v>169</v>
      </c>
      <c r="B560" t="s">
        <v>170</v>
      </c>
      <c r="C560" t="s">
        <v>168</v>
      </c>
      <c r="D560">
        <v>2011</v>
      </c>
      <c r="E560">
        <v>3.93</v>
      </c>
      <c r="F560" t="s">
        <v>176</v>
      </c>
    </row>
    <row r="561" spans="1:6" x14ac:dyDescent="0.25">
      <c r="A561" t="s">
        <v>169</v>
      </c>
      <c r="B561" t="s">
        <v>170</v>
      </c>
      <c r="C561" t="s">
        <v>168</v>
      </c>
      <c r="D561">
        <v>2010</v>
      </c>
      <c r="E561">
        <v>4.1760000000000002</v>
      </c>
      <c r="F561" t="s">
        <v>176</v>
      </c>
    </row>
    <row r="562" spans="1:6" x14ac:dyDescent="0.25">
      <c r="A562" t="s">
        <v>169</v>
      </c>
      <c r="B562" t="s">
        <v>170</v>
      </c>
      <c r="C562" t="s">
        <v>148</v>
      </c>
      <c r="D562">
        <v>2014</v>
      </c>
      <c r="E562">
        <v>2.8</v>
      </c>
      <c r="F562" t="s">
        <v>176</v>
      </c>
    </row>
    <row r="563" spans="1:6" x14ac:dyDescent="0.25">
      <c r="A563" t="s">
        <v>169</v>
      </c>
      <c r="B563" t="s">
        <v>170</v>
      </c>
      <c r="C563" t="s">
        <v>148</v>
      </c>
      <c r="D563">
        <v>2013</v>
      </c>
      <c r="E563">
        <v>2.6589999999999998</v>
      </c>
      <c r="F563" t="s">
        <v>176</v>
      </c>
    </row>
    <row r="564" spans="1:6" x14ac:dyDescent="0.25">
      <c r="A564" t="s">
        <v>169</v>
      </c>
      <c r="B564" t="s">
        <v>170</v>
      </c>
      <c r="C564" t="s">
        <v>148</v>
      </c>
      <c r="D564">
        <v>2012</v>
      </c>
      <c r="E564">
        <v>3.1219999999999999</v>
      </c>
      <c r="F564" t="s">
        <v>176</v>
      </c>
    </row>
    <row r="565" spans="1:6" x14ac:dyDescent="0.25">
      <c r="A565" t="s">
        <v>169</v>
      </c>
      <c r="B565" t="s">
        <v>170</v>
      </c>
      <c r="C565" t="s">
        <v>148</v>
      </c>
      <c r="D565">
        <v>2011</v>
      </c>
      <c r="E565">
        <v>2.9340000000000002</v>
      </c>
      <c r="F565" t="s">
        <v>176</v>
      </c>
    </row>
    <row r="566" spans="1:6" x14ac:dyDescent="0.25">
      <c r="A566" t="s">
        <v>169</v>
      </c>
      <c r="B566" t="s">
        <v>170</v>
      </c>
      <c r="C566" t="s">
        <v>148</v>
      </c>
      <c r="D566">
        <v>2010</v>
      </c>
      <c r="E566">
        <v>2.5219999999999998</v>
      </c>
      <c r="F566" t="s">
        <v>176</v>
      </c>
    </row>
    <row r="567" spans="1:6" x14ac:dyDescent="0.25">
      <c r="A567" t="s">
        <v>169</v>
      </c>
      <c r="B567" t="s">
        <v>170</v>
      </c>
      <c r="C567" t="s">
        <v>149</v>
      </c>
      <c r="D567">
        <v>2014</v>
      </c>
      <c r="E567">
        <v>0.12</v>
      </c>
      <c r="F567" t="s">
        <v>176</v>
      </c>
    </row>
    <row r="568" spans="1:6" x14ac:dyDescent="0.25">
      <c r="A568" t="s">
        <v>169</v>
      </c>
      <c r="B568" t="s">
        <v>170</v>
      </c>
      <c r="C568" t="s">
        <v>149</v>
      </c>
      <c r="D568">
        <v>2013</v>
      </c>
      <c r="E568">
        <v>0.24</v>
      </c>
      <c r="F568" t="s">
        <v>176</v>
      </c>
    </row>
    <row r="569" spans="1:6" x14ac:dyDescent="0.25">
      <c r="A569" t="s">
        <v>169</v>
      </c>
      <c r="B569" t="s">
        <v>170</v>
      </c>
      <c r="C569" t="s">
        <v>149</v>
      </c>
      <c r="D569">
        <v>2012</v>
      </c>
      <c r="E569">
        <v>0.24</v>
      </c>
      <c r="F569" t="s">
        <v>176</v>
      </c>
    </row>
    <row r="570" spans="1:6" x14ac:dyDescent="0.25">
      <c r="A570" t="s">
        <v>169</v>
      </c>
      <c r="B570" t="s">
        <v>170</v>
      </c>
      <c r="C570" t="s">
        <v>149</v>
      </c>
      <c r="D570">
        <v>2011</v>
      </c>
      <c r="E570">
        <v>0.2</v>
      </c>
      <c r="F570" t="s">
        <v>176</v>
      </c>
    </row>
    <row r="571" spans="1:6" x14ac:dyDescent="0.25">
      <c r="A571" t="s">
        <v>169</v>
      </c>
      <c r="B571" t="s">
        <v>170</v>
      </c>
      <c r="C571" t="s">
        <v>149</v>
      </c>
      <c r="D571">
        <v>2010</v>
      </c>
      <c r="E571">
        <v>0.28000000000000003</v>
      </c>
      <c r="F571" t="s">
        <v>176</v>
      </c>
    </row>
    <row r="572" spans="1:6" x14ac:dyDescent="0.25">
      <c r="A572" t="s">
        <v>169</v>
      </c>
      <c r="B572" t="s">
        <v>170</v>
      </c>
      <c r="C572" t="s">
        <v>121</v>
      </c>
      <c r="D572">
        <v>2014</v>
      </c>
      <c r="E572">
        <v>0</v>
      </c>
      <c r="F572" t="s">
        <v>174</v>
      </c>
    </row>
    <row r="573" spans="1:6" x14ac:dyDescent="0.25">
      <c r="A573" t="s">
        <v>169</v>
      </c>
      <c r="B573" t="s">
        <v>170</v>
      </c>
      <c r="C573" t="s">
        <v>121</v>
      </c>
      <c r="D573">
        <v>2013</v>
      </c>
      <c r="E573">
        <v>0</v>
      </c>
      <c r="F573" t="s">
        <v>174</v>
      </c>
    </row>
    <row r="574" spans="1:6" x14ac:dyDescent="0.25">
      <c r="A574" t="s">
        <v>169</v>
      </c>
      <c r="B574" t="s">
        <v>170</v>
      </c>
      <c r="C574" t="s">
        <v>121</v>
      </c>
      <c r="D574">
        <v>2012</v>
      </c>
      <c r="E574">
        <v>0</v>
      </c>
      <c r="F574" t="s">
        <v>174</v>
      </c>
    </row>
    <row r="575" spans="1:6" x14ac:dyDescent="0.25">
      <c r="A575" t="s">
        <v>169</v>
      </c>
      <c r="B575" t="s">
        <v>170</v>
      </c>
      <c r="C575" t="s">
        <v>121</v>
      </c>
      <c r="D575">
        <v>2011</v>
      </c>
      <c r="E575">
        <v>0</v>
      </c>
      <c r="F575" t="s">
        <v>174</v>
      </c>
    </row>
    <row r="576" spans="1:6" x14ac:dyDescent="0.25">
      <c r="A576" t="s">
        <v>169</v>
      </c>
      <c r="B576" t="s">
        <v>170</v>
      </c>
      <c r="C576" t="s">
        <v>121</v>
      </c>
      <c r="D576">
        <v>2010</v>
      </c>
      <c r="E576">
        <v>0</v>
      </c>
      <c r="F576" t="s">
        <v>174</v>
      </c>
    </row>
    <row r="577" spans="1:6" x14ac:dyDescent="0.25">
      <c r="A577" t="s">
        <v>169</v>
      </c>
      <c r="B577" t="s">
        <v>170</v>
      </c>
      <c r="C577" t="s">
        <v>122</v>
      </c>
      <c r="D577">
        <v>2014</v>
      </c>
      <c r="E577">
        <v>13.916</v>
      </c>
      <c r="F577" t="s">
        <v>174</v>
      </c>
    </row>
    <row r="578" spans="1:6" x14ac:dyDescent="0.25">
      <c r="A578" t="s">
        <v>169</v>
      </c>
      <c r="B578" t="s">
        <v>170</v>
      </c>
      <c r="C578" t="s">
        <v>122</v>
      </c>
      <c r="D578">
        <v>2013</v>
      </c>
      <c r="E578">
        <v>14.837</v>
      </c>
      <c r="F578" t="s">
        <v>174</v>
      </c>
    </row>
    <row r="579" spans="1:6" x14ac:dyDescent="0.25">
      <c r="A579" t="s">
        <v>169</v>
      </c>
      <c r="B579" t="s">
        <v>170</v>
      </c>
      <c r="C579" t="s">
        <v>122</v>
      </c>
      <c r="D579">
        <v>2012</v>
      </c>
      <c r="E579">
        <v>12.077999999999999</v>
      </c>
      <c r="F579" t="s">
        <v>174</v>
      </c>
    </row>
    <row r="580" spans="1:6" x14ac:dyDescent="0.25">
      <c r="A580" t="s">
        <v>169</v>
      </c>
      <c r="B580" t="s">
        <v>170</v>
      </c>
      <c r="C580" t="s">
        <v>122</v>
      </c>
      <c r="D580">
        <v>2011</v>
      </c>
      <c r="E580">
        <v>10.75</v>
      </c>
      <c r="F580" t="s">
        <v>174</v>
      </c>
    </row>
    <row r="581" spans="1:6" x14ac:dyDescent="0.25">
      <c r="A581" t="s">
        <v>169</v>
      </c>
      <c r="B581" t="s">
        <v>170</v>
      </c>
      <c r="C581" t="s">
        <v>122</v>
      </c>
      <c r="D581">
        <v>2010</v>
      </c>
      <c r="E581">
        <v>10.228999999999999</v>
      </c>
      <c r="F581" t="s">
        <v>174</v>
      </c>
    </row>
    <row r="582" spans="1:6" x14ac:dyDescent="0.25">
      <c r="A582" t="s">
        <v>169</v>
      </c>
      <c r="B582" t="s">
        <v>170</v>
      </c>
      <c r="C582" t="s">
        <v>123</v>
      </c>
      <c r="D582">
        <v>2014</v>
      </c>
      <c r="E582">
        <v>0.155</v>
      </c>
      <c r="F582" t="s">
        <v>174</v>
      </c>
    </row>
    <row r="583" spans="1:6" x14ac:dyDescent="0.25">
      <c r="A583" t="s">
        <v>169</v>
      </c>
      <c r="B583" t="s">
        <v>170</v>
      </c>
      <c r="C583" t="s">
        <v>123</v>
      </c>
      <c r="D583">
        <v>2013</v>
      </c>
      <c r="E583">
        <v>7.4999999999999997E-2</v>
      </c>
      <c r="F583" t="s">
        <v>174</v>
      </c>
    </row>
    <row r="584" spans="1:6" x14ac:dyDescent="0.25">
      <c r="A584" t="s">
        <v>169</v>
      </c>
      <c r="B584" t="s">
        <v>170</v>
      </c>
      <c r="C584" t="s">
        <v>123</v>
      </c>
      <c r="D584">
        <v>2012</v>
      </c>
      <c r="E584">
        <v>0.12</v>
      </c>
      <c r="F584" t="s">
        <v>174</v>
      </c>
    </row>
    <row r="585" spans="1:6" x14ac:dyDescent="0.25">
      <c r="A585" t="s">
        <v>169</v>
      </c>
      <c r="B585" t="s">
        <v>170</v>
      </c>
      <c r="C585" t="s">
        <v>123</v>
      </c>
      <c r="D585">
        <v>2011</v>
      </c>
      <c r="E585">
        <v>0.78300000000000003</v>
      </c>
      <c r="F585" t="s">
        <v>174</v>
      </c>
    </row>
    <row r="586" spans="1:6" x14ac:dyDescent="0.25">
      <c r="A586" t="s">
        <v>169</v>
      </c>
      <c r="B586" t="s">
        <v>170</v>
      </c>
      <c r="C586" t="s">
        <v>123</v>
      </c>
      <c r="D586">
        <v>2010</v>
      </c>
      <c r="E586">
        <v>0.08</v>
      </c>
      <c r="F586" t="s">
        <v>174</v>
      </c>
    </row>
    <row r="587" spans="1:6" x14ac:dyDescent="0.25">
      <c r="A587" t="s">
        <v>169</v>
      </c>
      <c r="B587" t="s">
        <v>170</v>
      </c>
      <c r="C587" t="s">
        <v>124</v>
      </c>
      <c r="D587">
        <v>2014</v>
      </c>
      <c r="E587">
        <v>7.141</v>
      </c>
      <c r="F587" t="s">
        <v>174</v>
      </c>
    </row>
    <row r="588" spans="1:6" x14ac:dyDescent="0.25">
      <c r="A588" t="s">
        <v>169</v>
      </c>
      <c r="B588" t="s">
        <v>170</v>
      </c>
      <c r="C588" t="s">
        <v>124</v>
      </c>
      <c r="D588">
        <v>2013</v>
      </c>
      <c r="E588">
        <v>6.1070000000000002</v>
      </c>
      <c r="F588" t="s">
        <v>174</v>
      </c>
    </row>
    <row r="589" spans="1:6" x14ac:dyDescent="0.25">
      <c r="A589" t="s">
        <v>169</v>
      </c>
      <c r="B589" t="s">
        <v>170</v>
      </c>
      <c r="C589" t="s">
        <v>124</v>
      </c>
      <c r="D589">
        <v>2012</v>
      </c>
      <c r="E589">
        <v>8.1359999999999992</v>
      </c>
      <c r="F589" t="s">
        <v>174</v>
      </c>
    </row>
    <row r="590" spans="1:6" x14ac:dyDescent="0.25">
      <c r="A590" t="s">
        <v>169</v>
      </c>
      <c r="B590" t="s">
        <v>170</v>
      </c>
      <c r="C590" t="s">
        <v>124</v>
      </c>
      <c r="D590">
        <v>2011</v>
      </c>
      <c r="E590">
        <v>9.8699999999999992</v>
      </c>
      <c r="F590" t="s">
        <v>174</v>
      </c>
    </row>
    <row r="591" spans="1:6" x14ac:dyDescent="0.25">
      <c r="A591" t="s">
        <v>169</v>
      </c>
      <c r="B591" t="s">
        <v>170</v>
      </c>
      <c r="C591" t="s">
        <v>124</v>
      </c>
      <c r="D591">
        <v>2010</v>
      </c>
      <c r="E591">
        <v>11.406000000000001</v>
      </c>
      <c r="F591" t="s">
        <v>174</v>
      </c>
    </row>
    <row r="592" spans="1:6" x14ac:dyDescent="0.25">
      <c r="A592" t="s">
        <v>169</v>
      </c>
      <c r="B592" t="s">
        <v>170</v>
      </c>
      <c r="C592" t="s">
        <v>160</v>
      </c>
      <c r="D592">
        <v>2014</v>
      </c>
      <c r="E592">
        <v>0</v>
      </c>
      <c r="F592" t="s">
        <v>174</v>
      </c>
    </row>
    <row r="593" spans="1:6" x14ac:dyDescent="0.25">
      <c r="A593" t="s">
        <v>169</v>
      </c>
      <c r="B593" t="s">
        <v>170</v>
      </c>
      <c r="C593" t="s">
        <v>160</v>
      </c>
      <c r="D593">
        <v>2013</v>
      </c>
      <c r="E593">
        <v>0</v>
      </c>
      <c r="F593" t="s">
        <v>174</v>
      </c>
    </row>
    <row r="594" spans="1:6" x14ac:dyDescent="0.25">
      <c r="A594" t="s">
        <v>169</v>
      </c>
      <c r="B594" t="s">
        <v>170</v>
      </c>
      <c r="C594" t="s">
        <v>160</v>
      </c>
      <c r="D594">
        <v>2012</v>
      </c>
      <c r="E594">
        <v>0</v>
      </c>
      <c r="F594" t="s">
        <v>174</v>
      </c>
    </row>
    <row r="595" spans="1:6" x14ac:dyDescent="0.25">
      <c r="A595" t="s">
        <v>169</v>
      </c>
      <c r="B595" t="s">
        <v>170</v>
      </c>
      <c r="C595" t="s">
        <v>160</v>
      </c>
      <c r="D595">
        <v>2011</v>
      </c>
      <c r="E595">
        <v>0</v>
      </c>
      <c r="F595" t="s">
        <v>174</v>
      </c>
    </row>
    <row r="596" spans="1:6" x14ac:dyDescent="0.25">
      <c r="A596" t="s">
        <v>169</v>
      </c>
      <c r="B596" t="s">
        <v>170</v>
      </c>
      <c r="C596" t="s">
        <v>160</v>
      </c>
      <c r="D596">
        <v>2010</v>
      </c>
      <c r="E596">
        <v>0</v>
      </c>
      <c r="F596" t="s">
        <v>174</v>
      </c>
    </row>
    <row r="597" spans="1:6" x14ac:dyDescent="0.25">
      <c r="A597" t="s">
        <v>169</v>
      </c>
      <c r="B597" t="s">
        <v>170</v>
      </c>
      <c r="C597" t="s">
        <v>125</v>
      </c>
      <c r="D597">
        <v>2014</v>
      </c>
      <c r="E597">
        <v>21.914000000000001</v>
      </c>
      <c r="F597" t="s">
        <v>174</v>
      </c>
    </row>
    <row r="598" spans="1:6" x14ac:dyDescent="0.25">
      <c r="A598" t="s">
        <v>169</v>
      </c>
      <c r="B598" t="s">
        <v>170</v>
      </c>
      <c r="C598" t="s">
        <v>125</v>
      </c>
      <c r="D598">
        <v>2013</v>
      </c>
      <c r="E598">
        <v>26.111000000000001</v>
      </c>
      <c r="F598" t="s">
        <v>174</v>
      </c>
    </row>
    <row r="599" spans="1:6" x14ac:dyDescent="0.25">
      <c r="A599" t="s">
        <v>169</v>
      </c>
      <c r="B599" t="s">
        <v>170</v>
      </c>
      <c r="C599" t="s">
        <v>125</v>
      </c>
      <c r="D599">
        <v>2012</v>
      </c>
      <c r="E599">
        <v>27.31</v>
      </c>
      <c r="F599" t="s">
        <v>174</v>
      </c>
    </row>
    <row r="600" spans="1:6" x14ac:dyDescent="0.25">
      <c r="A600" t="s">
        <v>169</v>
      </c>
      <c r="B600" t="s">
        <v>170</v>
      </c>
      <c r="C600" t="s">
        <v>125</v>
      </c>
      <c r="D600">
        <v>2011</v>
      </c>
      <c r="E600">
        <v>22.026</v>
      </c>
      <c r="F600" t="s">
        <v>174</v>
      </c>
    </row>
    <row r="601" spans="1:6" x14ac:dyDescent="0.25">
      <c r="A601" t="s">
        <v>169</v>
      </c>
      <c r="B601" t="s">
        <v>170</v>
      </c>
      <c r="C601" t="s">
        <v>125</v>
      </c>
      <c r="D601">
        <v>2010</v>
      </c>
      <c r="E601">
        <v>25.991</v>
      </c>
      <c r="F601" t="s">
        <v>174</v>
      </c>
    </row>
    <row r="602" spans="1:6" x14ac:dyDescent="0.25">
      <c r="A602" t="s">
        <v>169</v>
      </c>
      <c r="B602" t="s">
        <v>170</v>
      </c>
      <c r="C602" t="s">
        <v>126</v>
      </c>
      <c r="D602">
        <v>2014</v>
      </c>
      <c r="E602">
        <v>86.518000000000001</v>
      </c>
      <c r="F602" t="s">
        <v>174</v>
      </c>
    </row>
    <row r="603" spans="1:6" x14ac:dyDescent="0.25">
      <c r="A603" t="s">
        <v>169</v>
      </c>
      <c r="B603" t="s">
        <v>170</v>
      </c>
      <c r="C603" t="s">
        <v>126</v>
      </c>
      <c r="D603">
        <v>2013</v>
      </c>
      <c r="E603">
        <v>101.88200000000001</v>
      </c>
      <c r="F603" t="s">
        <v>174</v>
      </c>
    </row>
    <row r="604" spans="1:6" x14ac:dyDescent="0.25">
      <c r="A604" t="s">
        <v>169</v>
      </c>
      <c r="B604" t="s">
        <v>170</v>
      </c>
      <c r="C604" t="s">
        <v>126</v>
      </c>
      <c r="D604">
        <v>2012</v>
      </c>
      <c r="E604">
        <v>90.548000000000002</v>
      </c>
      <c r="F604" t="s">
        <v>174</v>
      </c>
    </row>
    <row r="605" spans="1:6" x14ac:dyDescent="0.25">
      <c r="A605" t="s">
        <v>169</v>
      </c>
      <c r="B605" t="s">
        <v>170</v>
      </c>
      <c r="C605" t="s">
        <v>126</v>
      </c>
      <c r="D605">
        <v>2011</v>
      </c>
      <c r="E605">
        <v>96.06</v>
      </c>
      <c r="F605" t="s">
        <v>174</v>
      </c>
    </row>
    <row r="606" spans="1:6" x14ac:dyDescent="0.25">
      <c r="A606" t="s">
        <v>169</v>
      </c>
      <c r="B606" t="s">
        <v>170</v>
      </c>
      <c r="C606" t="s">
        <v>126</v>
      </c>
      <c r="D606">
        <v>2010</v>
      </c>
      <c r="E606">
        <v>110.53100000000001</v>
      </c>
      <c r="F606" t="s">
        <v>174</v>
      </c>
    </row>
    <row r="607" spans="1:6" x14ac:dyDescent="0.25">
      <c r="A607" t="s">
        <v>169</v>
      </c>
      <c r="B607" t="s">
        <v>170</v>
      </c>
      <c r="C607" t="s">
        <v>127</v>
      </c>
      <c r="D607">
        <v>2014</v>
      </c>
      <c r="E607">
        <v>14.519</v>
      </c>
      <c r="F607" t="s">
        <v>174</v>
      </c>
    </row>
    <row r="608" spans="1:6" x14ac:dyDescent="0.25">
      <c r="A608" t="s">
        <v>169</v>
      </c>
      <c r="B608" t="s">
        <v>170</v>
      </c>
      <c r="C608" t="s">
        <v>127</v>
      </c>
      <c r="D608">
        <v>2013</v>
      </c>
      <c r="E608">
        <v>12.837999999999999</v>
      </c>
      <c r="F608" t="s">
        <v>174</v>
      </c>
    </row>
    <row r="609" spans="1:6" x14ac:dyDescent="0.25">
      <c r="A609" t="s">
        <v>169</v>
      </c>
      <c r="B609" t="s">
        <v>170</v>
      </c>
      <c r="C609" t="s">
        <v>127</v>
      </c>
      <c r="D609">
        <v>2012</v>
      </c>
      <c r="E609">
        <v>12.621</v>
      </c>
      <c r="F609" t="s">
        <v>174</v>
      </c>
    </row>
    <row r="610" spans="1:6" x14ac:dyDescent="0.25">
      <c r="A610" t="s">
        <v>169</v>
      </c>
      <c r="B610" t="s">
        <v>170</v>
      </c>
      <c r="C610" t="s">
        <v>127</v>
      </c>
      <c r="D610">
        <v>2011</v>
      </c>
      <c r="E610">
        <v>8.43</v>
      </c>
      <c r="F610" t="s">
        <v>174</v>
      </c>
    </row>
    <row r="611" spans="1:6" x14ac:dyDescent="0.25">
      <c r="A611" t="s">
        <v>169</v>
      </c>
      <c r="B611" t="s">
        <v>170</v>
      </c>
      <c r="C611" t="s">
        <v>127</v>
      </c>
      <c r="D611">
        <v>2010</v>
      </c>
      <c r="E611">
        <v>9.8149999999999995</v>
      </c>
      <c r="F611" t="s">
        <v>174</v>
      </c>
    </row>
    <row r="612" spans="1:6" x14ac:dyDescent="0.25">
      <c r="A612" t="s">
        <v>169</v>
      </c>
      <c r="B612" t="s">
        <v>170</v>
      </c>
      <c r="C612" t="s">
        <v>128</v>
      </c>
      <c r="D612">
        <v>2014</v>
      </c>
      <c r="E612">
        <v>8.9250000000000007</v>
      </c>
      <c r="F612" t="s">
        <v>174</v>
      </c>
    </row>
    <row r="613" spans="1:6" x14ac:dyDescent="0.25">
      <c r="A613" t="s">
        <v>169</v>
      </c>
      <c r="B613" t="s">
        <v>170</v>
      </c>
      <c r="C613" t="s">
        <v>128</v>
      </c>
      <c r="D613">
        <v>2013</v>
      </c>
      <c r="E613">
        <v>10.35</v>
      </c>
      <c r="F613" t="s">
        <v>174</v>
      </c>
    </row>
    <row r="614" spans="1:6" x14ac:dyDescent="0.25">
      <c r="A614" t="s">
        <v>169</v>
      </c>
      <c r="B614" t="s">
        <v>170</v>
      </c>
      <c r="C614" t="s">
        <v>128</v>
      </c>
      <c r="D614">
        <v>2012</v>
      </c>
      <c r="E614">
        <v>12.606999999999999</v>
      </c>
      <c r="F614" t="s">
        <v>174</v>
      </c>
    </row>
    <row r="615" spans="1:6" x14ac:dyDescent="0.25">
      <c r="A615" t="s">
        <v>169</v>
      </c>
      <c r="B615" t="s">
        <v>170</v>
      </c>
      <c r="C615" t="s">
        <v>128</v>
      </c>
      <c r="D615">
        <v>2011</v>
      </c>
      <c r="E615">
        <v>10.098000000000001</v>
      </c>
      <c r="F615" t="s">
        <v>174</v>
      </c>
    </row>
    <row r="616" spans="1:6" x14ac:dyDescent="0.25">
      <c r="A616" t="s">
        <v>169</v>
      </c>
      <c r="B616" t="s">
        <v>170</v>
      </c>
      <c r="C616" t="s">
        <v>128</v>
      </c>
      <c r="D616">
        <v>2010</v>
      </c>
      <c r="E616">
        <v>11.750999999999999</v>
      </c>
      <c r="F616" t="s">
        <v>174</v>
      </c>
    </row>
    <row r="617" spans="1:6" x14ac:dyDescent="0.25">
      <c r="A617" t="s">
        <v>169</v>
      </c>
      <c r="B617" t="s">
        <v>170</v>
      </c>
      <c r="C617" t="s">
        <v>161</v>
      </c>
      <c r="D617">
        <v>2014</v>
      </c>
      <c r="E617">
        <v>0</v>
      </c>
      <c r="F617" t="s">
        <v>174</v>
      </c>
    </row>
    <row r="618" spans="1:6" x14ac:dyDescent="0.25">
      <c r="A618" t="s">
        <v>169</v>
      </c>
      <c r="B618" t="s">
        <v>170</v>
      </c>
      <c r="C618" t="s">
        <v>161</v>
      </c>
      <c r="D618">
        <v>2013</v>
      </c>
      <c r="E618">
        <v>0</v>
      </c>
      <c r="F618" t="s">
        <v>174</v>
      </c>
    </row>
    <row r="619" spans="1:6" x14ac:dyDescent="0.25">
      <c r="A619" t="s">
        <v>169</v>
      </c>
      <c r="B619" t="s">
        <v>170</v>
      </c>
      <c r="C619" t="s">
        <v>161</v>
      </c>
      <c r="D619">
        <v>2012</v>
      </c>
      <c r="E619">
        <v>0</v>
      </c>
      <c r="F619" t="s">
        <v>174</v>
      </c>
    </row>
    <row r="620" spans="1:6" x14ac:dyDescent="0.25">
      <c r="A620" t="s">
        <v>169</v>
      </c>
      <c r="B620" t="s">
        <v>170</v>
      </c>
      <c r="C620" t="s">
        <v>161</v>
      </c>
      <c r="D620">
        <v>2011</v>
      </c>
      <c r="E620">
        <v>0</v>
      </c>
      <c r="F620" t="s">
        <v>174</v>
      </c>
    </row>
    <row r="621" spans="1:6" x14ac:dyDescent="0.25">
      <c r="A621" t="s">
        <v>169</v>
      </c>
      <c r="B621" t="s">
        <v>170</v>
      </c>
      <c r="C621" t="s">
        <v>161</v>
      </c>
      <c r="D621">
        <v>2010</v>
      </c>
      <c r="E621">
        <v>0</v>
      </c>
      <c r="F621" t="s">
        <v>174</v>
      </c>
    </row>
    <row r="622" spans="1:6" x14ac:dyDescent="0.25">
      <c r="A622" t="s">
        <v>169</v>
      </c>
      <c r="B622" t="s">
        <v>170</v>
      </c>
      <c r="C622" t="s">
        <v>162</v>
      </c>
      <c r="D622">
        <v>2014</v>
      </c>
      <c r="E622">
        <v>0</v>
      </c>
      <c r="F622" t="s">
        <v>174</v>
      </c>
    </row>
    <row r="623" spans="1:6" x14ac:dyDescent="0.25">
      <c r="A623" t="s">
        <v>169</v>
      </c>
      <c r="B623" t="s">
        <v>170</v>
      </c>
      <c r="C623" t="s">
        <v>162</v>
      </c>
      <c r="D623">
        <v>2013</v>
      </c>
      <c r="E623">
        <v>0</v>
      </c>
      <c r="F623" t="s">
        <v>174</v>
      </c>
    </row>
    <row r="624" spans="1:6" x14ac:dyDescent="0.25">
      <c r="A624" t="s">
        <v>169</v>
      </c>
      <c r="B624" t="s">
        <v>170</v>
      </c>
      <c r="C624" t="s">
        <v>162</v>
      </c>
      <c r="D624">
        <v>2012</v>
      </c>
      <c r="E624">
        <v>0</v>
      </c>
      <c r="F624" t="s">
        <v>174</v>
      </c>
    </row>
    <row r="625" spans="1:6" x14ac:dyDescent="0.25">
      <c r="A625" t="s">
        <v>169</v>
      </c>
      <c r="B625" t="s">
        <v>170</v>
      </c>
      <c r="C625" t="s">
        <v>162</v>
      </c>
      <c r="D625">
        <v>2011</v>
      </c>
      <c r="E625">
        <v>0</v>
      </c>
      <c r="F625" t="s">
        <v>174</v>
      </c>
    </row>
    <row r="626" spans="1:6" x14ac:dyDescent="0.25">
      <c r="A626" t="s">
        <v>169</v>
      </c>
      <c r="B626" t="s">
        <v>170</v>
      </c>
      <c r="C626" t="s">
        <v>162</v>
      </c>
      <c r="D626">
        <v>2010</v>
      </c>
      <c r="E626">
        <v>0</v>
      </c>
      <c r="F626" t="s">
        <v>174</v>
      </c>
    </row>
    <row r="627" spans="1:6" x14ac:dyDescent="0.25">
      <c r="A627" t="s">
        <v>169</v>
      </c>
      <c r="B627" t="s">
        <v>170</v>
      </c>
      <c r="C627" t="s">
        <v>129</v>
      </c>
      <c r="D627">
        <v>2014</v>
      </c>
      <c r="E627">
        <v>15.493</v>
      </c>
      <c r="F627" t="s">
        <v>174</v>
      </c>
    </row>
    <row r="628" spans="1:6" x14ac:dyDescent="0.25">
      <c r="A628" t="s">
        <v>169</v>
      </c>
      <c r="B628" t="s">
        <v>170</v>
      </c>
      <c r="C628" t="s">
        <v>129</v>
      </c>
      <c r="D628">
        <v>2013</v>
      </c>
      <c r="E628">
        <v>14.090999999999999</v>
      </c>
      <c r="F628" t="s">
        <v>174</v>
      </c>
    </row>
    <row r="629" spans="1:6" x14ac:dyDescent="0.25">
      <c r="A629" t="s">
        <v>169</v>
      </c>
      <c r="B629" t="s">
        <v>170</v>
      </c>
      <c r="C629" t="s">
        <v>129</v>
      </c>
      <c r="D629">
        <v>2012</v>
      </c>
      <c r="E629">
        <v>17.989000000000001</v>
      </c>
      <c r="F629" t="s">
        <v>174</v>
      </c>
    </row>
    <row r="630" spans="1:6" x14ac:dyDescent="0.25">
      <c r="A630" t="s">
        <v>169</v>
      </c>
      <c r="B630" t="s">
        <v>170</v>
      </c>
      <c r="C630" t="s">
        <v>129</v>
      </c>
      <c r="D630">
        <v>2011</v>
      </c>
      <c r="E630">
        <v>14.196999999999999</v>
      </c>
      <c r="F630" t="s">
        <v>174</v>
      </c>
    </row>
    <row r="631" spans="1:6" x14ac:dyDescent="0.25">
      <c r="A631" t="s">
        <v>169</v>
      </c>
      <c r="B631" t="s">
        <v>170</v>
      </c>
      <c r="C631" t="s">
        <v>129</v>
      </c>
      <c r="D631">
        <v>2010</v>
      </c>
      <c r="E631">
        <v>16.335999999999999</v>
      </c>
      <c r="F631" t="s">
        <v>174</v>
      </c>
    </row>
    <row r="632" spans="1:6" x14ac:dyDescent="0.25">
      <c r="A632" t="s">
        <v>169</v>
      </c>
      <c r="B632" t="s">
        <v>170</v>
      </c>
      <c r="C632" t="s">
        <v>130</v>
      </c>
      <c r="D632">
        <v>2014</v>
      </c>
      <c r="E632">
        <v>23.053999999999998</v>
      </c>
      <c r="F632" t="s">
        <v>174</v>
      </c>
    </row>
    <row r="633" spans="1:6" x14ac:dyDescent="0.25">
      <c r="A633" t="s">
        <v>169</v>
      </c>
      <c r="B633" t="s">
        <v>170</v>
      </c>
      <c r="C633" t="s">
        <v>130</v>
      </c>
      <c r="D633">
        <v>2013</v>
      </c>
      <c r="E633">
        <v>30.39</v>
      </c>
      <c r="F633" t="s">
        <v>174</v>
      </c>
    </row>
    <row r="634" spans="1:6" x14ac:dyDescent="0.25">
      <c r="A634" t="s">
        <v>169</v>
      </c>
      <c r="B634" t="s">
        <v>170</v>
      </c>
      <c r="C634" t="s">
        <v>130</v>
      </c>
      <c r="D634">
        <v>2012</v>
      </c>
      <c r="E634">
        <v>27.361999999999998</v>
      </c>
      <c r="F634" t="s">
        <v>174</v>
      </c>
    </row>
    <row r="635" spans="1:6" x14ac:dyDescent="0.25">
      <c r="A635" t="s">
        <v>169</v>
      </c>
      <c r="B635" t="s">
        <v>170</v>
      </c>
      <c r="C635" t="s">
        <v>130</v>
      </c>
      <c r="D635">
        <v>2011</v>
      </c>
      <c r="E635">
        <v>0</v>
      </c>
      <c r="F635" t="s">
        <v>174</v>
      </c>
    </row>
    <row r="636" spans="1:6" x14ac:dyDescent="0.25">
      <c r="A636" t="s">
        <v>169</v>
      </c>
      <c r="B636" t="s">
        <v>170</v>
      </c>
      <c r="C636" t="s">
        <v>130</v>
      </c>
      <c r="D636">
        <v>2010</v>
      </c>
      <c r="E636">
        <v>0</v>
      </c>
      <c r="F636" t="s">
        <v>174</v>
      </c>
    </row>
    <row r="637" spans="1:6" x14ac:dyDescent="0.25">
      <c r="A637" t="s">
        <v>169</v>
      </c>
      <c r="B637" t="s">
        <v>170</v>
      </c>
      <c r="C637" t="s">
        <v>131</v>
      </c>
      <c r="D637">
        <v>2014</v>
      </c>
      <c r="E637">
        <v>2.4780000000000002</v>
      </c>
      <c r="F637" t="s">
        <v>174</v>
      </c>
    </row>
    <row r="638" spans="1:6" x14ac:dyDescent="0.25">
      <c r="A638" t="s">
        <v>169</v>
      </c>
      <c r="B638" t="s">
        <v>170</v>
      </c>
      <c r="C638" t="s">
        <v>131</v>
      </c>
      <c r="D638">
        <v>2013</v>
      </c>
      <c r="E638">
        <v>2.92</v>
      </c>
      <c r="F638" t="s">
        <v>174</v>
      </c>
    </row>
    <row r="639" spans="1:6" x14ac:dyDescent="0.25">
      <c r="A639" t="s">
        <v>169</v>
      </c>
      <c r="B639" t="s">
        <v>170</v>
      </c>
      <c r="C639" t="s">
        <v>131</v>
      </c>
      <c r="D639">
        <v>2012</v>
      </c>
      <c r="E639">
        <v>2.605</v>
      </c>
      <c r="F639" t="s">
        <v>174</v>
      </c>
    </row>
    <row r="640" spans="1:6" x14ac:dyDescent="0.25">
      <c r="A640" t="s">
        <v>169</v>
      </c>
      <c r="B640" t="s">
        <v>170</v>
      </c>
      <c r="C640" t="s">
        <v>131</v>
      </c>
      <c r="D640">
        <v>2011</v>
      </c>
      <c r="E640">
        <v>2.5840000000000001</v>
      </c>
      <c r="F640" t="s">
        <v>174</v>
      </c>
    </row>
    <row r="641" spans="1:6" x14ac:dyDescent="0.25">
      <c r="A641" t="s">
        <v>169</v>
      </c>
      <c r="B641" t="s">
        <v>170</v>
      </c>
      <c r="C641" t="s">
        <v>131</v>
      </c>
      <c r="D641">
        <v>2010</v>
      </c>
      <c r="E641">
        <v>2.9409999999999998</v>
      </c>
      <c r="F641" t="s">
        <v>174</v>
      </c>
    </row>
    <row r="642" spans="1:6" x14ac:dyDescent="0.25">
      <c r="A642" t="s">
        <v>169</v>
      </c>
      <c r="B642" t="s">
        <v>170</v>
      </c>
      <c r="C642" t="s">
        <v>132</v>
      </c>
      <c r="D642">
        <v>2014</v>
      </c>
      <c r="E642">
        <v>20.353999999999999</v>
      </c>
      <c r="F642" t="s">
        <v>174</v>
      </c>
    </row>
    <row r="643" spans="1:6" x14ac:dyDescent="0.25">
      <c r="A643" t="s">
        <v>169</v>
      </c>
      <c r="B643" t="s">
        <v>170</v>
      </c>
      <c r="C643" t="s">
        <v>132</v>
      </c>
      <c r="D643">
        <v>2013</v>
      </c>
      <c r="E643">
        <v>24.413</v>
      </c>
      <c r="F643" t="s">
        <v>174</v>
      </c>
    </row>
    <row r="644" spans="1:6" x14ac:dyDescent="0.25">
      <c r="A644" t="s">
        <v>169</v>
      </c>
      <c r="B644" t="s">
        <v>170</v>
      </c>
      <c r="C644" t="s">
        <v>132</v>
      </c>
      <c r="D644">
        <v>2012</v>
      </c>
      <c r="E644">
        <v>24.248000000000001</v>
      </c>
      <c r="F644" t="s">
        <v>174</v>
      </c>
    </row>
    <row r="645" spans="1:6" x14ac:dyDescent="0.25">
      <c r="A645" t="s">
        <v>169</v>
      </c>
      <c r="B645" t="s">
        <v>170</v>
      </c>
      <c r="C645" t="s">
        <v>132</v>
      </c>
      <c r="D645">
        <v>2011</v>
      </c>
      <c r="E645">
        <v>20.263000000000002</v>
      </c>
      <c r="F645" t="s">
        <v>174</v>
      </c>
    </row>
    <row r="646" spans="1:6" x14ac:dyDescent="0.25">
      <c r="A646" t="s">
        <v>169</v>
      </c>
      <c r="B646" t="s">
        <v>170</v>
      </c>
      <c r="C646" t="s">
        <v>132</v>
      </c>
      <c r="D646">
        <v>2010</v>
      </c>
      <c r="E646">
        <v>17.263000000000002</v>
      </c>
      <c r="F646" t="s">
        <v>174</v>
      </c>
    </row>
    <row r="647" spans="1:6" x14ac:dyDescent="0.25">
      <c r="A647" t="s">
        <v>169</v>
      </c>
      <c r="B647" t="s">
        <v>170</v>
      </c>
      <c r="C647" t="s">
        <v>163</v>
      </c>
      <c r="D647">
        <v>2014</v>
      </c>
      <c r="E647">
        <v>0</v>
      </c>
      <c r="F647" t="s">
        <v>174</v>
      </c>
    </row>
    <row r="648" spans="1:6" x14ac:dyDescent="0.25">
      <c r="A648" t="s">
        <v>169</v>
      </c>
      <c r="B648" t="s">
        <v>170</v>
      </c>
      <c r="C648" t="s">
        <v>163</v>
      </c>
      <c r="D648">
        <v>2013</v>
      </c>
      <c r="E648">
        <v>0</v>
      </c>
      <c r="F648" t="s">
        <v>174</v>
      </c>
    </row>
    <row r="649" spans="1:6" x14ac:dyDescent="0.25">
      <c r="A649" t="s">
        <v>169</v>
      </c>
      <c r="B649" t="s">
        <v>170</v>
      </c>
      <c r="C649" t="s">
        <v>163</v>
      </c>
      <c r="D649">
        <v>2012</v>
      </c>
      <c r="E649">
        <v>0</v>
      </c>
      <c r="F649" t="s">
        <v>174</v>
      </c>
    </row>
    <row r="650" spans="1:6" x14ac:dyDescent="0.25">
      <c r="A650" t="s">
        <v>169</v>
      </c>
      <c r="B650" t="s">
        <v>170</v>
      </c>
      <c r="C650" t="s">
        <v>163</v>
      </c>
      <c r="D650">
        <v>2011</v>
      </c>
      <c r="E650">
        <v>0</v>
      </c>
      <c r="F650" t="s">
        <v>174</v>
      </c>
    </row>
    <row r="651" spans="1:6" x14ac:dyDescent="0.25">
      <c r="A651" t="s">
        <v>169</v>
      </c>
      <c r="B651" t="s">
        <v>170</v>
      </c>
      <c r="C651" t="s">
        <v>163</v>
      </c>
      <c r="D651">
        <v>2010</v>
      </c>
      <c r="E651">
        <v>0</v>
      </c>
      <c r="F651" t="s">
        <v>174</v>
      </c>
    </row>
    <row r="652" spans="1:6" x14ac:dyDescent="0.25">
      <c r="A652" t="s">
        <v>169</v>
      </c>
      <c r="B652" t="s">
        <v>170</v>
      </c>
      <c r="C652" t="s">
        <v>133</v>
      </c>
      <c r="D652">
        <v>2014</v>
      </c>
      <c r="E652">
        <v>0</v>
      </c>
      <c r="F652" t="s">
        <v>174</v>
      </c>
    </row>
    <row r="653" spans="1:6" x14ac:dyDescent="0.25">
      <c r="A653" t="s">
        <v>169</v>
      </c>
      <c r="B653" t="s">
        <v>170</v>
      </c>
      <c r="C653" t="s">
        <v>133</v>
      </c>
      <c r="D653">
        <v>2013</v>
      </c>
      <c r="E653">
        <v>0</v>
      </c>
      <c r="F653" t="s">
        <v>174</v>
      </c>
    </row>
    <row r="654" spans="1:6" x14ac:dyDescent="0.25">
      <c r="A654" t="s">
        <v>169</v>
      </c>
      <c r="B654" t="s">
        <v>170</v>
      </c>
      <c r="C654" t="s">
        <v>133</v>
      </c>
      <c r="D654">
        <v>2012</v>
      </c>
      <c r="E654">
        <v>0</v>
      </c>
      <c r="F654" t="s">
        <v>174</v>
      </c>
    </row>
    <row r="655" spans="1:6" x14ac:dyDescent="0.25">
      <c r="A655" t="s">
        <v>169</v>
      </c>
      <c r="B655" t="s">
        <v>170</v>
      </c>
      <c r="C655" t="s">
        <v>133</v>
      </c>
      <c r="D655">
        <v>2011</v>
      </c>
      <c r="E655">
        <v>0</v>
      </c>
      <c r="F655" t="s">
        <v>174</v>
      </c>
    </row>
    <row r="656" spans="1:6" x14ac:dyDescent="0.25">
      <c r="A656" t="s">
        <v>169</v>
      </c>
      <c r="B656" t="s">
        <v>170</v>
      </c>
      <c r="C656" t="s">
        <v>133</v>
      </c>
      <c r="D656">
        <v>2010</v>
      </c>
      <c r="E656">
        <v>0</v>
      </c>
      <c r="F656" t="s">
        <v>174</v>
      </c>
    </row>
    <row r="657" spans="1:6" x14ac:dyDescent="0.25">
      <c r="A657" t="s">
        <v>169</v>
      </c>
      <c r="B657" t="s">
        <v>170</v>
      </c>
      <c r="C657" t="s">
        <v>134</v>
      </c>
      <c r="D657">
        <v>2014</v>
      </c>
      <c r="E657">
        <v>0</v>
      </c>
      <c r="F657" t="s">
        <v>174</v>
      </c>
    </row>
    <row r="658" spans="1:6" x14ac:dyDescent="0.25">
      <c r="A658" t="s">
        <v>169</v>
      </c>
      <c r="B658" t="s">
        <v>170</v>
      </c>
      <c r="C658" t="s">
        <v>134</v>
      </c>
      <c r="D658">
        <v>2013</v>
      </c>
      <c r="E658">
        <v>0</v>
      </c>
      <c r="F658" t="s">
        <v>174</v>
      </c>
    </row>
    <row r="659" spans="1:6" x14ac:dyDescent="0.25">
      <c r="A659" t="s">
        <v>169</v>
      </c>
      <c r="B659" t="s">
        <v>170</v>
      </c>
      <c r="C659" t="s">
        <v>134</v>
      </c>
      <c r="D659">
        <v>2012</v>
      </c>
      <c r="E659">
        <v>0</v>
      </c>
      <c r="F659" t="s">
        <v>174</v>
      </c>
    </row>
    <row r="660" spans="1:6" x14ac:dyDescent="0.25">
      <c r="A660" t="s">
        <v>169</v>
      </c>
      <c r="B660" t="s">
        <v>170</v>
      </c>
      <c r="C660" t="s">
        <v>134</v>
      </c>
      <c r="D660">
        <v>2011</v>
      </c>
      <c r="E660">
        <v>0</v>
      </c>
      <c r="F660" t="s">
        <v>174</v>
      </c>
    </row>
    <row r="661" spans="1:6" x14ac:dyDescent="0.25">
      <c r="A661" t="s">
        <v>169</v>
      </c>
      <c r="B661" t="s">
        <v>170</v>
      </c>
      <c r="C661" t="s">
        <v>134</v>
      </c>
      <c r="D661">
        <v>2010</v>
      </c>
      <c r="E661">
        <v>0</v>
      </c>
      <c r="F661" t="s">
        <v>174</v>
      </c>
    </row>
    <row r="662" spans="1:6" x14ac:dyDescent="0.25">
      <c r="A662" t="s">
        <v>169</v>
      </c>
      <c r="B662" t="s">
        <v>170</v>
      </c>
      <c r="C662" t="s">
        <v>135</v>
      </c>
      <c r="D662">
        <v>2014</v>
      </c>
      <c r="E662">
        <v>5.9950000000000001</v>
      </c>
      <c r="F662" t="s">
        <v>174</v>
      </c>
    </row>
    <row r="663" spans="1:6" x14ac:dyDescent="0.25">
      <c r="A663" t="s">
        <v>169</v>
      </c>
      <c r="B663" t="s">
        <v>170</v>
      </c>
      <c r="C663" t="s">
        <v>135</v>
      </c>
      <c r="D663">
        <v>2013</v>
      </c>
      <c r="E663">
        <v>7.8360000000000003</v>
      </c>
      <c r="F663" t="s">
        <v>174</v>
      </c>
    </row>
    <row r="664" spans="1:6" x14ac:dyDescent="0.25">
      <c r="A664" t="s">
        <v>169</v>
      </c>
      <c r="B664" t="s">
        <v>170</v>
      </c>
      <c r="C664" t="s">
        <v>135</v>
      </c>
      <c r="D664">
        <v>2012</v>
      </c>
      <c r="E664">
        <v>9.7119999999999997</v>
      </c>
      <c r="F664" t="s">
        <v>174</v>
      </c>
    </row>
    <row r="665" spans="1:6" x14ac:dyDescent="0.25">
      <c r="A665" t="s">
        <v>169</v>
      </c>
      <c r="B665" t="s">
        <v>170</v>
      </c>
      <c r="C665" t="s">
        <v>135</v>
      </c>
      <c r="D665">
        <v>2011</v>
      </c>
      <c r="E665">
        <v>9.8460000000000001</v>
      </c>
      <c r="F665" t="s">
        <v>174</v>
      </c>
    </row>
    <row r="666" spans="1:6" x14ac:dyDescent="0.25">
      <c r="A666" t="s">
        <v>169</v>
      </c>
      <c r="B666" t="s">
        <v>170</v>
      </c>
      <c r="C666" t="s">
        <v>135</v>
      </c>
      <c r="D666">
        <v>2010</v>
      </c>
      <c r="E666">
        <v>11.454000000000001</v>
      </c>
      <c r="F666" t="s">
        <v>174</v>
      </c>
    </row>
    <row r="667" spans="1:6" x14ac:dyDescent="0.25">
      <c r="A667" t="s">
        <v>169</v>
      </c>
      <c r="B667" t="s">
        <v>170</v>
      </c>
      <c r="C667" t="s">
        <v>136</v>
      </c>
      <c r="D667">
        <v>2014</v>
      </c>
      <c r="E667">
        <v>0.08</v>
      </c>
      <c r="F667" t="s">
        <v>174</v>
      </c>
    </row>
    <row r="668" spans="1:6" x14ac:dyDescent="0.25">
      <c r="A668" t="s">
        <v>169</v>
      </c>
      <c r="B668" t="s">
        <v>170</v>
      </c>
      <c r="C668" t="s">
        <v>136</v>
      </c>
      <c r="D668">
        <v>2013</v>
      </c>
      <c r="E668">
        <v>0.11600000000000001</v>
      </c>
      <c r="F668" t="s">
        <v>174</v>
      </c>
    </row>
    <row r="669" spans="1:6" x14ac:dyDescent="0.25">
      <c r="A669" t="s">
        <v>169</v>
      </c>
      <c r="B669" t="s">
        <v>170</v>
      </c>
      <c r="C669" t="s">
        <v>136</v>
      </c>
      <c r="D669">
        <v>2012</v>
      </c>
      <c r="E669">
        <v>7.5999999999999998E-2</v>
      </c>
      <c r="F669" t="s">
        <v>174</v>
      </c>
    </row>
    <row r="670" spans="1:6" x14ac:dyDescent="0.25">
      <c r="A670" t="s">
        <v>169</v>
      </c>
      <c r="B670" t="s">
        <v>170</v>
      </c>
      <c r="C670" t="s">
        <v>136</v>
      </c>
      <c r="D670">
        <v>2011</v>
      </c>
      <c r="E670">
        <v>9.6000000000000002E-2</v>
      </c>
      <c r="F670" t="s">
        <v>174</v>
      </c>
    </row>
    <row r="671" spans="1:6" x14ac:dyDescent="0.25">
      <c r="A671" t="s">
        <v>169</v>
      </c>
      <c r="B671" t="s">
        <v>170</v>
      </c>
      <c r="C671" t="s">
        <v>136</v>
      </c>
      <c r="D671">
        <v>2010</v>
      </c>
      <c r="E671">
        <v>6.9000000000000006E-2</v>
      </c>
      <c r="F671" t="s">
        <v>174</v>
      </c>
    </row>
    <row r="672" spans="1:6" x14ac:dyDescent="0.25">
      <c r="A672" t="s">
        <v>169</v>
      </c>
      <c r="B672" t="s">
        <v>170</v>
      </c>
      <c r="C672" t="s">
        <v>137</v>
      </c>
      <c r="D672">
        <v>2014</v>
      </c>
      <c r="E672">
        <v>3.2890000000000001</v>
      </c>
      <c r="F672" t="s">
        <v>174</v>
      </c>
    </row>
    <row r="673" spans="1:6" x14ac:dyDescent="0.25">
      <c r="A673" t="s">
        <v>169</v>
      </c>
      <c r="B673" t="s">
        <v>170</v>
      </c>
      <c r="C673" t="s">
        <v>137</v>
      </c>
      <c r="D673">
        <v>2013</v>
      </c>
      <c r="E673">
        <v>4.4630000000000001</v>
      </c>
      <c r="F673" t="s">
        <v>174</v>
      </c>
    </row>
    <row r="674" spans="1:6" x14ac:dyDescent="0.25">
      <c r="A674" t="s">
        <v>169</v>
      </c>
      <c r="B674" t="s">
        <v>170</v>
      </c>
      <c r="C674" t="s">
        <v>137</v>
      </c>
      <c r="D674">
        <v>2012</v>
      </c>
      <c r="E674">
        <v>6.2880000000000003</v>
      </c>
      <c r="F674" t="s">
        <v>174</v>
      </c>
    </row>
    <row r="675" spans="1:6" x14ac:dyDescent="0.25">
      <c r="A675" t="s">
        <v>169</v>
      </c>
      <c r="B675" t="s">
        <v>170</v>
      </c>
      <c r="C675" t="s">
        <v>137</v>
      </c>
      <c r="D675">
        <v>2011</v>
      </c>
      <c r="E675">
        <v>6.8949999999999996</v>
      </c>
      <c r="F675" t="s">
        <v>174</v>
      </c>
    </row>
    <row r="676" spans="1:6" x14ac:dyDescent="0.25">
      <c r="A676" t="s">
        <v>169</v>
      </c>
      <c r="B676" t="s">
        <v>170</v>
      </c>
      <c r="C676" t="s">
        <v>137</v>
      </c>
      <c r="D676">
        <v>2010</v>
      </c>
      <c r="E676">
        <v>8</v>
      </c>
      <c r="F676" t="s">
        <v>174</v>
      </c>
    </row>
    <row r="677" spans="1:6" x14ac:dyDescent="0.25">
      <c r="A677" t="s">
        <v>169</v>
      </c>
      <c r="B677" t="s">
        <v>170</v>
      </c>
      <c r="C677" t="s">
        <v>138</v>
      </c>
      <c r="D677">
        <v>2014</v>
      </c>
      <c r="E677">
        <v>3.2810000000000001</v>
      </c>
      <c r="F677" t="s">
        <v>174</v>
      </c>
    </row>
    <row r="678" spans="1:6" x14ac:dyDescent="0.25">
      <c r="A678" t="s">
        <v>169</v>
      </c>
      <c r="B678" t="s">
        <v>170</v>
      </c>
      <c r="C678" t="s">
        <v>138</v>
      </c>
      <c r="D678">
        <v>2013</v>
      </c>
      <c r="E678">
        <v>3.4889999999999999</v>
      </c>
      <c r="F678" t="s">
        <v>174</v>
      </c>
    </row>
    <row r="679" spans="1:6" x14ac:dyDescent="0.25">
      <c r="A679" t="s">
        <v>169</v>
      </c>
      <c r="B679" t="s">
        <v>170</v>
      </c>
      <c r="C679" t="s">
        <v>138</v>
      </c>
      <c r="D679">
        <v>2012</v>
      </c>
      <c r="E679">
        <v>3.6629999999999998</v>
      </c>
      <c r="F679" t="s">
        <v>174</v>
      </c>
    </row>
    <row r="680" spans="1:6" x14ac:dyDescent="0.25">
      <c r="A680" t="s">
        <v>169</v>
      </c>
      <c r="B680" t="s">
        <v>170</v>
      </c>
      <c r="C680" t="s">
        <v>138</v>
      </c>
      <c r="D680">
        <v>2011</v>
      </c>
      <c r="E680">
        <v>3.8069999999999999</v>
      </c>
      <c r="F680" t="s">
        <v>174</v>
      </c>
    </row>
    <row r="681" spans="1:6" x14ac:dyDescent="0.25">
      <c r="A681" t="s">
        <v>169</v>
      </c>
      <c r="B681" t="s">
        <v>170</v>
      </c>
      <c r="C681" t="s">
        <v>138</v>
      </c>
      <c r="D681">
        <v>2010</v>
      </c>
      <c r="E681">
        <v>3.9540000000000002</v>
      </c>
      <c r="F681" t="s">
        <v>174</v>
      </c>
    </row>
    <row r="682" spans="1:6" x14ac:dyDescent="0.25">
      <c r="A682" t="s">
        <v>169</v>
      </c>
      <c r="B682" t="s">
        <v>170</v>
      </c>
      <c r="C682" t="s">
        <v>164</v>
      </c>
      <c r="D682">
        <v>2014</v>
      </c>
      <c r="E682">
        <v>0</v>
      </c>
      <c r="F682" t="s">
        <v>174</v>
      </c>
    </row>
    <row r="683" spans="1:6" x14ac:dyDescent="0.25">
      <c r="A683" t="s">
        <v>169</v>
      </c>
      <c r="B683" t="s">
        <v>170</v>
      </c>
      <c r="C683" t="s">
        <v>164</v>
      </c>
      <c r="D683">
        <v>2013</v>
      </c>
      <c r="E683">
        <v>0</v>
      </c>
      <c r="F683" t="s">
        <v>174</v>
      </c>
    </row>
    <row r="684" spans="1:6" x14ac:dyDescent="0.25">
      <c r="A684" t="s">
        <v>169</v>
      </c>
      <c r="B684" t="s">
        <v>170</v>
      </c>
      <c r="C684" t="s">
        <v>164</v>
      </c>
      <c r="D684">
        <v>2012</v>
      </c>
      <c r="E684">
        <v>0</v>
      </c>
      <c r="F684" t="s">
        <v>174</v>
      </c>
    </row>
    <row r="685" spans="1:6" x14ac:dyDescent="0.25">
      <c r="A685" t="s">
        <v>169</v>
      </c>
      <c r="B685" t="s">
        <v>170</v>
      </c>
      <c r="C685" t="s">
        <v>164</v>
      </c>
      <c r="D685">
        <v>2011</v>
      </c>
      <c r="E685">
        <v>0</v>
      </c>
      <c r="F685" t="s">
        <v>174</v>
      </c>
    </row>
    <row r="686" spans="1:6" x14ac:dyDescent="0.25">
      <c r="A686" t="s">
        <v>169</v>
      </c>
      <c r="B686" t="s">
        <v>170</v>
      </c>
      <c r="C686" t="s">
        <v>164</v>
      </c>
      <c r="D686">
        <v>2010</v>
      </c>
      <c r="E686">
        <v>0</v>
      </c>
      <c r="F686" t="s">
        <v>174</v>
      </c>
    </row>
    <row r="687" spans="1:6" x14ac:dyDescent="0.25">
      <c r="A687" t="s">
        <v>169</v>
      </c>
      <c r="B687" t="s">
        <v>170</v>
      </c>
      <c r="C687" t="s">
        <v>139</v>
      </c>
      <c r="D687">
        <v>2014</v>
      </c>
      <c r="E687">
        <v>1.6879999999999999</v>
      </c>
      <c r="F687" t="s">
        <v>174</v>
      </c>
    </row>
    <row r="688" spans="1:6" x14ac:dyDescent="0.25">
      <c r="A688" t="s">
        <v>169</v>
      </c>
      <c r="B688" t="s">
        <v>170</v>
      </c>
      <c r="C688" t="s">
        <v>139</v>
      </c>
      <c r="D688">
        <v>2013</v>
      </c>
      <c r="E688">
        <v>1.171</v>
      </c>
      <c r="F688" t="s">
        <v>174</v>
      </c>
    </row>
    <row r="689" spans="1:6" x14ac:dyDescent="0.25">
      <c r="A689" t="s">
        <v>169</v>
      </c>
      <c r="B689" t="s">
        <v>170</v>
      </c>
      <c r="C689" t="s">
        <v>139</v>
      </c>
      <c r="D689">
        <v>2012</v>
      </c>
      <c r="E689">
        <v>1.048</v>
      </c>
      <c r="F689" t="s">
        <v>174</v>
      </c>
    </row>
    <row r="690" spans="1:6" x14ac:dyDescent="0.25">
      <c r="A690" t="s">
        <v>169</v>
      </c>
      <c r="B690" t="s">
        <v>170</v>
      </c>
      <c r="C690" t="s">
        <v>139</v>
      </c>
      <c r="D690">
        <v>2011</v>
      </c>
      <c r="E690">
        <v>1.6679999999999999</v>
      </c>
      <c r="F690" t="s">
        <v>174</v>
      </c>
    </row>
    <row r="691" spans="1:6" x14ac:dyDescent="0.25">
      <c r="A691" t="s">
        <v>169</v>
      </c>
      <c r="B691" t="s">
        <v>170</v>
      </c>
      <c r="C691" t="s">
        <v>139</v>
      </c>
      <c r="D691">
        <v>2010</v>
      </c>
      <c r="E691">
        <v>1.5880000000000001</v>
      </c>
      <c r="F691" t="s">
        <v>174</v>
      </c>
    </row>
    <row r="692" spans="1:6" x14ac:dyDescent="0.25">
      <c r="A692" t="s">
        <v>169</v>
      </c>
      <c r="B692" t="s">
        <v>170</v>
      </c>
      <c r="C692" t="s">
        <v>165</v>
      </c>
      <c r="D692">
        <v>2014</v>
      </c>
      <c r="E692">
        <v>0</v>
      </c>
      <c r="F692" t="s">
        <v>174</v>
      </c>
    </row>
    <row r="693" spans="1:6" x14ac:dyDescent="0.25">
      <c r="A693" t="s">
        <v>169</v>
      </c>
      <c r="B693" t="s">
        <v>170</v>
      </c>
      <c r="C693" t="s">
        <v>165</v>
      </c>
      <c r="D693">
        <v>2013</v>
      </c>
      <c r="E693" t="s">
        <v>207</v>
      </c>
      <c r="F693" t="s">
        <v>174</v>
      </c>
    </row>
    <row r="694" spans="1:6" x14ac:dyDescent="0.25">
      <c r="A694" t="s">
        <v>169</v>
      </c>
      <c r="B694" t="s">
        <v>170</v>
      </c>
      <c r="C694" t="s">
        <v>165</v>
      </c>
      <c r="D694">
        <v>2012</v>
      </c>
      <c r="E694">
        <v>0</v>
      </c>
      <c r="F694" t="s">
        <v>174</v>
      </c>
    </row>
    <row r="695" spans="1:6" x14ac:dyDescent="0.25">
      <c r="A695" t="s">
        <v>169</v>
      </c>
      <c r="B695" t="s">
        <v>170</v>
      </c>
      <c r="C695" t="s">
        <v>165</v>
      </c>
      <c r="D695">
        <v>2011</v>
      </c>
      <c r="E695">
        <v>0</v>
      </c>
      <c r="F695" t="s">
        <v>174</v>
      </c>
    </row>
    <row r="696" spans="1:6" x14ac:dyDescent="0.25">
      <c r="A696" t="s">
        <v>169</v>
      </c>
      <c r="B696" t="s">
        <v>170</v>
      </c>
      <c r="C696" t="s">
        <v>165</v>
      </c>
      <c r="D696">
        <v>2010</v>
      </c>
      <c r="E696">
        <v>0</v>
      </c>
      <c r="F696" t="s">
        <v>174</v>
      </c>
    </row>
    <row r="697" spans="1:6" x14ac:dyDescent="0.25">
      <c r="A697" t="s">
        <v>169</v>
      </c>
      <c r="B697" t="s">
        <v>170</v>
      </c>
      <c r="C697" t="s">
        <v>140</v>
      </c>
      <c r="D697">
        <v>2014</v>
      </c>
      <c r="E697">
        <v>9.1839999999999993</v>
      </c>
      <c r="F697" t="s">
        <v>174</v>
      </c>
    </row>
    <row r="698" spans="1:6" x14ac:dyDescent="0.25">
      <c r="A698" t="s">
        <v>169</v>
      </c>
      <c r="B698" t="s">
        <v>170</v>
      </c>
      <c r="C698" t="s">
        <v>140</v>
      </c>
      <c r="D698">
        <v>2013</v>
      </c>
      <c r="E698">
        <v>9.6969999999999992</v>
      </c>
      <c r="F698" t="s">
        <v>174</v>
      </c>
    </row>
    <row r="699" spans="1:6" x14ac:dyDescent="0.25">
      <c r="A699" t="s">
        <v>169</v>
      </c>
      <c r="B699" t="s">
        <v>170</v>
      </c>
      <c r="C699" t="s">
        <v>140</v>
      </c>
      <c r="D699">
        <v>2012</v>
      </c>
      <c r="E699">
        <v>9.0860000000000003</v>
      </c>
      <c r="F699" t="s">
        <v>174</v>
      </c>
    </row>
    <row r="700" spans="1:6" x14ac:dyDescent="0.25">
      <c r="A700" t="s">
        <v>169</v>
      </c>
      <c r="B700" t="s">
        <v>170</v>
      </c>
      <c r="C700" t="s">
        <v>140</v>
      </c>
      <c r="D700">
        <v>2011</v>
      </c>
      <c r="E700">
        <v>8.5139999999999993</v>
      </c>
      <c r="F700" t="s">
        <v>174</v>
      </c>
    </row>
    <row r="701" spans="1:6" x14ac:dyDescent="0.25">
      <c r="A701" t="s">
        <v>169</v>
      </c>
      <c r="B701" t="s">
        <v>170</v>
      </c>
      <c r="C701" t="s">
        <v>140</v>
      </c>
      <c r="D701">
        <v>2010</v>
      </c>
      <c r="E701">
        <v>9.42</v>
      </c>
      <c r="F701" t="s">
        <v>174</v>
      </c>
    </row>
    <row r="702" spans="1:6" x14ac:dyDescent="0.25">
      <c r="A702" t="s">
        <v>169</v>
      </c>
      <c r="B702" t="s">
        <v>170</v>
      </c>
      <c r="C702" t="s">
        <v>141</v>
      </c>
      <c r="D702">
        <v>2014</v>
      </c>
      <c r="E702">
        <v>0.48199999999999998</v>
      </c>
      <c r="F702" t="s">
        <v>174</v>
      </c>
    </row>
    <row r="703" spans="1:6" x14ac:dyDescent="0.25">
      <c r="A703" t="s">
        <v>169</v>
      </c>
      <c r="B703" t="s">
        <v>170</v>
      </c>
      <c r="C703" t="s">
        <v>141</v>
      </c>
      <c r="D703">
        <v>2013</v>
      </c>
      <c r="E703">
        <v>0.54100000000000004</v>
      </c>
      <c r="F703" t="s">
        <v>174</v>
      </c>
    </row>
    <row r="704" spans="1:6" x14ac:dyDescent="0.25">
      <c r="A704" t="s">
        <v>169</v>
      </c>
      <c r="B704" t="s">
        <v>170</v>
      </c>
      <c r="C704" t="s">
        <v>141</v>
      </c>
      <c r="D704">
        <v>2012</v>
      </c>
      <c r="E704">
        <v>0.65800000000000003</v>
      </c>
      <c r="F704" t="s">
        <v>174</v>
      </c>
    </row>
    <row r="705" spans="1:6" x14ac:dyDescent="0.25">
      <c r="A705" t="s">
        <v>169</v>
      </c>
      <c r="B705" t="s">
        <v>170</v>
      </c>
      <c r="C705" t="s">
        <v>141</v>
      </c>
      <c r="D705">
        <v>2011</v>
      </c>
      <c r="E705">
        <v>0.68799999999999994</v>
      </c>
      <c r="F705" t="s">
        <v>174</v>
      </c>
    </row>
    <row r="706" spans="1:6" x14ac:dyDescent="0.25">
      <c r="A706" t="s">
        <v>169</v>
      </c>
      <c r="B706" t="s">
        <v>170</v>
      </c>
      <c r="C706" t="s">
        <v>141</v>
      </c>
      <c r="D706">
        <v>2010</v>
      </c>
      <c r="E706">
        <v>0.7</v>
      </c>
      <c r="F706" t="s">
        <v>174</v>
      </c>
    </row>
    <row r="707" spans="1:6" x14ac:dyDescent="0.25">
      <c r="A707" t="s">
        <v>169</v>
      </c>
      <c r="B707" t="s">
        <v>170</v>
      </c>
      <c r="C707" t="s">
        <v>142</v>
      </c>
      <c r="D707">
        <v>2014</v>
      </c>
      <c r="E707">
        <v>9.4640000000000004</v>
      </c>
      <c r="F707" t="s">
        <v>174</v>
      </c>
    </row>
    <row r="708" spans="1:6" x14ac:dyDescent="0.25">
      <c r="A708" t="s">
        <v>169</v>
      </c>
      <c r="B708" t="s">
        <v>170</v>
      </c>
      <c r="C708" t="s">
        <v>142</v>
      </c>
      <c r="D708">
        <v>2013</v>
      </c>
      <c r="E708">
        <v>11.226000000000001</v>
      </c>
      <c r="F708" t="s">
        <v>174</v>
      </c>
    </row>
    <row r="709" spans="1:6" x14ac:dyDescent="0.25">
      <c r="A709" t="s">
        <v>169</v>
      </c>
      <c r="B709" t="s">
        <v>170</v>
      </c>
      <c r="C709" t="s">
        <v>142</v>
      </c>
      <c r="D709">
        <v>2012</v>
      </c>
      <c r="E709">
        <v>10.502000000000001</v>
      </c>
      <c r="F709" t="s">
        <v>174</v>
      </c>
    </row>
    <row r="710" spans="1:6" x14ac:dyDescent="0.25">
      <c r="A710" t="s">
        <v>169</v>
      </c>
      <c r="B710" t="s">
        <v>170</v>
      </c>
      <c r="C710" t="s">
        <v>142</v>
      </c>
      <c r="D710">
        <v>2011</v>
      </c>
      <c r="E710">
        <v>10.643000000000001</v>
      </c>
      <c r="F710" t="s">
        <v>174</v>
      </c>
    </row>
    <row r="711" spans="1:6" x14ac:dyDescent="0.25">
      <c r="A711" t="s">
        <v>169</v>
      </c>
      <c r="B711" t="s">
        <v>170</v>
      </c>
      <c r="C711" t="s">
        <v>142</v>
      </c>
      <c r="D711">
        <v>2010</v>
      </c>
      <c r="E711">
        <v>12.023</v>
      </c>
      <c r="F711" t="s">
        <v>174</v>
      </c>
    </row>
    <row r="712" spans="1:6" x14ac:dyDescent="0.25">
      <c r="A712" t="s">
        <v>169</v>
      </c>
      <c r="B712" t="s">
        <v>170</v>
      </c>
      <c r="C712" t="s">
        <v>166</v>
      </c>
      <c r="D712">
        <v>2014</v>
      </c>
      <c r="E712">
        <v>0</v>
      </c>
      <c r="F712" t="s">
        <v>174</v>
      </c>
    </row>
    <row r="713" spans="1:6" x14ac:dyDescent="0.25">
      <c r="A713" t="s">
        <v>169</v>
      </c>
      <c r="B713" t="s">
        <v>170</v>
      </c>
      <c r="C713" t="s">
        <v>166</v>
      </c>
      <c r="D713">
        <v>2013</v>
      </c>
      <c r="E713">
        <v>0</v>
      </c>
      <c r="F713" t="s">
        <v>174</v>
      </c>
    </row>
    <row r="714" spans="1:6" x14ac:dyDescent="0.25">
      <c r="A714" t="s">
        <v>169</v>
      </c>
      <c r="B714" t="s">
        <v>170</v>
      </c>
      <c r="C714" t="s">
        <v>166</v>
      </c>
      <c r="D714">
        <v>2012</v>
      </c>
      <c r="E714">
        <v>0</v>
      </c>
      <c r="F714" t="s">
        <v>174</v>
      </c>
    </row>
    <row r="715" spans="1:6" x14ac:dyDescent="0.25">
      <c r="A715" t="s">
        <v>169</v>
      </c>
      <c r="B715" t="s">
        <v>170</v>
      </c>
      <c r="C715" t="s">
        <v>166</v>
      </c>
      <c r="D715">
        <v>2011</v>
      </c>
      <c r="E715">
        <v>0</v>
      </c>
      <c r="F715" t="s">
        <v>174</v>
      </c>
    </row>
    <row r="716" spans="1:6" x14ac:dyDescent="0.25">
      <c r="A716" t="s">
        <v>169</v>
      </c>
      <c r="B716" t="s">
        <v>170</v>
      </c>
      <c r="C716" t="s">
        <v>166</v>
      </c>
      <c r="D716">
        <v>2010</v>
      </c>
      <c r="E716">
        <v>0</v>
      </c>
      <c r="F716" t="s">
        <v>174</v>
      </c>
    </row>
    <row r="717" spans="1:6" x14ac:dyDescent="0.25">
      <c r="A717" t="s">
        <v>169</v>
      </c>
      <c r="B717" t="s">
        <v>170</v>
      </c>
      <c r="C717" t="s">
        <v>143</v>
      </c>
      <c r="D717">
        <v>2014</v>
      </c>
      <c r="E717">
        <v>16.132999999999999</v>
      </c>
      <c r="F717" t="s">
        <v>174</v>
      </c>
    </row>
    <row r="718" spans="1:6" x14ac:dyDescent="0.25">
      <c r="A718" t="s">
        <v>169</v>
      </c>
      <c r="B718" t="s">
        <v>170</v>
      </c>
      <c r="C718" t="s">
        <v>143</v>
      </c>
      <c r="D718">
        <v>2013</v>
      </c>
      <c r="E718">
        <v>19.366</v>
      </c>
      <c r="F718" t="s">
        <v>174</v>
      </c>
    </row>
    <row r="719" spans="1:6" x14ac:dyDescent="0.25">
      <c r="A719" t="s">
        <v>169</v>
      </c>
      <c r="B719" t="s">
        <v>170</v>
      </c>
      <c r="C719" t="s">
        <v>143</v>
      </c>
      <c r="D719">
        <v>2012</v>
      </c>
      <c r="E719">
        <v>13.702</v>
      </c>
      <c r="F719" t="s">
        <v>174</v>
      </c>
    </row>
    <row r="720" spans="1:6" x14ac:dyDescent="0.25">
      <c r="A720" t="s">
        <v>169</v>
      </c>
      <c r="B720" t="s">
        <v>170</v>
      </c>
      <c r="C720" t="s">
        <v>143</v>
      </c>
      <c r="D720">
        <v>2011</v>
      </c>
      <c r="E720">
        <v>19.241</v>
      </c>
      <c r="F720" t="s">
        <v>174</v>
      </c>
    </row>
    <row r="721" spans="1:6" x14ac:dyDescent="0.25">
      <c r="A721" t="s">
        <v>169</v>
      </c>
      <c r="B721" t="s">
        <v>170</v>
      </c>
      <c r="C721" t="s">
        <v>143</v>
      </c>
      <c r="D721">
        <v>2010</v>
      </c>
      <c r="E721">
        <v>22.954000000000001</v>
      </c>
      <c r="F721" t="s">
        <v>174</v>
      </c>
    </row>
    <row r="722" spans="1:6" x14ac:dyDescent="0.25">
      <c r="A722" t="s">
        <v>169</v>
      </c>
      <c r="B722" t="s">
        <v>170</v>
      </c>
      <c r="C722" t="s">
        <v>144</v>
      </c>
      <c r="D722">
        <v>2014</v>
      </c>
      <c r="E722">
        <v>17.779</v>
      </c>
      <c r="F722" t="s">
        <v>174</v>
      </c>
    </row>
    <row r="723" spans="1:6" x14ac:dyDescent="0.25">
      <c r="A723" t="s">
        <v>169</v>
      </c>
      <c r="B723" t="s">
        <v>170</v>
      </c>
      <c r="C723" t="s">
        <v>144</v>
      </c>
      <c r="D723">
        <v>2013</v>
      </c>
      <c r="E723">
        <v>18.606999999999999</v>
      </c>
      <c r="F723" t="s">
        <v>174</v>
      </c>
    </row>
    <row r="724" spans="1:6" x14ac:dyDescent="0.25">
      <c r="A724" t="s">
        <v>169</v>
      </c>
      <c r="B724" t="s">
        <v>170</v>
      </c>
      <c r="C724" t="s">
        <v>144</v>
      </c>
      <c r="D724">
        <v>2012</v>
      </c>
      <c r="E724">
        <v>19.814</v>
      </c>
      <c r="F724" t="s">
        <v>174</v>
      </c>
    </row>
    <row r="725" spans="1:6" x14ac:dyDescent="0.25">
      <c r="A725" t="s">
        <v>169</v>
      </c>
      <c r="B725" t="s">
        <v>170</v>
      </c>
      <c r="C725" t="s">
        <v>144</v>
      </c>
      <c r="D725">
        <v>2011</v>
      </c>
      <c r="E725">
        <v>20.896000000000001</v>
      </c>
      <c r="F725" t="s">
        <v>174</v>
      </c>
    </row>
    <row r="726" spans="1:6" x14ac:dyDescent="0.25">
      <c r="A726" t="s">
        <v>169</v>
      </c>
      <c r="B726" t="s">
        <v>170</v>
      </c>
      <c r="C726" t="s">
        <v>144</v>
      </c>
      <c r="D726">
        <v>2010</v>
      </c>
      <c r="E726">
        <v>18.891999999999999</v>
      </c>
      <c r="F726" t="s">
        <v>174</v>
      </c>
    </row>
    <row r="727" spans="1:6" x14ac:dyDescent="0.25">
      <c r="A727" t="s">
        <v>169</v>
      </c>
      <c r="B727" t="s">
        <v>170</v>
      </c>
      <c r="C727" t="s">
        <v>145</v>
      </c>
      <c r="D727">
        <v>2014</v>
      </c>
      <c r="E727">
        <v>0.73</v>
      </c>
      <c r="F727" t="s">
        <v>174</v>
      </c>
    </row>
    <row r="728" spans="1:6" x14ac:dyDescent="0.25">
      <c r="A728" t="s">
        <v>169</v>
      </c>
      <c r="B728" t="s">
        <v>170</v>
      </c>
      <c r="C728" t="s">
        <v>145</v>
      </c>
      <c r="D728">
        <v>2013</v>
      </c>
      <c r="E728">
        <v>0.89500000000000002</v>
      </c>
      <c r="F728" t="s">
        <v>174</v>
      </c>
    </row>
    <row r="729" spans="1:6" x14ac:dyDescent="0.25">
      <c r="A729" t="s">
        <v>169</v>
      </c>
      <c r="B729" t="s">
        <v>170</v>
      </c>
      <c r="C729" t="s">
        <v>145</v>
      </c>
      <c r="D729">
        <v>2012</v>
      </c>
      <c r="E729">
        <v>1.1299999999999999</v>
      </c>
      <c r="F729" t="s">
        <v>174</v>
      </c>
    </row>
    <row r="730" spans="1:6" x14ac:dyDescent="0.25">
      <c r="A730" t="s">
        <v>169</v>
      </c>
      <c r="B730" t="s">
        <v>170</v>
      </c>
      <c r="C730" t="s">
        <v>145</v>
      </c>
      <c r="D730">
        <v>2011</v>
      </c>
      <c r="E730">
        <v>1.0629999999999999</v>
      </c>
      <c r="F730" t="s">
        <v>174</v>
      </c>
    </row>
    <row r="731" spans="1:6" x14ac:dyDescent="0.25">
      <c r="A731" t="s">
        <v>169</v>
      </c>
      <c r="B731" t="s">
        <v>170</v>
      </c>
      <c r="C731" t="s">
        <v>145</v>
      </c>
      <c r="D731">
        <v>2010</v>
      </c>
      <c r="E731">
        <v>1.722</v>
      </c>
      <c r="F731" t="s">
        <v>174</v>
      </c>
    </row>
    <row r="732" spans="1:6" x14ac:dyDescent="0.25">
      <c r="A732" t="s">
        <v>169</v>
      </c>
      <c r="B732" t="s">
        <v>170</v>
      </c>
      <c r="C732" t="s">
        <v>146</v>
      </c>
      <c r="D732">
        <v>2014</v>
      </c>
      <c r="E732">
        <v>1.3680000000000001</v>
      </c>
      <c r="F732" t="s">
        <v>174</v>
      </c>
    </row>
    <row r="733" spans="1:6" x14ac:dyDescent="0.25">
      <c r="A733" t="s">
        <v>169</v>
      </c>
      <c r="B733" t="s">
        <v>170</v>
      </c>
      <c r="C733" t="s">
        <v>146</v>
      </c>
      <c r="D733">
        <v>2013</v>
      </c>
      <c r="E733">
        <v>1.677</v>
      </c>
      <c r="F733" t="s">
        <v>174</v>
      </c>
    </row>
    <row r="734" spans="1:6" x14ac:dyDescent="0.25">
      <c r="A734" t="s">
        <v>169</v>
      </c>
      <c r="B734" t="s">
        <v>170</v>
      </c>
      <c r="C734" t="s">
        <v>146</v>
      </c>
      <c r="D734">
        <v>2012</v>
      </c>
      <c r="E734">
        <v>1.897</v>
      </c>
      <c r="F734" t="s">
        <v>174</v>
      </c>
    </row>
    <row r="735" spans="1:6" x14ac:dyDescent="0.25">
      <c r="A735" t="s">
        <v>169</v>
      </c>
      <c r="B735" t="s">
        <v>170</v>
      </c>
      <c r="C735" t="s">
        <v>146</v>
      </c>
      <c r="D735">
        <v>2011</v>
      </c>
      <c r="E735">
        <v>2.0630000000000002</v>
      </c>
      <c r="F735" t="s">
        <v>174</v>
      </c>
    </row>
    <row r="736" spans="1:6" x14ac:dyDescent="0.25">
      <c r="A736" t="s">
        <v>169</v>
      </c>
      <c r="B736" t="s">
        <v>170</v>
      </c>
      <c r="C736" t="s">
        <v>146</v>
      </c>
      <c r="D736">
        <v>2010</v>
      </c>
      <c r="E736">
        <v>1.875</v>
      </c>
      <c r="F736" t="s">
        <v>174</v>
      </c>
    </row>
    <row r="737" spans="1:6" x14ac:dyDescent="0.25">
      <c r="A737" t="s">
        <v>169</v>
      </c>
      <c r="B737" t="s">
        <v>170</v>
      </c>
      <c r="C737" t="s">
        <v>147</v>
      </c>
      <c r="D737">
        <v>2014</v>
      </c>
      <c r="E737">
        <v>9.7119999999999997</v>
      </c>
      <c r="F737" t="s">
        <v>174</v>
      </c>
    </row>
    <row r="738" spans="1:6" x14ac:dyDescent="0.25">
      <c r="A738" t="s">
        <v>169</v>
      </c>
      <c r="B738" t="s">
        <v>170</v>
      </c>
      <c r="C738" t="s">
        <v>147</v>
      </c>
      <c r="D738">
        <v>2013</v>
      </c>
      <c r="E738">
        <v>11.61</v>
      </c>
      <c r="F738" t="s">
        <v>174</v>
      </c>
    </row>
    <row r="739" spans="1:6" x14ac:dyDescent="0.25">
      <c r="A739" t="s">
        <v>169</v>
      </c>
      <c r="B739" t="s">
        <v>170</v>
      </c>
      <c r="C739" t="s">
        <v>147</v>
      </c>
      <c r="D739">
        <v>2012</v>
      </c>
      <c r="E739">
        <v>13.76</v>
      </c>
      <c r="F739" t="s">
        <v>174</v>
      </c>
    </row>
    <row r="740" spans="1:6" x14ac:dyDescent="0.25">
      <c r="A740" t="s">
        <v>169</v>
      </c>
      <c r="B740" t="s">
        <v>170</v>
      </c>
      <c r="C740" t="s">
        <v>147</v>
      </c>
      <c r="D740">
        <v>2011</v>
      </c>
      <c r="E740">
        <v>14.438000000000001</v>
      </c>
      <c r="F740" t="s">
        <v>174</v>
      </c>
    </row>
    <row r="741" spans="1:6" x14ac:dyDescent="0.25">
      <c r="A741" t="s">
        <v>169</v>
      </c>
      <c r="B741" t="s">
        <v>170</v>
      </c>
      <c r="C741" t="s">
        <v>147</v>
      </c>
      <c r="D741">
        <v>2010</v>
      </c>
      <c r="E741">
        <v>17.484000000000002</v>
      </c>
      <c r="F741" t="s">
        <v>174</v>
      </c>
    </row>
    <row r="742" spans="1:6" x14ac:dyDescent="0.25">
      <c r="A742" t="s">
        <v>169</v>
      </c>
      <c r="B742" t="s">
        <v>170</v>
      </c>
      <c r="C742" t="s">
        <v>167</v>
      </c>
      <c r="D742">
        <v>2014</v>
      </c>
      <c r="E742">
        <v>0</v>
      </c>
      <c r="F742" t="s">
        <v>174</v>
      </c>
    </row>
    <row r="743" spans="1:6" x14ac:dyDescent="0.25">
      <c r="A743" t="s">
        <v>169</v>
      </c>
      <c r="B743" t="s">
        <v>170</v>
      </c>
      <c r="C743" t="s">
        <v>167</v>
      </c>
      <c r="D743">
        <v>2013</v>
      </c>
      <c r="E743">
        <v>0</v>
      </c>
      <c r="F743" t="s">
        <v>174</v>
      </c>
    </row>
    <row r="744" spans="1:6" x14ac:dyDescent="0.25">
      <c r="A744" t="s">
        <v>169</v>
      </c>
      <c r="B744" t="s">
        <v>170</v>
      </c>
      <c r="C744" t="s">
        <v>167</v>
      </c>
      <c r="D744">
        <v>2012</v>
      </c>
      <c r="E744">
        <v>0</v>
      </c>
      <c r="F744" t="s">
        <v>174</v>
      </c>
    </row>
    <row r="745" spans="1:6" x14ac:dyDescent="0.25">
      <c r="A745" t="s">
        <v>169</v>
      </c>
      <c r="B745" t="s">
        <v>170</v>
      </c>
      <c r="C745" t="s">
        <v>167</v>
      </c>
      <c r="D745">
        <v>2011</v>
      </c>
      <c r="E745">
        <v>0</v>
      </c>
      <c r="F745" t="s">
        <v>174</v>
      </c>
    </row>
    <row r="746" spans="1:6" x14ac:dyDescent="0.25">
      <c r="A746" t="s">
        <v>169</v>
      </c>
      <c r="B746" t="s">
        <v>170</v>
      </c>
      <c r="C746" t="s">
        <v>167</v>
      </c>
      <c r="D746">
        <v>2010</v>
      </c>
      <c r="E746">
        <v>0</v>
      </c>
      <c r="F746" t="s">
        <v>174</v>
      </c>
    </row>
    <row r="747" spans="1:6" x14ac:dyDescent="0.25">
      <c r="A747" t="s">
        <v>169</v>
      </c>
      <c r="B747" t="s">
        <v>170</v>
      </c>
      <c r="C747" t="s">
        <v>168</v>
      </c>
      <c r="D747">
        <v>2014</v>
      </c>
      <c r="E747">
        <v>251.56100000000001</v>
      </c>
      <c r="F747" t="s">
        <v>174</v>
      </c>
    </row>
    <row r="748" spans="1:6" x14ac:dyDescent="0.25">
      <c r="A748" t="s">
        <v>169</v>
      </c>
      <c r="B748" t="s">
        <v>170</v>
      </c>
      <c r="C748" t="s">
        <v>168</v>
      </c>
      <c r="D748">
        <v>2013</v>
      </c>
      <c r="E748">
        <v>365.68400000000003</v>
      </c>
      <c r="F748" t="s">
        <v>174</v>
      </c>
    </row>
    <row r="749" spans="1:6" x14ac:dyDescent="0.25">
      <c r="A749" t="s">
        <v>169</v>
      </c>
      <c r="B749" t="s">
        <v>170</v>
      </c>
      <c r="C749" t="s">
        <v>168</v>
      </c>
      <c r="D749">
        <v>2012</v>
      </c>
      <c r="E749">
        <v>371.62</v>
      </c>
      <c r="F749" t="s">
        <v>174</v>
      </c>
    </row>
    <row r="750" spans="1:6" x14ac:dyDescent="0.25">
      <c r="A750" t="s">
        <v>169</v>
      </c>
      <c r="B750" t="s">
        <v>170</v>
      </c>
      <c r="C750" t="s">
        <v>168</v>
      </c>
      <c r="D750">
        <v>2011</v>
      </c>
      <c r="E750">
        <v>401.28300000000002</v>
      </c>
      <c r="F750" t="s">
        <v>174</v>
      </c>
    </row>
    <row r="751" spans="1:6" x14ac:dyDescent="0.25">
      <c r="A751" t="s">
        <v>169</v>
      </c>
      <c r="B751" t="s">
        <v>170</v>
      </c>
      <c r="C751" t="s">
        <v>168</v>
      </c>
      <c r="D751">
        <v>2010</v>
      </c>
      <c r="E751">
        <v>402.44900000000001</v>
      </c>
      <c r="F751" t="s">
        <v>174</v>
      </c>
    </row>
    <row r="752" spans="1:6" x14ac:dyDescent="0.25">
      <c r="A752" t="s">
        <v>169</v>
      </c>
      <c r="B752" t="s">
        <v>170</v>
      </c>
      <c r="C752" t="s">
        <v>148</v>
      </c>
      <c r="D752">
        <v>2014</v>
      </c>
      <c r="E752">
        <v>86.33</v>
      </c>
      <c r="F752" t="s">
        <v>174</v>
      </c>
    </row>
    <row r="753" spans="1:6" x14ac:dyDescent="0.25">
      <c r="A753" t="s">
        <v>169</v>
      </c>
      <c r="B753" t="s">
        <v>170</v>
      </c>
      <c r="C753" t="s">
        <v>148</v>
      </c>
      <c r="D753">
        <v>2013</v>
      </c>
      <c r="E753">
        <v>82.117000000000004</v>
      </c>
      <c r="F753" t="s">
        <v>174</v>
      </c>
    </row>
    <row r="754" spans="1:6" x14ac:dyDescent="0.25">
      <c r="A754" t="s">
        <v>169</v>
      </c>
      <c r="B754" t="s">
        <v>170</v>
      </c>
      <c r="C754" t="s">
        <v>148</v>
      </c>
      <c r="D754">
        <v>2012</v>
      </c>
      <c r="E754">
        <v>83.296000000000006</v>
      </c>
      <c r="F754" t="s">
        <v>174</v>
      </c>
    </row>
    <row r="755" spans="1:6" x14ac:dyDescent="0.25">
      <c r="A755" t="s">
        <v>169</v>
      </c>
      <c r="B755" t="s">
        <v>170</v>
      </c>
      <c r="C755" t="s">
        <v>148</v>
      </c>
      <c r="D755">
        <v>2011</v>
      </c>
      <c r="E755">
        <v>76.311999999999998</v>
      </c>
      <c r="F755" t="s">
        <v>174</v>
      </c>
    </row>
    <row r="756" spans="1:6" x14ac:dyDescent="0.25">
      <c r="A756" t="s">
        <v>169</v>
      </c>
      <c r="B756" t="s">
        <v>170</v>
      </c>
      <c r="C756" t="s">
        <v>148</v>
      </c>
      <c r="D756">
        <v>2010</v>
      </c>
      <c r="E756">
        <v>78.811999999999998</v>
      </c>
      <c r="F756" t="s">
        <v>174</v>
      </c>
    </row>
    <row r="757" spans="1:6" x14ac:dyDescent="0.25">
      <c r="A757" t="s">
        <v>169</v>
      </c>
      <c r="B757" t="s">
        <v>170</v>
      </c>
      <c r="C757" t="s">
        <v>149</v>
      </c>
      <c r="D757">
        <v>2014</v>
      </c>
      <c r="E757">
        <v>0</v>
      </c>
      <c r="F757" t="s">
        <v>174</v>
      </c>
    </row>
    <row r="758" spans="1:6" x14ac:dyDescent="0.25">
      <c r="A758" t="s">
        <v>169</v>
      </c>
      <c r="B758" t="s">
        <v>170</v>
      </c>
      <c r="C758" t="s">
        <v>149</v>
      </c>
      <c r="D758">
        <v>2013</v>
      </c>
      <c r="E758">
        <v>0</v>
      </c>
      <c r="F758" t="s">
        <v>174</v>
      </c>
    </row>
    <row r="759" spans="1:6" x14ac:dyDescent="0.25">
      <c r="A759" t="s">
        <v>169</v>
      </c>
      <c r="B759" t="s">
        <v>170</v>
      </c>
      <c r="C759" t="s">
        <v>149</v>
      </c>
      <c r="D759">
        <v>2012</v>
      </c>
      <c r="E759">
        <v>0</v>
      </c>
      <c r="F759" t="s">
        <v>174</v>
      </c>
    </row>
    <row r="760" spans="1:6" x14ac:dyDescent="0.25">
      <c r="A760" t="s">
        <v>169</v>
      </c>
      <c r="B760" t="s">
        <v>170</v>
      </c>
      <c r="C760" t="s">
        <v>149</v>
      </c>
      <c r="D760">
        <v>2011</v>
      </c>
      <c r="E760">
        <v>0</v>
      </c>
      <c r="F760" t="s">
        <v>174</v>
      </c>
    </row>
    <row r="761" spans="1:6" x14ac:dyDescent="0.25">
      <c r="A761" t="s">
        <v>169</v>
      </c>
      <c r="B761" t="s">
        <v>170</v>
      </c>
      <c r="C761" t="s">
        <v>149</v>
      </c>
      <c r="D761">
        <v>2010</v>
      </c>
      <c r="E761">
        <v>0</v>
      </c>
      <c r="F761" t="s">
        <v>174</v>
      </c>
    </row>
    <row r="762" spans="1:6" x14ac:dyDescent="0.25">
      <c r="A762" t="s">
        <v>169</v>
      </c>
      <c r="B762" t="s">
        <v>170</v>
      </c>
      <c r="C762" t="s">
        <v>121</v>
      </c>
      <c r="D762">
        <v>2014</v>
      </c>
      <c r="E762">
        <v>0</v>
      </c>
      <c r="F762" t="s">
        <v>182</v>
      </c>
    </row>
    <row r="763" spans="1:6" x14ac:dyDescent="0.25">
      <c r="A763" t="s">
        <v>169</v>
      </c>
      <c r="B763" t="s">
        <v>170</v>
      </c>
      <c r="C763" t="s">
        <v>121</v>
      </c>
      <c r="D763">
        <v>2013</v>
      </c>
      <c r="E763">
        <v>0</v>
      </c>
      <c r="F763" t="s">
        <v>182</v>
      </c>
    </row>
    <row r="764" spans="1:6" x14ac:dyDescent="0.25">
      <c r="A764" t="s">
        <v>169</v>
      </c>
      <c r="B764" t="s">
        <v>170</v>
      </c>
      <c r="C764" t="s">
        <v>121</v>
      </c>
      <c r="D764">
        <v>2012</v>
      </c>
      <c r="E764">
        <v>0</v>
      </c>
      <c r="F764" t="s">
        <v>182</v>
      </c>
    </row>
    <row r="765" spans="1:6" x14ac:dyDescent="0.25">
      <c r="A765" t="s">
        <v>169</v>
      </c>
      <c r="B765" t="s">
        <v>170</v>
      </c>
      <c r="C765" t="s">
        <v>121</v>
      </c>
      <c r="D765">
        <v>2011</v>
      </c>
      <c r="E765">
        <v>0</v>
      </c>
      <c r="F765" t="s">
        <v>182</v>
      </c>
    </row>
    <row r="766" spans="1:6" x14ac:dyDescent="0.25">
      <c r="A766" t="s">
        <v>169</v>
      </c>
      <c r="B766" t="s">
        <v>170</v>
      </c>
      <c r="C766" t="s">
        <v>121</v>
      </c>
      <c r="D766">
        <v>2010</v>
      </c>
      <c r="E766">
        <v>0</v>
      </c>
      <c r="F766" t="s">
        <v>182</v>
      </c>
    </row>
    <row r="767" spans="1:6" x14ac:dyDescent="0.25">
      <c r="A767" t="s">
        <v>169</v>
      </c>
      <c r="B767" t="s">
        <v>170</v>
      </c>
      <c r="C767" t="s">
        <v>122</v>
      </c>
      <c r="D767">
        <v>2014</v>
      </c>
      <c r="E767">
        <v>25.396999999999998</v>
      </c>
      <c r="F767" t="s">
        <v>182</v>
      </c>
    </row>
    <row r="768" spans="1:6" x14ac:dyDescent="0.25">
      <c r="A768" t="s">
        <v>169</v>
      </c>
      <c r="B768" t="s">
        <v>170</v>
      </c>
      <c r="C768" t="s">
        <v>122</v>
      </c>
      <c r="D768">
        <v>2013</v>
      </c>
      <c r="E768">
        <v>24.815999999999999</v>
      </c>
      <c r="F768" t="s">
        <v>182</v>
      </c>
    </row>
    <row r="769" spans="1:6" x14ac:dyDescent="0.25">
      <c r="A769" t="s">
        <v>169</v>
      </c>
      <c r="B769" t="s">
        <v>170</v>
      </c>
      <c r="C769" t="s">
        <v>122</v>
      </c>
      <c r="D769">
        <v>2012</v>
      </c>
      <c r="E769">
        <v>23.715</v>
      </c>
      <c r="F769" t="s">
        <v>182</v>
      </c>
    </row>
    <row r="770" spans="1:6" x14ac:dyDescent="0.25">
      <c r="A770" t="s">
        <v>169</v>
      </c>
      <c r="B770" t="s">
        <v>170</v>
      </c>
      <c r="C770" t="s">
        <v>122</v>
      </c>
      <c r="D770">
        <v>2011</v>
      </c>
      <c r="E770">
        <v>20.54</v>
      </c>
      <c r="F770" t="s">
        <v>182</v>
      </c>
    </row>
    <row r="771" spans="1:6" x14ac:dyDescent="0.25">
      <c r="A771" t="s">
        <v>169</v>
      </c>
      <c r="B771" t="s">
        <v>170</v>
      </c>
      <c r="C771" t="s">
        <v>122</v>
      </c>
      <c r="D771">
        <v>2010</v>
      </c>
      <c r="E771">
        <v>24.818999999999999</v>
      </c>
      <c r="F771" t="s">
        <v>182</v>
      </c>
    </row>
    <row r="772" spans="1:6" x14ac:dyDescent="0.25">
      <c r="A772" t="s">
        <v>169</v>
      </c>
      <c r="B772" t="s">
        <v>170</v>
      </c>
      <c r="C772" t="s">
        <v>123</v>
      </c>
      <c r="D772">
        <v>2014</v>
      </c>
      <c r="E772">
        <v>0.29199999999999998</v>
      </c>
      <c r="F772" t="s">
        <v>182</v>
      </c>
    </row>
    <row r="773" spans="1:6" x14ac:dyDescent="0.25">
      <c r="A773" t="s">
        <v>169</v>
      </c>
      <c r="B773" t="s">
        <v>170</v>
      </c>
      <c r="C773" t="s">
        <v>123</v>
      </c>
      <c r="D773">
        <v>2013</v>
      </c>
      <c r="E773">
        <v>0.313</v>
      </c>
      <c r="F773" t="s">
        <v>182</v>
      </c>
    </row>
    <row r="774" spans="1:6" x14ac:dyDescent="0.25">
      <c r="A774" t="s">
        <v>169</v>
      </c>
      <c r="B774" t="s">
        <v>170</v>
      </c>
      <c r="C774" t="s">
        <v>123</v>
      </c>
      <c r="D774">
        <v>2012</v>
      </c>
      <c r="E774">
        <v>0.29699999999999999</v>
      </c>
      <c r="F774" t="s">
        <v>182</v>
      </c>
    </row>
    <row r="775" spans="1:6" x14ac:dyDescent="0.25">
      <c r="A775" t="s">
        <v>169</v>
      </c>
      <c r="B775" t="s">
        <v>170</v>
      </c>
      <c r="C775" t="s">
        <v>123</v>
      </c>
      <c r="D775">
        <v>2011</v>
      </c>
      <c r="E775">
        <v>0.11</v>
      </c>
      <c r="F775" t="s">
        <v>182</v>
      </c>
    </row>
    <row r="776" spans="1:6" x14ac:dyDescent="0.25">
      <c r="A776" t="s">
        <v>169</v>
      </c>
      <c r="B776" t="s">
        <v>170</v>
      </c>
      <c r="C776" t="s">
        <v>123</v>
      </c>
      <c r="D776">
        <v>2010</v>
      </c>
      <c r="E776">
        <v>0.17599999999999999</v>
      </c>
      <c r="F776" t="s">
        <v>182</v>
      </c>
    </row>
    <row r="777" spans="1:6" x14ac:dyDescent="0.25">
      <c r="A777" t="s">
        <v>169</v>
      </c>
      <c r="B777" t="s">
        <v>170</v>
      </c>
      <c r="C777" t="s">
        <v>124</v>
      </c>
      <c r="D777">
        <v>2014</v>
      </c>
      <c r="E777">
        <v>0.23699999999999999</v>
      </c>
      <c r="F777" t="s">
        <v>182</v>
      </c>
    </row>
    <row r="778" spans="1:6" x14ac:dyDescent="0.25">
      <c r="A778" t="s">
        <v>169</v>
      </c>
      <c r="B778" t="s">
        <v>170</v>
      </c>
      <c r="C778" t="s">
        <v>124</v>
      </c>
      <c r="D778">
        <v>2013</v>
      </c>
      <c r="E778">
        <v>5.2999999999999999E-2</v>
      </c>
      <c r="F778" t="s">
        <v>182</v>
      </c>
    </row>
    <row r="779" spans="1:6" x14ac:dyDescent="0.25">
      <c r="A779" t="s">
        <v>169</v>
      </c>
      <c r="B779" t="s">
        <v>170</v>
      </c>
      <c r="C779" t="s">
        <v>124</v>
      </c>
      <c r="D779">
        <v>2012</v>
      </c>
      <c r="E779">
        <v>0.125</v>
      </c>
      <c r="F779" t="s">
        <v>182</v>
      </c>
    </row>
    <row r="780" spans="1:6" x14ac:dyDescent="0.25">
      <c r="A780" t="s">
        <v>169</v>
      </c>
      <c r="B780" t="s">
        <v>170</v>
      </c>
      <c r="C780" t="s">
        <v>124</v>
      </c>
      <c r="D780">
        <v>2011</v>
      </c>
      <c r="E780">
        <v>9.0999999999999998E-2</v>
      </c>
      <c r="F780" t="s">
        <v>182</v>
      </c>
    </row>
    <row r="781" spans="1:6" x14ac:dyDescent="0.25">
      <c r="A781" t="s">
        <v>169</v>
      </c>
      <c r="B781" t="s">
        <v>170</v>
      </c>
      <c r="C781" t="s">
        <v>124</v>
      </c>
      <c r="D781">
        <v>2010</v>
      </c>
      <c r="E781">
        <v>0.09</v>
      </c>
      <c r="F781" t="s">
        <v>182</v>
      </c>
    </row>
    <row r="782" spans="1:6" x14ac:dyDescent="0.25">
      <c r="A782" t="s">
        <v>169</v>
      </c>
      <c r="B782" t="s">
        <v>170</v>
      </c>
      <c r="C782" t="s">
        <v>160</v>
      </c>
      <c r="D782">
        <v>2014</v>
      </c>
      <c r="E782">
        <v>0</v>
      </c>
      <c r="F782" t="s">
        <v>182</v>
      </c>
    </row>
    <row r="783" spans="1:6" x14ac:dyDescent="0.25">
      <c r="A783" t="s">
        <v>169</v>
      </c>
      <c r="B783" t="s">
        <v>170</v>
      </c>
      <c r="C783" t="s">
        <v>160</v>
      </c>
      <c r="D783">
        <v>2013</v>
      </c>
      <c r="E783">
        <v>0</v>
      </c>
      <c r="F783" t="s">
        <v>182</v>
      </c>
    </row>
    <row r="784" spans="1:6" x14ac:dyDescent="0.25">
      <c r="A784" t="s">
        <v>169</v>
      </c>
      <c r="B784" t="s">
        <v>170</v>
      </c>
      <c r="C784" t="s">
        <v>160</v>
      </c>
      <c r="D784">
        <v>2012</v>
      </c>
      <c r="E784">
        <v>0</v>
      </c>
      <c r="F784" t="s">
        <v>182</v>
      </c>
    </row>
    <row r="785" spans="1:6" x14ac:dyDescent="0.25">
      <c r="A785" t="s">
        <v>169</v>
      </c>
      <c r="B785" t="s">
        <v>170</v>
      </c>
      <c r="C785" t="s">
        <v>160</v>
      </c>
      <c r="D785">
        <v>2011</v>
      </c>
      <c r="E785">
        <v>0</v>
      </c>
      <c r="F785" t="s">
        <v>182</v>
      </c>
    </row>
    <row r="786" spans="1:6" x14ac:dyDescent="0.25">
      <c r="A786" t="s">
        <v>169</v>
      </c>
      <c r="B786" t="s">
        <v>170</v>
      </c>
      <c r="C786" t="s">
        <v>160</v>
      </c>
      <c r="D786">
        <v>2010</v>
      </c>
      <c r="E786">
        <v>0</v>
      </c>
      <c r="F786" t="s">
        <v>182</v>
      </c>
    </row>
    <row r="787" spans="1:6" x14ac:dyDescent="0.25">
      <c r="A787" t="s">
        <v>169</v>
      </c>
      <c r="B787" t="s">
        <v>170</v>
      </c>
      <c r="C787" t="s">
        <v>125</v>
      </c>
      <c r="D787">
        <v>2014</v>
      </c>
      <c r="E787">
        <v>1.151</v>
      </c>
      <c r="F787" t="s">
        <v>182</v>
      </c>
    </row>
    <row r="788" spans="1:6" x14ac:dyDescent="0.25">
      <c r="A788" t="s">
        <v>169</v>
      </c>
      <c r="B788" t="s">
        <v>170</v>
      </c>
      <c r="C788" t="s">
        <v>125</v>
      </c>
      <c r="D788">
        <v>2013</v>
      </c>
      <c r="E788">
        <v>1.2869999999999999</v>
      </c>
      <c r="F788" t="s">
        <v>182</v>
      </c>
    </row>
    <row r="789" spans="1:6" x14ac:dyDescent="0.25">
      <c r="A789" t="s">
        <v>169</v>
      </c>
      <c r="B789" t="s">
        <v>170</v>
      </c>
      <c r="C789" t="s">
        <v>125</v>
      </c>
      <c r="D789">
        <v>2012</v>
      </c>
      <c r="E789">
        <v>1.1779999999999999</v>
      </c>
      <c r="F789" t="s">
        <v>182</v>
      </c>
    </row>
    <row r="790" spans="1:6" x14ac:dyDescent="0.25">
      <c r="A790" t="s">
        <v>169</v>
      </c>
      <c r="B790" t="s">
        <v>170</v>
      </c>
      <c r="C790" t="s">
        <v>125</v>
      </c>
      <c r="D790">
        <v>2011</v>
      </c>
      <c r="E790">
        <v>1.4630000000000001</v>
      </c>
      <c r="F790" t="s">
        <v>182</v>
      </c>
    </row>
    <row r="791" spans="1:6" x14ac:dyDescent="0.25">
      <c r="A791" t="s">
        <v>169</v>
      </c>
      <c r="B791" t="s">
        <v>170</v>
      </c>
      <c r="C791" t="s">
        <v>125</v>
      </c>
      <c r="D791">
        <v>2010</v>
      </c>
      <c r="E791">
        <v>1.1359999999999999</v>
      </c>
      <c r="F791" t="s">
        <v>182</v>
      </c>
    </row>
    <row r="792" spans="1:6" x14ac:dyDescent="0.25">
      <c r="A792" t="s">
        <v>169</v>
      </c>
      <c r="B792" t="s">
        <v>170</v>
      </c>
      <c r="C792" t="s">
        <v>126</v>
      </c>
      <c r="D792">
        <v>2014</v>
      </c>
      <c r="E792">
        <v>35.612000000000002</v>
      </c>
      <c r="F792" t="s">
        <v>182</v>
      </c>
    </row>
    <row r="793" spans="1:6" x14ac:dyDescent="0.25">
      <c r="A793" t="s">
        <v>169</v>
      </c>
      <c r="B793" t="s">
        <v>170</v>
      </c>
      <c r="C793" t="s">
        <v>126</v>
      </c>
      <c r="D793">
        <v>2013</v>
      </c>
      <c r="E793">
        <v>33.661999999999999</v>
      </c>
      <c r="F793" t="s">
        <v>182</v>
      </c>
    </row>
    <row r="794" spans="1:6" x14ac:dyDescent="0.25">
      <c r="A794" t="s">
        <v>169</v>
      </c>
      <c r="B794" t="s">
        <v>170</v>
      </c>
      <c r="C794" t="s">
        <v>126</v>
      </c>
      <c r="D794">
        <v>2012</v>
      </c>
      <c r="E794">
        <v>39.433999999999997</v>
      </c>
      <c r="F794" t="s">
        <v>182</v>
      </c>
    </row>
    <row r="795" spans="1:6" x14ac:dyDescent="0.25">
      <c r="A795" t="s">
        <v>169</v>
      </c>
      <c r="B795" t="s">
        <v>170</v>
      </c>
      <c r="C795" t="s">
        <v>126</v>
      </c>
      <c r="D795">
        <v>2011</v>
      </c>
      <c r="E795">
        <v>30.53</v>
      </c>
      <c r="F795" t="s">
        <v>182</v>
      </c>
    </row>
    <row r="796" spans="1:6" x14ac:dyDescent="0.25">
      <c r="A796" t="s">
        <v>169</v>
      </c>
      <c r="B796" t="s">
        <v>170</v>
      </c>
      <c r="C796" t="s">
        <v>126</v>
      </c>
      <c r="D796">
        <v>2010</v>
      </c>
      <c r="E796">
        <v>29.614999999999998</v>
      </c>
      <c r="F796" t="s">
        <v>182</v>
      </c>
    </row>
    <row r="797" spans="1:6" x14ac:dyDescent="0.25">
      <c r="A797" t="s">
        <v>169</v>
      </c>
      <c r="B797" t="s">
        <v>170</v>
      </c>
      <c r="C797" t="s">
        <v>127</v>
      </c>
      <c r="D797">
        <v>2014</v>
      </c>
      <c r="E797">
        <v>20.701000000000001</v>
      </c>
      <c r="F797" t="s">
        <v>182</v>
      </c>
    </row>
    <row r="798" spans="1:6" x14ac:dyDescent="0.25">
      <c r="A798" t="s">
        <v>169</v>
      </c>
      <c r="B798" t="s">
        <v>170</v>
      </c>
      <c r="C798" t="s">
        <v>127</v>
      </c>
      <c r="D798">
        <v>2013</v>
      </c>
      <c r="E798">
        <v>21.11</v>
      </c>
      <c r="F798" t="s">
        <v>182</v>
      </c>
    </row>
    <row r="799" spans="1:6" x14ac:dyDescent="0.25">
      <c r="A799" t="s">
        <v>169</v>
      </c>
      <c r="B799" t="s">
        <v>170</v>
      </c>
      <c r="C799" t="s">
        <v>127</v>
      </c>
      <c r="D799">
        <v>2012</v>
      </c>
      <c r="E799">
        <v>21.308</v>
      </c>
      <c r="F799" t="s">
        <v>182</v>
      </c>
    </row>
    <row r="800" spans="1:6" x14ac:dyDescent="0.25">
      <c r="A800" t="s">
        <v>169</v>
      </c>
      <c r="B800" t="s">
        <v>170</v>
      </c>
      <c r="C800" t="s">
        <v>127</v>
      </c>
      <c r="D800">
        <v>2011</v>
      </c>
      <c r="E800">
        <v>19.445</v>
      </c>
      <c r="F800" t="s">
        <v>182</v>
      </c>
    </row>
    <row r="801" spans="1:6" x14ac:dyDescent="0.25">
      <c r="A801" t="s">
        <v>169</v>
      </c>
      <c r="B801" t="s">
        <v>170</v>
      </c>
      <c r="C801" t="s">
        <v>127</v>
      </c>
      <c r="D801">
        <v>2010</v>
      </c>
      <c r="E801">
        <v>21.452999999999999</v>
      </c>
      <c r="F801" t="s">
        <v>182</v>
      </c>
    </row>
    <row r="802" spans="1:6" x14ac:dyDescent="0.25">
      <c r="A802" t="s">
        <v>169</v>
      </c>
      <c r="B802" t="s">
        <v>170</v>
      </c>
      <c r="C802" t="s">
        <v>128</v>
      </c>
      <c r="D802">
        <v>2014</v>
      </c>
      <c r="E802">
        <v>3.27</v>
      </c>
      <c r="F802" t="s">
        <v>182</v>
      </c>
    </row>
    <row r="803" spans="1:6" x14ac:dyDescent="0.25">
      <c r="A803" t="s">
        <v>169</v>
      </c>
      <c r="B803" t="s">
        <v>170</v>
      </c>
      <c r="C803" t="s">
        <v>128</v>
      </c>
      <c r="D803">
        <v>2013</v>
      </c>
      <c r="E803">
        <v>4.2539999999999996</v>
      </c>
      <c r="F803" t="s">
        <v>182</v>
      </c>
    </row>
    <row r="804" spans="1:6" x14ac:dyDescent="0.25">
      <c r="A804" t="s">
        <v>169</v>
      </c>
      <c r="B804" t="s">
        <v>170</v>
      </c>
      <c r="C804" t="s">
        <v>128</v>
      </c>
      <c r="D804">
        <v>2012</v>
      </c>
      <c r="E804">
        <v>4.0279999999999996</v>
      </c>
      <c r="F804" t="s">
        <v>182</v>
      </c>
    </row>
    <row r="805" spans="1:6" x14ac:dyDescent="0.25">
      <c r="A805" t="s">
        <v>169</v>
      </c>
      <c r="B805" t="s">
        <v>170</v>
      </c>
      <c r="C805" t="s">
        <v>128</v>
      </c>
      <c r="D805">
        <v>2011</v>
      </c>
      <c r="E805">
        <v>5.0030000000000001</v>
      </c>
      <c r="F805" t="s">
        <v>182</v>
      </c>
    </row>
    <row r="806" spans="1:6" x14ac:dyDescent="0.25">
      <c r="A806" t="s">
        <v>169</v>
      </c>
      <c r="B806" t="s">
        <v>170</v>
      </c>
      <c r="C806" t="s">
        <v>128</v>
      </c>
      <c r="D806">
        <v>2010</v>
      </c>
      <c r="E806">
        <v>3.8069999999999999</v>
      </c>
      <c r="F806" t="s">
        <v>182</v>
      </c>
    </row>
    <row r="807" spans="1:6" x14ac:dyDescent="0.25">
      <c r="A807" t="s">
        <v>169</v>
      </c>
      <c r="B807" t="s">
        <v>170</v>
      </c>
      <c r="C807" t="s">
        <v>161</v>
      </c>
      <c r="D807">
        <v>2014</v>
      </c>
      <c r="E807">
        <v>0</v>
      </c>
      <c r="F807" t="s">
        <v>182</v>
      </c>
    </row>
    <row r="808" spans="1:6" x14ac:dyDescent="0.25">
      <c r="A808" t="s">
        <v>169</v>
      </c>
      <c r="B808" t="s">
        <v>170</v>
      </c>
      <c r="C808" t="s">
        <v>161</v>
      </c>
      <c r="D808">
        <v>2013</v>
      </c>
      <c r="E808">
        <v>0</v>
      </c>
      <c r="F808" t="s">
        <v>182</v>
      </c>
    </row>
    <row r="809" spans="1:6" x14ac:dyDescent="0.25">
      <c r="A809" t="s">
        <v>169</v>
      </c>
      <c r="B809" t="s">
        <v>170</v>
      </c>
      <c r="C809" t="s">
        <v>161</v>
      </c>
      <c r="D809">
        <v>2012</v>
      </c>
      <c r="E809">
        <v>0</v>
      </c>
      <c r="F809" t="s">
        <v>182</v>
      </c>
    </row>
    <row r="810" spans="1:6" x14ac:dyDescent="0.25">
      <c r="A810" t="s">
        <v>169</v>
      </c>
      <c r="B810" t="s">
        <v>170</v>
      </c>
      <c r="C810" t="s">
        <v>161</v>
      </c>
      <c r="D810">
        <v>2011</v>
      </c>
      <c r="E810">
        <v>0</v>
      </c>
      <c r="F810" t="s">
        <v>182</v>
      </c>
    </row>
    <row r="811" spans="1:6" x14ac:dyDescent="0.25">
      <c r="A811" t="s">
        <v>169</v>
      </c>
      <c r="B811" t="s">
        <v>170</v>
      </c>
      <c r="C811" t="s">
        <v>161</v>
      </c>
      <c r="D811">
        <v>2010</v>
      </c>
      <c r="E811">
        <v>0</v>
      </c>
      <c r="F811" t="s">
        <v>182</v>
      </c>
    </row>
    <row r="812" spans="1:6" x14ac:dyDescent="0.25">
      <c r="A812" t="s">
        <v>169</v>
      </c>
      <c r="B812" t="s">
        <v>170</v>
      </c>
      <c r="C812" t="s">
        <v>162</v>
      </c>
      <c r="D812">
        <v>2014</v>
      </c>
      <c r="E812">
        <v>0</v>
      </c>
      <c r="F812" t="s">
        <v>182</v>
      </c>
    </row>
    <row r="813" spans="1:6" x14ac:dyDescent="0.25">
      <c r="A813" t="s">
        <v>169</v>
      </c>
      <c r="B813" t="s">
        <v>170</v>
      </c>
      <c r="C813" t="s">
        <v>162</v>
      </c>
      <c r="D813">
        <v>2013</v>
      </c>
      <c r="E813">
        <v>0</v>
      </c>
      <c r="F813" t="s">
        <v>182</v>
      </c>
    </row>
    <row r="814" spans="1:6" x14ac:dyDescent="0.25">
      <c r="A814" t="s">
        <v>169</v>
      </c>
      <c r="B814" t="s">
        <v>170</v>
      </c>
      <c r="C814" t="s">
        <v>162</v>
      </c>
      <c r="D814">
        <v>2012</v>
      </c>
      <c r="E814">
        <v>0</v>
      </c>
      <c r="F814" t="s">
        <v>182</v>
      </c>
    </row>
    <row r="815" spans="1:6" x14ac:dyDescent="0.25">
      <c r="A815" t="s">
        <v>169</v>
      </c>
      <c r="B815" t="s">
        <v>170</v>
      </c>
      <c r="C815" t="s">
        <v>162</v>
      </c>
      <c r="D815">
        <v>2011</v>
      </c>
      <c r="E815">
        <v>0</v>
      </c>
      <c r="F815" t="s">
        <v>182</v>
      </c>
    </row>
    <row r="816" spans="1:6" x14ac:dyDescent="0.25">
      <c r="A816" t="s">
        <v>169</v>
      </c>
      <c r="B816" t="s">
        <v>170</v>
      </c>
      <c r="C816" t="s">
        <v>162</v>
      </c>
      <c r="D816">
        <v>2010</v>
      </c>
      <c r="E816">
        <v>0</v>
      </c>
      <c r="F816" t="s">
        <v>182</v>
      </c>
    </row>
    <row r="817" spans="1:6" x14ac:dyDescent="0.25">
      <c r="A817" t="s">
        <v>169</v>
      </c>
      <c r="B817" t="s">
        <v>170</v>
      </c>
      <c r="C817" t="s">
        <v>129</v>
      </c>
      <c r="D817">
        <v>2014</v>
      </c>
      <c r="E817">
        <v>29.701000000000001</v>
      </c>
      <c r="F817" t="s">
        <v>182</v>
      </c>
    </row>
    <row r="818" spans="1:6" x14ac:dyDescent="0.25">
      <c r="A818" t="s">
        <v>169</v>
      </c>
      <c r="B818" t="s">
        <v>170</v>
      </c>
      <c r="C818" t="s">
        <v>129</v>
      </c>
      <c r="D818">
        <v>2013</v>
      </c>
      <c r="E818">
        <v>27.143999999999998</v>
      </c>
      <c r="F818" t="s">
        <v>182</v>
      </c>
    </row>
    <row r="819" spans="1:6" x14ac:dyDescent="0.25">
      <c r="A819" t="s">
        <v>169</v>
      </c>
      <c r="B819" t="s">
        <v>170</v>
      </c>
      <c r="C819" t="s">
        <v>129</v>
      </c>
      <c r="D819">
        <v>2012</v>
      </c>
      <c r="E819">
        <v>26.725000000000001</v>
      </c>
      <c r="F819" t="s">
        <v>182</v>
      </c>
    </row>
    <row r="820" spans="1:6" x14ac:dyDescent="0.25">
      <c r="A820" t="s">
        <v>169</v>
      </c>
      <c r="B820" t="s">
        <v>170</v>
      </c>
      <c r="C820" t="s">
        <v>129</v>
      </c>
      <c r="D820">
        <v>2011</v>
      </c>
      <c r="E820">
        <v>22.792999999999999</v>
      </c>
      <c r="F820" t="s">
        <v>182</v>
      </c>
    </row>
    <row r="821" spans="1:6" x14ac:dyDescent="0.25">
      <c r="A821" t="s">
        <v>169</v>
      </c>
      <c r="B821" t="s">
        <v>170</v>
      </c>
      <c r="C821" t="s">
        <v>129</v>
      </c>
      <c r="D821">
        <v>2010</v>
      </c>
      <c r="E821">
        <v>24.087</v>
      </c>
      <c r="F821" t="s">
        <v>182</v>
      </c>
    </row>
    <row r="822" spans="1:6" x14ac:dyDescent="0.25">
      <c r="A822" t="s">
        <v>169</v>
      </c>
      <c r="B822" t="s">
        <v>170</v>
      </c>
      <c r="C822" t="s">
        <v>130</v>
      </c>
      <c r="D822">
        <v>2014</v>
      </c>
      <c r="E822">
        <v>25.152999999999999</v>
      </c>
      <c r="F822" t="s">
        <v>182</v>
      </c>
    </row>
    <row r="823" spans="1:6" x14ac:dyDescent="0.25">
      <c r="A823" t="s">
        <v>169</v>
      </c>
      <c r="B823" t="s">
        <v>170</v>
      </c>
      <c r="C823" t="s">
        <v>130</v>
      </c>
      <c r="D823">
        <v>2013</v>
      </c>
      <c r="E823">
        <v>22.908999999999999</v>
      </c>
      <c r="F823" t="s">
        <v>182</v>
      </c>
    </row>
    <row r="824" spans="1:6" x14ac:dyDescent="0.25">
      <c r="A824" t="s">
        <v>169</v>
      </c>
      <c r="B824" t="s">
        <v>170</v>
      </c>
      <c r="C824" t="s">
        <v>130</v>
      </c>
      <c r="D824">
        <v>2012</v>
      </c>
      <c r="E824">
        <v>19.372</v>
      </c>
      <c r="F824" t="s">
        <v>182</v>
      </c>
    </row>
    <row r="825" spans="1:6" x14ac:dyDescent="0.25">
      <c r="A825" t="s">
        <v>169</v>
      </c>
      <c r="B825" t="s">
        <v>170</v>
      </c>
      <c r="C825" t="s">
        <v>130</v>
      </c>
      <c r="D825">
        <v>2011</v>
      </c>
      <c r="E825">
        <v>15.849</v>
      </c>
      <c r="F825" t="s">
        <v>182</v>
      </c>
    </row>
    <row r="826" spans="1:6" x14ac:dyDescent="0.25">
      <c r="A826" t="s">
        <v>169</v>
      </c>
      <c r="B826" t="s">
        <v>170</v>
      </c>
      <c r="C826" t="s">
        <v>130</v>
      </c>
      <c r="D826">
        <v>2010</v>
      </c>
      <c r="E826">
        <v>18.425999999999998</v>
      </c>
      <c r="F826" t="s">
        <v>182</v>
      </c>
    </row>
    <row r="827" spans="1:6" x14ac:dyDescent="0.25">
      <c r="A827" t="s">
        <v>169</v>
      </c>
      <c r="B827" t="s">
        <v>170</v>
      </c>
      <c r="C827" t="s">
        <v>131</v>
      </c>
      <c r="D827">
        <v>2014</v>
      </c>
      <c r="E827">
        <v>0</v>
      </c>
      <c r="F827" t="s">
        <v>182</v>
      </c>
    </row>
    <row r="828" spans="1:6" x14ac:dyDescent="0.25">
      <c r="A828" t="s">
        <v>169</v>
      </c>
      <c r="B828" t="s">
        <v>170</v>
      </c>
      <c r="C828" t="s">
        <v>131</v>
      </c>
      <c r="D828">
        <v>2013</v>
      </c>
      <c r="E828">
        <v>0</v>
      </c>
      <c r="F828" t="s">
        <v>182</v>
      </c>
    </row>
    <row r="829" spans="1:6" x14ac:dyDescent="0.25">
      <c r="A829" t="s">
        <v>169</v>
      </c>
      <c r="B829" t="s">
        <v>170</v>
      </c>
      <c r="C829" t="s">
        <v>131</v>
      </c>
      <c r="D829">
        <v>2012</v>
      </c>
      <c r="E829">
        <v>0</v>
      </c>
      <c r="F829" t="s">
        <v>182</v>
      </c>
    </row>
    <row r="830" spans="1:6" x14ac:dyDescent="0.25">
      <c r="A830" t="s">
        <v>169</v>
      </c>
      <c r="B830" t="s">
        <v>170</v>
      </c>
      <c r="C830" t="s">
        <v>131</v>
      </c>
      <c r="D830">
        <v>2011</v>
      </c>
      <c r="E830">
        <v>0</v>
      </c>
      <c r="F830" t="s">
        <v>182</v>
      </c>
    </row>
    <row r="831" spans="1:6" x14ac:dyDescent="0.25">
      <c r="A831" t="s">
        <v>169</v>
      </c>
      <c r="B831" t="s">
        <v>170</v>
      </c>
      <c r="C831" t="s">
        <v>131</v>
      </c>
      <c r="D831">
        <v>2010</v>
      </c>
      <c r="E831">
        <v>0</v>
      </c>
      <c r="F831" t="s">
        <v>182</v>
      </c>
    </row>
    <row r="832" spans="1:6" x14ac:dyDescent="0.25">
      <c r="A832" t="s">
        <v>169</v>
      </c>
      <c r="B832" t="s">
        <v>170</v>
      </c>
      <c r="C832" t="s">
        <v>132</v>
      </c>
      <c r="D832">
        <v>2014</v>
      </c>
      <c r="E832">
        <v>2.9</v>
      </c>
      <c r="F832" t="s">
        <v>182</v>
      </c>
    </row>
    <row r="833" spans="1:6" x14ac:dyDescent="0.25">
      <c r="A833" t="s">
        <v>169</v>
      </c>
      <c r="B833" t="s">
        <v>170</v>
      </c>
      <c r="C833" t="s">
        <v>132</v>
      </c>
      <c r="D833">
        <v>2013</v>
      </c>
      <c r="E833">
        <v>2.4740000000000002</v>
      </c>
      <c r="F833" t="s">
        <v>182</v>
      </c>
    </row>
    <row r="834" spans="1:6" x14ac:dyDescent="0.25">
      <c r="A834" t="s">
        <v>169</v>
      </c>
      <c r="B834" t="s">
        <v>170</v>
      </c>
      <c r="C834" t="s">
        <v>132</v>
      </c>
      <c r="D834">
        <v>2012</v>
      </c>
      <c r="E834">
        <v>1.2529999999999999</v>
      </c>
      <c r="F834" t="s">
        <v>182</v>
      </c>
    </row>
    <row r="835" spans="1:6" x14ac:dyDescent="0.25">
      <c r="A835" t="s">
        <v>169</v>
      </c>
      <c r="B835" t="s">
        <v>170</v>
      </c>
      <c r="C835" t="s">
        <v>132</v>
      </c>
      <c r="D835">
        <v>2011</v>
      </c>
      <c r="E835">
        <v>0.81899999999999995</v>
      </c>
      <c r="F835" t="s">
        <v>182</v>
      </c>
    </row>
    <row r="836" spans="1:6" x14ac:dyDescent="0.25">
      <c r="A836" t="s">
        <v>169</v>
      </c>
      <c r="B836" t="s">
        <v>170</v>
      </c>
      <c r="C836" t="s">
        <v>132</v>
      </c>
      <c r="D836">
        <v>2010</v>
      </c>
      <c r="E836">
        <v>0.45800000000000002</v>
      </c>
      <c r="F836" t="s">
        <v>182</v>
      </c>
    </row>
    <row r="837" spans="1:6" x14ac:dyDescent="0.25">
      <c r="A837" t="s">
        <v>169</v>
      </c>
      <c r="B837" t="s">
        <v>170</v>
      </c>
      <c r="C837" t="s">
        <v>163</v>
      </c>
      <c r="D837">
        <v>2014</v>
      </c>
      <c r="E837">
        <v>0</v>
      </c>
      <c r="F837" t="s">
        <v>182</v>
      </c>
    </row>
    <row r="838" spans="1:6" x14ac:dyDescent="0.25">
      <c r="A838" t="s">
        <v>169</v>
      </c>
      <c r="B838" t="s">
        <v>170</v>
      </c>
      <c r="C838" t="s">
        <v>163</v>
      </c>
      <c r="D838">
        <v>2013</v>
      </c>
      <c r="E838">
        <v>0</v>
      </c>
      <c r="F838" t="s">
        <v>182</v>
      </c>
    </row>
    <row r="839" spans="1:6" x14ac:dyDescent="0.25">
      <c r="A839" t="s">
        <v>169</v>
      </c>
      <c r="B839" t="s">
        <v>170</v>
      </c>
      <c r="C839" t="s">
        <v>163</v>
      </c>
      <c r="D839">
        <v>2012</v>
      </c>
      <c r="E839">
        <v>0</v>
      </c>
      <c r="F839" t="s">
        <v>182</v>
      </c>
    </row>
    <row r="840" spans="1:6" x14ac:dyDescent="0.25">
      <c r="A840" t="s">
        <v>169</v>
      </c>
      <c r="B840" t="s">
        <v>170</v>
      </c>
      <c r="C840" t="s">
        <v>163</v>
      </c>
      <c r="D840">
        <v>2011</v>
      </c>
      <c r="E840">
        <v>0</v>
      </c>
      <c r="F840" t="s">
        <v>182</v>
      </c>
    </row>
    <row r="841" spans="1:6" x14ac:dyDescent="0.25">
      <c r="A841" t="s">
        <v>169</v>
      </c>
      <c r="B841" t="s">
        <v>170</v>
      </c>
      <c r="C841" t="s">
        <v>163</v>
      </c>
      <c r="D841">
        <v>2010</v>
      </c>
      <c r="E841">
        <v>0</v>
      </c>
      <c r="F841" t="s">
        <v>182</v>
      </c>
    </row>
    <row r="842" spans="1:6" x14ac:dyDescent="0.25">
      <c r="A842" t="s">
        <v>169</v>
      </c>
      <c r="B842" t="s">
        <v>170</v>
      </c>
      <c r="C842" t="s">
        <v>133</v>
      </c>
      <c r="D842">
        <v>2014</v>
      </c>
      <c r="E842">
        <v>30.009</v>
      </c>
      <c r="F842" t="s">
        <v>182</v>
      </c>
    </row>
    <row r="843" spans="1:6" x14ac:dyDescent="0.25">
      <c r="A843" t="s">
        <v>169</v>
      </c>
      <c r="B843" t="s">
        <v>170</v>
      </c>
      <c r="C843" t="s">
        <v>133</v>
      </c>
      <c r="D843">
        <v>2013</v>
      </c>
      <c r="E843">
        <v>24.843</v>
      </c>
      <c r="F843" t="s">
        <v>182</v>
      </c>
    </row>
    <row r="844" spans="1:6" x14ac:dyDescent="0.25">
      <c r="A844" t="s">
        <v>169</v>
      </c>
      <c r="B844" t="s">
        <v>170</v>
      </c>
      <c r="C844" t="s">
        <v>133</v>
      </c>
      <c r="D844">
        <v>2012</v>
      </c>
      <c r="E844">
        <v>26.100999999999999</v>
      </c>
      <c r="F844" t="s">
        <v>182</v>
      </c>
    </row>
    <row r="845" spans="1:6" x14ac:dyDescent="0.25">
      <c r="A845" t="s">
        <v>169</v>
      </c>
      <c r="B845" t="s">
        <v>170</v>
      </c>
      <c r="C845" t="s">
        <v>133</v>
      </c>
      <c r="D845">
        <v>2011</v>
      </c>
      <c r="E845">
        <v>25.542000000000002</v>
      </c>
      <c r="F845" t="s">
        <v>182</v>
      </c>
    </row>
    <row r="846" spans="1:6" x14ac:dyDescent="0.25">
      <c r="A846" t="s">
        <v>169</v>
      </c>
      <c r="B846" t="s">
        <v>170</v>
      </c>
      <c r="C846" t="s">
        <v>133</v>
      </c>
      <c r="D846">
        <v>2010</v>
      </c>
      <c r="E846">
        <v>25.001000000000001</v>
      </c>
      <c r="F846" t="s">
        <v>182</v>
      </c>
    </row>
    <row r="847" spans="1:6" x14ac:dyDescent="0.25">
      <c r="A847" t="s">
        <v>169</v>
      </c>
      <c r="B847" t="s">
        <v>170</v>
      </c>
      <c r="C847" t="s">
        <v>134</v>
      </c>
      <c r="D847">
        <v>2014</v>
      </c>
      <c r="E847">
        <v>5.0119999999999996</v>
      </c>
      <c r="F847" t="s">
        <v>182</v>
      </c>
    </row>
    <row r="848" spans="1:6" x14ac:dyDescent="0.25">
      <c r="A848" t="s">
        <v>169</v>
      </c>
      <c r="B848" t="s">
        <v>170</v>
      </c>
      <c r="C848" t="s">
        <v>134</v>
      </c>
      <c r="D848">
        <v>2013</v>
      </c>
      <c r="E848">
        <v>5.3109999999999999</v>
      </c>
      <c r="F848" t="s">
        <v>182</v>
      </c>
    </row>
    <row r="849" spans="1:6" x14ac:dyDescent="0.25">
      <c r="A849" t="s">
        <v>169</v>
      </c>
      <c r="B849" t="s">
        <v>170</v>
      </c>
      <c r="C849" t="s">
        <v>134</v>
      </c>
      <c r="D849">
        <v>2012</v>
      </c>
      <c r="E849">
        <v>5.2770000000000001</v>
      </c>
      <c r="F849" t="s">
        <v>182</v>
      </c>
    </row>
    <row r="850" spans="1:6" x14ac:dyDescent="0.25">
      <c r="A850" t="s">
        <v>169</v>
      </c>
      <c r="B850" t="s">
        <v>170</v>
      </c>
      <c r="C850" t="s">
        <v>134</v>
      </c>
      <c r="D850">
        <v>2011</v>
      </c>
      <c r="E850">
        <v>4.8650000000000002</v>
      </c>
      <c r="F850" t="s">
        <v>182</v>
      </c>
    </row>
    <row r="851" spans="1:6" x14ac:dyDescent="0.25">
      <c r="A851" t="s">
        <v>169</v>
      </c>
      <c r="B851" t="s">
        <v>170</v>
      </c>
      <c r="C851" t="s">
        <v>134</v>
      </c>
      <c r="D851">
        <v>2010</v>
      </c>
      <c r="E851">
        <v>4.585</v>
      </c>
      <c r="F851" t="s">
        <v>182</v>
      </c>
    </row>
    <row r="852" spans="1:6" x14ac:dyDescent="0.25">
      <c r="A852" t="s">
        <v>169</v>
      </c>
      <c r="B852" t="s">
        <v>170</v>
      </c>
      <c r="C852" t="s">
        <v>135</v>
      </c>
      <c r="D852">
        <v>2014</v>
      </c>
      <c r="E852">
        <v>12.769</v>
      </c>
      <c r="F852" t="s">
        <v>182</v>
      </c>
    </row>
    <row r="853" spans="1:6" x14ac:dyDescent="0.25">
      <c r="A853" t="s">
        <v>169</v>
      </c>
      <c r="B853" t="s">
        <v>170</v>
      </c>
      <c r="C853" t="s">
        <v>135</v>
      </c>
      <c r="D853">
        <v>2013</v>
      </c>
      <c r="E853">
        <v>8.8480000000000008</v>
      </c>
      <c r="F853" t="s">
        <v>182</v>
      </c>
    </row>
    <row r="854" spans="1:6" x14ac:dyDescent="0.25">
      <c r="A854" t="s">
        <v>169</v>
      </c>
      <c r="B854" t="s">
        <v>170</v>
      </c>
      <c r="C854" t="s">
        <v>135</v>
      </c>
      <c r="D854">
        <v>2012</v>
      </c>
      <c r="E854">
        <v>9.3940000000000001</v>
      </c>
      <c r="F854" t="s">
        <v>182</v>
      </c>
    </row>
    <row r="855" spans="1:6" x14ac:dyDescent="0.25">
      <c r="A855" t="s">
        <v>169</v>
      </c>
      <c r="B855" t="s">
        <v>170</v>
      </c>
      <c r="C855" t="s">
        <v>135</v>
      </c>
      <c r="D855">
        <v>2011</v>
      </c>
      <c r="E855">
        <v>7.6449999999999996</v>
      </c>
      <c r="F855" t="s">
        <v>182</v>
      </c>
    </row>
    <row r="856" spans="1:6" x14ac:dyDescent="0.25">
      <c r="A856" t="s">
        <v>169</v>
      </c>
      <c r="B856" t="s">
        <v>170</v>
      </c>
      <c r="C856" t="s">
        <v>135</v>
      </c>
      <c r="D856">
        <v>2010</v>
      </c>
      <c r="E856">
        <v>8.2270000000000003</v>
      </c>
      <c r="F856" t="s">
        <v>182</v>
      </c>
    </row>
    <row r="857" spans="1:6" x14ac:dyDescent="0.25">
      <c r="A857" t="s">
        <v>169</v>
      </c>
      <c r="B857" t="s">
        <v>170</v>
      </c>
      <c r="C857" t="s">
        <v>136</v>
      </c>
      <c r="D857">
        <v>2014</v>
      </c>
      <c r="E857">
        <v>0.123</v>
      </c>
      <c r="F857" t="s">
        <v>182</v>
      </c>
    </row>
    <row r="858" spans="1:6" x14ac:dyDescent="0.25">
      <c r="A858" t="s">
        <v>169</v>
      </c>
      <c r="B858" t="s">
        <v>170</v>
      </c>
      <c r="C858" t="s">
        <v>136</v>
      </c>
      <c r="D858">
        <v>2013</v>
      </c>
      <c r="E858">
        <v>0.11600000000000001</v>
      </c>
      <c r="F858" t="s">
        <v>182</v>
      </c>
    </row>
    <row r="859" spans="1:6" x14ac:dyDescent="0.25">
      <c r="A859" t="s">
        <v>169</v>
      </c>
      <c r="B859" t="s">
        <v>170</v>
      </c>
      <c r="C859" t="s">
        <v>136</v>
      </c>
      <c r="D859">
        <v>2012</v>
      </c>
      <c r="E859">
        <v>0.10199999999999999</v>
      </c>
      <c r="F859" t="s">
        <v>182</v>
      </c>
    </row>
    <row r="860" spans="1:6" x14ac:dyDescent="0.25">
      <c r="A860" t="s">
        <v>169</v>
      </c>
      <c r="B860" t="s">
        <v>170</v>
      </c>
      <c r="C860" t="s">
        <v>136</v>
      </c>
      <c r="D860">
        <v>2011</v>
      </c>
      <c r="E860">
        <v>0.10100000000000001</v>
      </c>
      <c r="F860" t="s">
        <v>182</v>
      </c>
    </row>
    <row r="861" spans="1:6" x14ac:dyDescent="0.25">
      <c r="A861" t="s">
        <v>169</v>
      </c>
      <c r="B861" t="s">
        <v>170</v>
      </c>
      <c r="C861" t="s">
        <v>136</v>
      </c>
      <c r="D861">
        <v>2010</v>
      </c>
      <c r="E861">
        <v>9.5000000000000001E-2</v>
      </c>
      <c r="F861" t="s">
        <v>182</v>
      </c>
    </row>
    <row r="862" spans="1:6" x14ac:dyDescent="0.25">
      <c r="A862" t="s">
        <v>169</v>
      </c>
      <c r="B862" t="s">
        <v>170</v>
      </c>
      <c r="C862" t="s">
        <v>137</v>
      </c>
      <c r="D862">
        <v>2014</v>
      </c>
      <c r="E862">
        <v>5.8360000000000003</v>
      </c>
      <c r="F862" t="s">
        <v>182</v>
      </c>
    </row>
    <row r="863" spans="1:6" x14ac:dyDescent="0.25">
      <c r="A863" t="s">
        <v>169</v>
      </c>
      <c r="B863" t="s">
        <v>170</v>
      </c>
      <c r="C863" t="s">
        <v>137</v>
      </c>
      <c r="D863">
        <v>2013</v>
      </c>
      <c r="E863">
        <v>5.9880000000000004</v>
      </c>
      <c r="F863" t="s">
        <v>182</v>
      </c>
    </row>
    <row r="864" spans="1:6" x14ac:dyDescent="0.25">
      <c r="A864" t="s">
        <v>169</v>
      </c>
      <c r="B864" t="s">
        <v>170</v>
      </c>
      <c r="C864" t="s">
        <v>137</v>
      </c>
      <c r="D864">
        <v>2012</v>
      </c>
      <c r="E864">
        <v>5.9039999999999999</v>
      </c>
      <c r="F864" t="s">
        <v>182</v>
      </c>
    </row>
    <row r="865" spans="1:6" x14ac:dyDescent="0.25">
      <c r="A865" t="s">
        <v>169</v>
      </c>
      <c r="B865" t="s">
        <v>170</v>
      </c>
      <c r="C865" t="s">
        <v>137</v>
      </c>
      <c r="D865">
        <v>2011</v>
      </c>
      <c r="E865">
        <v>5.4349999999999996</v>
      </c>
      <c r="F865" t="s">
        <v>182</v>
      </c>
    </row>
    <row r="866" spans="1:6" x14ac:dyDescent="0.25">
      <c r="A866" t="s">
        <v>169</v>
      </c>
      <c r="B866" t="s">
        <v>170</v>
      </c>
      <c r="C866" t="s">
        <v>137</v>
      </c>
      <c r="D866">
        <v>2010</v>
      </c>
      <c r="E866">
        <v>6.1909999999999998</v>
      </c>
      <c r="F866" t="s">
        <v>182</v>
      </c>
    </row>
    <row r="867" spans="1:6" x14ac:dyDescent="0.25">
      <c r="A867" t="s">
        <v>169</v>
      </c>
      <c r="B867" t="s">
        <v>170</v>
      </c>
      <c r="C867" t="s">
        <v>138</v>
      </c>
      <c r="D867">
        <v>2014</v>
      </c>
      <c r="E867">
        <v>0.35499999999999998</v>
      </c>
      <c r="F867" t="s">
        <v>182</v>
      </c>
    </row>
    <row r="868" spans="1:6" x14ac:dyDescent="0.25">
      <c r="A868" t="s">
        <v>169</v>
      </c>
      <c r="B868" t="s">
        <v>170</v>
      </c>
      <c r="C868" t="s">
        <v>138</v>
      </c>
      <c r="D868">
        <v>2013</v>
      </c>
      <c r="E868">
        <v>0.26900000000000002</v>
      </c>
      <c r="F868" t="s">
        <v>182</v>
      </c>
    </row>
    <row r="869" spans="1:6" x14ac:dyDescent="0.25">
      <c r="A869" t="s">
        <v>169</v>
      </c>
      <c r="B869" t="s">
        <v>170</v>
      </c>
      <c r="C869" t="s">
        <v>138</v>
      </c>
      <c r="D869">
        <v>2012</v>
      </c>
      <c r="E869">
        <v>0.23</v>
      </c>
      <c r="F869" t="s">
        <v>182</v>
      </c>
    </row>
    <row r="870" spans="1:6" x14ac:dyDescent="0.25">
      <c r="A870" t="s">
        <v>169</v>
      </c>
      <c r="B870" t="s">
        <v>170</v>
      </c>
      <c r="C870" t="s">
        <v>138</v>
      </c>
      <c r="D870">
        <v>2011</v>
      </c>
      <c r="E870">
        <v>0.4</v>
      </c>
      <c r="F870" t="s">
        <v>182</v>
      </c>
    </row>
    <row r="871" spans="1:6" x14ac:dyDescent="0.25">
      <c r="A871" t="s">
        <v>169</v>
      </c>
      <c r="B871" t="s">
        <v>170</v>
      </c>
      <c r="C871" t="s">
        <v>138</v>
      </c>
      <c r="D871">
        <v>2010</v>
      </c>
      <c r="E871">
        <v>0.51800000000000002</v>
      </c>
      <c r="F871" t="s">
        <v>182</v>
      </c>
    </row>
    <row r="872" spans="1:6" x14ac:dyDescent="0.25">
      <c r="A872" t="s">
        <v>169</v>
      </c>
      <c r="B872" t="s">
        <v>170</v>
      </c>
      <c r="C872" t="s">
        <v>164</v>
      </c>
      <c r="D872">
        <v>2014</v>
      </c>
      <c r="E872">
        <v>0</v>
      </c>
      <c r="F872" t="s">
        <v>182</v>
      </c>
    </row>
    <row r="873" spans="1:6" x14ac:dyDescent="0.25">
      <c r="A873" t="s">
        <v>169</v>
      </c>
      <c r="B873" t="s">
        <v>170</v>
      </c>
      <c r="C873" t="s">
        <v>164</v>
      </c>
      <c r="D873">
        <v>2013</v>
      </c>
      <c r="E873">
        <v>0</v>
      </c>
      <c r="F873" t="s">
        <v>182</v>
      </c>
    </row>
    <row r="874" spans="1:6" x14ac:dyDescent="0.25">
      <c r="A874" t="s">
        <v>169</v>
      </c>
      <c r="B874" t="s">
        <v>170</v>
      </c>
      <c r="C874" t="s">
        <v>164</v>
      </c>
      <c r="D874">
        <v>2012</v>
      </c>
      <c r="E874">
        <v>0</v>
      </c>
      <c r="F874" t="s">
        <v>182</v>
      </c>
    </row>
    <row r="875" spans="1:6" x14ac:dyDescent="0.25">
      <c r="A875" t="s">
        <v>169</v>
      </c>
      <c r="B875" t="s">
        <v>170</v>
      </c>
      <c r="C875" t="s">
        <v>164</v>
      </c>
      <c r="D875">
        <v>2011</v>
      </c>
      <c r="E875">
        <v>0</v>
      </c>
      <c r="F875" t="s">
        <v>182</v>
      </c>
    </row>
    <row r="876" spans="1:6" x14ac:dyDescent="0.25">
      <c r="A876" t="s">
        <v>169</v>
      </c>
      <c r="B876" t="s">
        <v>170</v>
      </c>
      <c r="C876" t="s">
        <v>164</v>
      </c>
      <c r="D876">
        <v>2010</v>
      </c>
      <c r="E876">
        <v>0</v>
      </c>
      <c r="F876" t="s">
        <v>182</v>
      </c>
    </row>
    <row r="877" spans="1:6" x14ac:dyDescent="0.25">
      <c r="A877" t="s">
        <v>169</v>
      </c>
      <c r="B877" t="s">
        <v>170</v>
      </c>
      <c r="C877" t="s">
        <v>139</v>
      </c>
      <c r="D877">
        <v>2014</v>
      </c>
      <c r="E877">
        <v>0</v>
      </c>
      <c r="F877" t="s">
        <v>182</v>
      </c>
    </row>
    <row r="878" spans="1:6" x14ac:dyDescent="0.25">
      <c r="A878" t="s">
        <v>169</v>
      </c>
      <c r="B878" t="s">
        <v>170</v>
      </c>
      <c r="C878" t="s">
        <v>139</v>
      </c>
      <c r="D878">
        <v>2013</v>
      </c>
      <c r="E878">
        <v>0</v>
      </c>
      <c r="F878" t="s">
        <v>182</v>
      </c>
    </row>
    <row r="879" spans="1:6" x14ac:dyDescent="0.25">
      <c r="A879" t="s">
        <v>169</v>
      </c>
      <c r="B879" t="s">
        <v>170</v>
      </c>
      <c r="C879" t="s">
        <v>139</v>
      </c>
      <c r="D879">
        <v>2012</v>
      </c>
      <c r="E879">
        <v>0</v>
      </c>
      <c r="F879" t="s">
        <v>182</v>
      </c>
    </row>
    <row r="880" spans="1:6" x14ac:dyDescent="0.25">
      <c r="A880" t="s">
        <v>169</v>
      </c>
      <c r="B880" t="s">
        <v>170</v>
      </c>
      <c r="C880" t="s">
        <v>139</v>
      </c>
      <c r="D880">
        <v>2011</v>
      </c>
      <c r="E880">
        <v>0</v>
      </c>
      <c r="F880" t="s">
        <v>182</v>
      </c>
    </row>
    <row r="881" spans="1:6" x14ac:dyDescent="0.25">
      <c r="A881" t="s">
        <v>169</v>
      </c>
      <c r="B881" t="s">
        <v>170</v>
      </c>
      <c r="C881" t="s">
        <v>139</v>
      </c>
      <c r="D881">
        <v>2010</v>
      </c>
      <c r="E881">
        <v>0</v>
      </c>
      <c r="F881" t="s">
        <v>182</v>
      </c>
    </row>
    <row r="882" spans="1:6" x14ac:dyDescent="0.25">
      <c r="A882" t="s">
        <v>169</v>
      </c>
      <c r="B882" t="s">
        <v>170</v>
      </c>
      <c r="C882" t="s">
        <v>165</v>
      </c>
      <c r="D882">
        <v>2014</v>
      </c>
      <c r="E882">
        <v>0</v>
      </c>
      <c r="F882" t="s">
        <v>182</v>
      </c>
    </row>
    <row r="883" spans="1:6" x14ac:dyDescent="0.25">
      <c r="A883" t="s">
        <v>169</v>
      </c>
      <c r="B883" t="s">
        <v>170</v>
      </c>
      <c r="C883" t="s">
        <v>165</v>
      </c>
      <c r="D883">
        <v>2013</v>
      </c>
      <c r="E883">
        <v>0</v>
      </c>
      <c r="F883" t="s">
        <v>182</v>
      </c>
    </row>
    <row r="884" spans="1:6" x14ac:dyDescent="0.25">
      <c r="A884" t="s">
        <v>169</v>
      </c>
      <c r="B884" t="s">
        <v>170</v>
      </c>
      <c r="C884" t="s">
        <v>165</v>
      </c>
      <c r="D884">
        <v>2012</v>
      </c>
      <c r="E884">
        <v>0</v>
      </c>
      <c r="F884" t="s">
        <v>182</v>
      </c>
    </row>
    <row r="885" spans="1:6" x14ac:dyDescent="0.25">
      <c r="A885" t="s">
        <v>169</v>
      </c>
      <c r="B885" t="s">
        <v>170</v>
      </c>
      <c r="C885" t="s">
        <v>165</v>
      </c>
      <c r="D885">
        <v>2011</v>
      </c>
      <c r="E885">
        <v>0</v>
      </c>
      <c r="F885" t="s">
        <v>182</v>
      </c>
    </row>
    <row r="886" spans="1:6" x14ac:dyDescent="0.25">
      <c r="A886" t="s">
        <v>169</v>
      </c>
      <c r="B886" t="s">
        <v>170</v>
      </c>
      <c r="C886" t="s">
        <v>165</v>
      </c>
      <c r="D886">
        <v>2010</v>
      </c>
      <c r="E886">
        <v>0</v>
      </c>
      <c r="F886" t="s">
        <v>182</v>
      </c>
    </row>
    <row r="887" spans="1:6" x14ac:dyDescent="0.25">
      <c r="A887" t="s">
        <v>169</v>
      </c>
      <c r="B887" t="s">
        <v>170</v>
      </c>
      <c r="C887" t="s">
        <v>140</v>
      </c>
      <c r="D887">
        <v>2014</v>
      </c>
      <c r="E887">
        <v>0.42199999999999999</v>
      </c>
      <c r="F887" t="s">
        <v>182</v>
      </c>
    </row>
    <row r="888" spans="1:6" x14ac:dyDescent="0.25">
      <c r="A888" t="s">
        <v>169</v>
      </c>
      <c r="B888" t="s">
        <v>170</v>
      </c>
      <c r="C888" t="s">
        <v>140</v>
      </c>
      <c r="D888">
        <v>2013</v>
      </c>
      <c r="E888">
        <v>7.5999999999999998E-2</v>
      </c>
      <c r="F888" t="s">
        <v>182</v>
      </c>
    </row>
    <row r="889" spans="1:6" x14ac:dyDescent="0.25">
      <c r="A889" t="s">
        <v>169</v>
      </c>
      <c r="B889" t="s">
        <v>170</v>
      </c>
      <c r="C889" t="s">
        <v>140</v>
      </c>
      <c r="D889">
        <v>2012</v>
      </c>
      <c r="E889">
        <v>2.3E-2</v>
      </c>
      <c r="F889" t="s">
        <v>182</v>
      </c>
    </row>
    <row r="890" spans="1:6" x14ac:dyDescent="0.25">
      <c r="A890" t="s">
        <v>169</v>
      </c>
      <c r="B890" t="s">
        <v>170</v>
      </c>
      <c r="C890" t="s">
        <v>140</v>
      </c>
      <c r="D890">
        <v>2011</v>
      </c>
      <c r="E890">
        <v>5.3220000000000001</v>
      </c>
      <c r="F890" t="s">
        <v>182</v>
      </c>
    </row>
    <row r="891" spans="1:6" x14ac:dyDescent="0.25">
      <c r="A891" t="s">
        <v>169</v>
      </c>
      <c r="B891" t="s">
        <v>170</v>
      </c>
      <c r="C891" t="s">
        <v>140</v>
      </c>
      <c r="D891">
        <v>2010</v>
      </c>
      <c r="E891">
        <v>5.5229999999999997</v>
      </c>
      <c r="F891" t="s">
        <v>182</v>
      </c>
    </row>
    <row r="892" spans="1:6" x14ac:dyDescent="0.25">
      <c r="A892" t="s">
        <v>169</v>
      </c>
      <c r="B892" t="s">
        <v>170</v>
      </c>
      <c r="C892" t="s">
        <v>141</v>
      </c>
      <c r="D892">
        <v>2014</v>
      </c>
      <c r="E892">
        <v>8.0399999999999991</v>
      </c>
      <c r="F892" t="s">
        <v>182</v>
      </c>
    </row>
    <row r="893" spans="1:6" x14ac:dyDescent="0.25">
      <c r="A893" t="s">
        <v>169</v>
      </c>
      <c r="B893" t="s">
        <v>170</v>
      </c>
      <c r="C893" t="s">
        <v>141</v>
      </c>
      <c r="D893">
        <v>2013</v>
      </c>
      <c r="E893">
        <v>7.82</v>
      </c>
      <c r="F893" t="s">
        <v>182</v>
      </c>
    </row>
    <row r="894" spans="1:6" x14ac:dyDescent="0.25">
      <c r="A894" t="s">
        <v>169</v>
      </c>
      <c r="B894" t="s">
        <v>170</v>
      </c>
      <c r="C894" t="s">
        <v>141</v>
      </c>
      <c r="D894">
        <v>2012</v>
      </c>
      <c r="E894">
        <v>7.3109999999999999</v>
      </c>
      <c r="F894" t="s">
        <v>182</v>
      </c>
    </row>
    <row r="895" spans="1:6" x14ac:dyDescent="0.25">
      <c r="A895" t="s">
        <v>169</v>
      </c>
      <c r="B895" t="s">
        <v>170</v>
      </c>
      <c r="C895" t="s">
        <v>141</v>
      </c>
      <c r="D895">
        <v>2011</v>
      </c>
      <c r="E895">
        <v>6.3419999999999996</v>
      </c>
      <c r="F895" t="s">
        <v>182</v>
      </c>
    </row>
    <row r="896" spans="1:6" x14ac:dyDescent="0.25">
      <c r="A896" t="s">
        <v>169</v>
      </c>
      <c r="B896" t="s">
        <v>170</v>
      </c>
      <c r="C896" t="s">
        <v>141</v>
      </c>
      <c r="D896">
        <v>2010</v>
      </c>
      <c r="E896">
        <v>6.452</v>
      </c>
      <c r="F896" t="s">
        <v>182</v>
      </c>
    </row>
    <row r="897" spans="1:6" x14ac:dyDescent="0.25">
      <c r="A897" t="s">
        <v>169</v>
      </c>
      <c r="B897" t="s">
        <v>170</v>
      </c>
      <c r="C897" t="s">
        <v>142</v>
      </c>
      <c r="D897">
        <v>2014</v>
      </c>
      <c r="E897">
        <v>1.742</v>
      </c>
      <c r="F897" t="s">
        <v>182</v>
      </c>
    </row>
    <row r="898" spans="1:6" x14ac:dyDescent="0.25">
      <c r="A898" t="s">
        <v>169</v>
      </c>
      <c r="B898" t="s">
        <v>170</v>
      </c>
      <c r="C898" t="s">
        <v>142</v>
      </c>
      <c r="D898">
        <v>2013</v>
      </c>
      <c r="E898">
        <v>2.0099999999999998</v>
      </c>
      <c r="F898" t="s">
        <v>182</v>
      </c>
    </row>
    <row r="899" spans="1:6" x14ac:dyDescent="0.25">
      <c r="A899" t="s">
        <v>169</v>
      </c>
      <c r="B899" t="s">
        <v>170</v>
      </c>
      <c r="C899" t="s">
        <v>142</v>
      </c>
      <c r="D899">
        <v>2012</v>
      </c>
      <c r="E899">
        <v>1.7</v>
      </c>
      <c r="F899" t="s">
        <v>182</v>
      </c>
    </row>
    <row r="900" spans="1:6" x14ac:dyDescent="0.25">
      <c r="A900" t="s">
        <v>169</v>
      </c>
      <c r="B900" t="s">
        <v>170</v>
      </c>
      <c r="C900" t="s">
        <v>142</v>
      </c>
      <c r="D900">
        <v>2011</v>
      </c>
      <c r="E900">
        <v>1.788</v>
      </c>
      <c r="F900" t="s">
        <v>182</v>
      </c>
    </row>
    <row r="901" spans="1:6" x14ac:dyDescent="0.25">
      <c r="A901" t="s">
        <v>169</v>
      </c>
      <c r="B901" t="s">
        <v>170</v>
      </c>
      <c r="C901" t="s">
        <v>142</v>
      </c>
      <c r="D901">
        <v>2010</v>
      </c>
      <c r="E901">
        <v>1.893</v>
      </c>
      <c r="F901" t="s">
        <v>182</v>
      </c>
    </row>
    <row r="902" spans="1:6" x14ac:dyDescent="0.25">
      <c r="A902" t="s">
        <v>169</v>
      </c>
      <c r="B902" t="s">
        <v>170</v>
      </c>
      <c r="C902" t="s">
        <v>166</v>
      </c>
      <c r="D902">
        <v>2014</v>
      </c>
      <c r="E902">
        <v>0</v>
      </c>
      <c r="F902" t="s">
        <v>182</v>
      </c>
    </row>
    <row r="903" spans="1:6" x14ac:dyDescent="0.25">
      <c r="A903" t="s">
        <v>169</v>
      </c>
      <c r="B903" t="s">
        <v>170</v>
      </c>
      <c r="C903" t="s">
        <v>166</v>
      </c>
      <c r="D903">
        <v>2013</v>
      </c>
      <c r="E903">
        <v>0</v>
      </c>
      <c r="F903" t="s">
        <v>182</v>
      </c>
    </row>
    <row r="904" spans="1:6" x14ac:dyDescent="0.25">
      <c r="A904" t="s">
        <v>169</v>
      </c>
      <c r="B904" t="s">
        <v>170</v>
      </c>
      <c r="C904" t="s">
        <v>166</v>
      </c>
      <c r="D904">
        <v>2012</v>
      </c>
      <c r="E904">
        <v>0</v>
      </c>
      <c r="F904" t="s">
        <v>182</v>
      </c>
    </row>
    <row r="905" spans="1:6" x14ac:dyDescent="0.25">
      <c r="A905" t="s">
        <v>169</v>
      </c>
      <c r="B905" t="s">
        <v>170</v>
      </c>
      <c r="C905" t="s">
        <v>166</v>
      </c>
      <c r="D905">
        <v>2011</v>
      </c>
      <c r="E905">
        <v>0</v>
      </c>
      <c r="F905" t="s">
        <v>182</v>
      </c>
    </row>
    <row r="906" spans="1:6" x14ac:dyDescent="0.25">
      <c r="A906" t="s">
        <v>169</v>
      </c>
      <c r="B906" t="s">
        <v>170</v>
      </c>
      <c r="C906" t="s">
        <v>166</v>
      </c>
      <c r="D906">
        <v>2010</v>
      </c>
      <c r="E906">
        <v>0</v>
      </c>
      <c r="F906" t="s">
        <v>182</v>
      </c>
    </row>
    <row r="907" spans="1:6" x14ac:dyDescent="0.25">
      <c r="A907" t="s">
        <v>169</v>
      </c>
      <c r="B907" t="s">
        <v>170</v>
      </c>
      <c r="C907" t="s">
        <v>143</v>
      </c>
      <c r="D907">
        <v>2014</v>
      </c>
      <c r="E907">
        <v>2.0550000000000002</v>
      </c>
      <c r="F907" t="s">
        <v>182</v>
      </c>
    </row>
    <row r="908" spans="1:6" x14ac:dyDescent="0.25">
      <c r="A908" t="s">
        <v>169</v>
      </c>
      <c r="B908" t="s">
        <v>170</v>
      </c>
      <c r="C908" t="s">
        <v>143</v>
      </c>
      <c r="D908">
        <v>2013</v>
      </c>
      <c r="E908">
        <v>1.728</v>
      </c>
      <c r="F908" t="s">
        <v>182</v>
      </c>
    </row>
    <row r="909" spans="1:6" x14ac:dyDescent="0.25">
      <c r="A909" t="s">
        <v>169</v>
      </c>
      <c r="B909" t="s">
        <v>170</v>
      </c>
      <c r="C909" t="s">
        <v>143</v>
      </c>
      <c r="D909">
        <v>2012</v>
      </c>
      <c r="E909">
        <v>1.976</v>
      </c>
      <c r="F909" t="s">
        <v>182</v>
      </c>
    </row>
    <row r="910" spans="1:6" x14ac:dyDescent="0.25">
      <c r="A910" t="s">
        <v>169</v>
      </c>
      <c r="B910" t="s">
        <v>170</v>
      </c>
      <c r="C910" t="s">
        <v>143</v>
      </c>
      <c r="D910">
        <v>2011</v>
      </c>
      <c r="E910">
        <v>2.8839999999999999</v>
      </c>
      <c r="F910" t="s">
        <v>182</v>
      </c>
    </row>
    <row r="911" spans="1:6" x14ac:dyDescent="0.25">
      <c r="A911" t="s">
        <v>169</v>
      </c>
      <c r="B911" t="s">
        <v>170</v>
      </c>
      <c r="C911" t="s">
        <v>143</v>
      </c>
      <c r="D911">
        <v>2010</v>
      </c>
      <c r="E911">
        <v>1.7789999999999999</v>
      </c>
      <c r="F911" t="s">
        <v>182</v>
      </c>
    </row>
    <row r="912" spans="1:6" x14ac:dyDescent="0.25">
      <c r="A912" t="s">
        <v>169</v>
      </c>
      <c r="B912" t="s">
        <v>170</v>
      </c>
      <c r="C912" t="s">
        <v>144</v>
      </c>
      <c r="D912">
        <v>2014</v>
      </c>
      <c r="E912">
        <v>0.09</v>
      </c>
      <c r="F912" t="s">
        <v>182</v>
      </c>
    </row>
    <row r="913" spans="1:6" x14ac:dyDescent="0.25">
      <c r="A913" t="s">
        <v>169</v>
      </c>
      <c r="B913" t="s">
        <v>170</v>
      </c>
      <c r="C913" t="s">
        <v>144</v>
      </c>
      <c r="D913">
        <v>2013</v>
      </c>
      <c r="E913">
        <v>7.9000000000000001E-2</v>
      </c>
      <c r="F913" t="s">
        <v>182</v>
      </c>
    </row>
    <row r="914" spans="1:6" x14ac:dyDescent="0.25">
      <c r="A914" t="s">
        <v>169</v>
      </c>
      <c r="B914" t="s">
        <v>170</v>
      </c>
      <c r="C914" t="s">
        <v>144</v>
      </c>
      <c r="D914">
        <v>2012</v>
      </c>
      <c r="E914">
        <v>7.2999999999999995E-2</v>
      </c>
      <c r="F914" t="s">
        <v>182</v>
      </c>
    </row>
    <row r="915" spans="1:6" x14ac:dyDescent="0.25">
      <c r="A915" t="s">
        <v>169</v>
      </c>
      <c r="B915" t="s">
        <v>170</v>
      </c>
      <c r="C915" t="s">
        <v>144</v>
      </c>
      <c r="D915">
        <v>2011</v>
      </c>
      <c r="E915">
        <v>0.09</v>
      </c>
      <c r="F915" t="s">
        <v>182</v>
      </c>
    </row>
    <row r="916" spans="1:6" x14ac:dyDescent="0.25">
      <c r="A916" t="s">
        <v>169</v>
      </c>
      <c r="B916" t="s">
        <v>170</v>
      </c>
      <c r="C916" t="s">
        <v>144</v>
      </c>
      <c r="D916">
        <v>2010</v>
      </c>
      <c r="E916">
        <v>8.4000000000000005E-2</v>
      </c>
      <c r="F916" t="s">
        <v>182</v>
      </c>
    </row>
    <row r="917" spans="1:6" x14ac:dyDescent="0.25">
      <c r="A917" t="s">
        <v>169</v>
      </c>
      <c r="B917" t="s">
        <v>170</v>
      </c>
      <c r="C917" t="s">
        <v>145</v>
      </c>
      <c r="D917">
        <v>2014</v>
      </c>
      <c r="E917">
        <v>38.71</v>
      </c>
      <c r="F917" t="s">
        <v>182</v>
      </c>
    </row>
    <row r="918" spans="1:6" x14ac:dyDescent="0.25">
      <c r="A918" t="s">
        <v>169</v>
      </c>
      <c r="B918" t="s">
        <v>170</v>
      </c>
      <c r="C918" t="s">
        <v>145</v>
      </c>
      <c r="D918">
        <v>2013</v>
      </c>
      <c r="E918">
        <v>42.128</v>
      </c>
      <c r="F918" t="s">
        <v>182</v>
      </c>
    </row>
    <row r="919" spans="1:6" x14ac:dyDescent="0.25">
      <c r="A919" t="s">
        <v>169</v>
      </c>
      <c r="B919" t="s">
        <v>170</v>
      </c>
      <c r="C919" t="s">
        <v>145</v>
      </c>
      <c r="D919">
        <v>2012</v>
      </c>
      <c r="E919">
        <v>46.206000000000003</v>
      </c>
      <c r="F919" t="s">
        <v>182</v>
      </c>
    </row>
    <row r="920" spans="1:6" x14ac:dyDescent="0.25">
      <c r="A920" t="s">
        <v>169</v>
      </c>
      <c r="B920" t="s">
        <v>170</v>
      </c>
      <c r="C920" t="s">
        <v>145</v>
      </c>
      <c r="D920">
        <v>2011</v>
      </c>
      <c r="E920">
        <v>49.485999999999997</v>
      </c>
      <c r="F920" t="s">
        <v>182</v>
      </c>
    </row>
    <row r="921" spans="1:6" x14ac:dyDescent="0.25">
      <c r="A921" t="s">
        <v>169</v>
      </c>
      <c r="B921" t="s">
        <v>170</v>
      </c>
      <c r="C921" t="s">
        <v>145</v>
      </c>
      <c r="D921">
        <v>2010</v>
      </c>
      <c r="E921">
        <v>52.1</v>
      </c>
      <c r="F921" t="s">
        <v>182</v>
      </c>
    </row>
    <row r="922" spans="1:6" x14ac:dyDescent="0.25">
      <c r="A922" t="s">
        <v>169</v>
      </c>
      <c r="B922" t="s">
        <v>170</v>
      </c>
      <c r="C922" t="s">
        <v>146</v>
      </c>
      <c r="D922">
        <v>2014</v>
      </c>
      <c r="E922">
        <v>0.34899999999999998</v>
      </c>
      <c r="F922" t="s">
        <v>182</v>
      </c>
    </row>
    <row r="923" spans="1:6" x14ac:dyDescent="0.25">
      <c r="A923" t="s">
        <v>169</v>
      </c>
      <c r="B923" t="s">
        <v>170</v>
      </c>
      <c r="C923" t="s">
        <v>146</v>
      </c>
      <c r="D923">
        <v>2013</v>
      </c>
      <c r="E923">
        <v>0.46100000000000002</v>
      </c>
      <c r="F923" t="s">
        <v>182</v>
      </c>
    </row>
    <row r="924" spans="1:6" x14ac:dyDescent="0.25">
      <c r="A924" t="s">
        <v>169</v>
      </c>
      <c r="B924" t="s">
        <v>170</v>
      </c>
      <c r="C924" t="s">
        <v>146</v>
      </c>
      <c r="D924">
        <v>2012</v>
      </c>
      <c r="E924">
        <v>0.5</v>
      </c>
      <c r="F924" t="s">
        <v>182</v>
      </c>
    </row>
    <row r="925" spans="1:6" x14ac:dyDescent="0.25">
      <c r="A925" t="s">
        <v>169</v>
      </c>
      <c r="B925" t="s">
        <v>170</v>
      </c>
      <c r="C925" t="s">
        <v>146</v>
      </c>
      <c r="D925">
        <v>2011</v>
      </c>
      <c r="E925">
        <v>0.41899999999999998</v>
      </c>
      <c r="F925" t="s">
        <v>182</v>
      </c>
    </row>
    <row r="926" spans="1:6" x14ac:dyDescent="0.25">
      <c r="A926" t="s">
        <v>169</v>
      </c>
      <c r="B926" t="s">
        <v>170</v>
      </c>
      <c r="C926" t="s">
        <v>146</v>
      </c>
      <c r="D926">
        <v>2010</v>
      </c>
      <c r="E926">
        <v>0.35199999999999998</v>
      </c>
      <c r="F926" t="s">
        <v>182</v>
      </c>
    </row>
    <row r="927" spans="1:6" x14ac:dyDescent="0.25">
      <c r="A927" t="s">
        <v>169</v>
      </c>
      <c r="B927" t="s">
        <v>170</v>
      </c>
      <c r="C927" t="s">
        <v>147</v>
      </c>
      <c r="D927">
        <v>2014</v>
      </c>
      <c r="E927">
        <v>2.4409999999999998</v>
      </c>
      <c r="F927" t="s">
        <v>182</v>
      </c>
    </row>
    <row r="928" spans="1:6" x14ac:dyDescent="0.25">
      <c r="A928" t="s">
        <v>169</v>
      </c>
      <c r="B928" t="s">
        <v>170</v>
      </c>
      <c r="C928" t="s">
        <v>147</v>
      </c>
      <c r="D928">
        <v>2013</v>
      </c>
      <c r="E928">
        <v>3.1949999999999998</v>
      </c>
      <c r="F928" t="s">
        <v>182</v>
      </c>
    </row>
    <row r="929" spans="1:6" x14ac:dyDescent="0.25">
      <c r="A929" t="s">
        <v>169</v>
      </c>
      <c r="B929" t="s">
        <v>170</v>
      </c>
      <c r="C929" t="s">
        <v>147</v>
      </c>
      <c r="D929">
        <v>2012</v>
      </c>
      <c r="E929">
        <v>3.1970000000000001</v>
      </c>
      <c r="F929" t="s">
        <v>182</v>
      </c>
    </row>
    <row r="930" spans="1:6" x14ac:dyDescent="0.25">
      <c r="A930" t="s">
        <v>169</v>
      </c>
      <c r="B930" t="s">
        <v>170</v>
      </c>
      <c r="C930" t="s">
        <v>147</v>
      </c>
      <c r="D930">
        <v>2011</v>
      </c>
      <c r="E930">
        <v>3.028</v>
      </c>
      <c r="F930" t="s">
        <v>182</v>
      </c>
    </row>
    <row r="931" spans="1:6" x14ac:dyDescent="0.25">
      <c r="A931" t="s">
        <v>169</v>
      </c>
      <c r="B931" t="s">
        <v>170</v>
      </c>
      <c r="C931" t="s">
        <v>147</v>
      </c>
      <c r="D931">
        <v>2010</v>
      </c>
      <c r="E931">
        <v>3.0430000000000001</v>
      </c>
      <c r="F931" t="s">
        <v>182</v>
      </c>
    </row>
    <row r="932" spans="1:6" x14ac:dyDescent="0.25">
      <c r="A932" t="s">
        <v>169</v>
      </c>
      <c r="B932" t="s">
        <v>170</v>
      </c>
      <c r="C932" t="s">
        <v>167</v>
      </c>
      <c r="D932">
        <v>2014</v>
      </c>
      <c r="E932">
        <v>0</v>
      </c>
      <c r="F932" t="s">
        <v>182</v>
      </c>
    </row>
    <row r="933" spans="1:6" x14ac:dyDescent="0.25">
      <c r="A933" t="s">
        <v>169</v>
      </c>
      <c r="B933" t="s">
        <v>170</v>
      </c>
      <c r="C933" t="s">
        <v>167</v>
      </c>
      <c r="D933">
        <v>2013</v>
      </c>
      <c r="E933">
        <v>0</v>
      </c>
      <c r="F933" t="s">
        <v>182</v>
      </c>
    </row>
    <row r="934" spans="1:6" x14ac:dyDescent="0.25">
      <c r="A934" t="s">
        <v>169</v>
      </c>
      <c r="B934" t="s">
        <v>170</v>
      </c>
      <c r="C934" t="s">
        <v>167</v>
      </c>
      <c r="D934">
        <v>2012</v>
      </c>
      <c r="E934">
        <v>0</v>
      </c>
      <c r="F934" t="s">
        <v>182</v>
      </c>
    </row>
    <row r="935" spans="1:6" x14ac:dyDescent="0.25">
      <c r="A935" t="s">
        <v>169</v>
      </c>
      <c r="B935" t="s">
        <v>170</v>
      </c>
      <c r="C935" t="s">
        <v>167</v>
      </c>
      <c r="D935">
        <v>2011</v>
      </c>
      <c r="E935">
        <v>0</v>
      </c>
      <c r="F935" t="s">
        <v>182</v>
      </c>
    </row>
    <row r="936" spans="1:6" x14ac:dyDescent="0.25">
      <c r="A936" t="s">
        <v>169</v>
      </c>
      <c r="B936" t="s">
        <v>170</v>
      </c>
      <c r="C936" t="s">
        <v>167</v>
      </c>
      <c r="D936">
        <v>2010</v>
      </c>
      <c r="E936">
        <v>0</v>
      </c>
      <c r="F936" t="s">
        <v>182</v>
      </c>
    </row>
    <row r="937" spans="1:6" x14ac:dyDescent="0.25">
      <c r="A937" t="s">
        <v>169</v>
      </c>
      <c r="B937" t="s">
        <v>170</v>
      </c>
      <c r="C937" t="s">
        <v>168</v>
      </c>
      <c r="D937">
        <v>2014</v>
      </c>
      <c r="E937">
        <v>1.4259999999999999</v>
      </c>
      <c r="F937" t="s">
        <v>182</v>
      </c>
    </row>
    <row r="938" spans="1:6" x14ac:dyDescent="0.25">
      <c r="A938" t="s">
        <v>169</v>
      </c>
      <c r="B938" t="s">
        <v>170</v>
      </c>
      <c r="C938" t="s">
        <v>168</v>
      </c>
      <c r="D938">
        <v>2013</v>
      </c>
      <c r="E938">
        <v>3.194</v>
      </c>
      <c r="F938" t="s">
        <v>182</v>
      </c>
    </row>
    <row r="939" spans="1:6" x14ac:dyDescent="0.25">
      <c r="A939" t="s">
        <v>169</v>
      </c>
      <c r="B939" t="s">
        <v>170</v>
      </c>
      <c r="C939" t="s">
        <v>168</v>
      </c>
      <c r="D939">
        <v>2012</v>
      </c>
      <c r="E939">
        <v>2.109</v>
      </c>
      <c r="F939" t="s">
        <v>182</v>
      </c>
    </row>
    <row r="940" spans="1:6" x14ac:dyDescent="0.25">
      <c r="A940" t="s">
        <v>169</v>
      </c>
      <c r="B940" t="s">
        <v>170</v>
      </c>
      <c r="C940" t="s">
        <v>168</v>
      </c>
      <c r="D940">
        <v>2011</v>
      </c>
      <c r="E940">
        <v>1.964</v>
      </c>
      <c r="F940" t="s">
        <v>182</v>
      </c>
    </row>
    <row r="941" spans="1:6" x14ac:dyDescent="0.25">
      <c r="A941" t="s">
        <v>169</v>
      </c>
      <c r="B941" t="s">
        <v>170</v>
      </c>
      <c r="C941" t="s">
        <v>168</v>
      </c>
      <c r="D941">
        <v>2010</v>
      </c>
      <c r="E941">
        <v>2.7549999999999999</v>
      </c>
      <c r="F941" t="s">
        <v>182</v>
      </c>
    </row>
    <row r="942" spans="1:6" x14ac:dyDescent="0.25">
      <c r="A942" t="s">
        <v>169</v>
      </c>
      <c r="B942" t="s">
        <v>170</v>
      </c>
      <c r="C942" t="s">
        <v>148</v>
      </c>
      <c r="D942">
        <v>2014</v>
      </c>
      <c r="E942">
        <v>1.583</v>
      </c>
      <c r="F942" t="s">
        <v>182</v>
      </c>
    </row>
    <row r="943" spans="1:6" x14ac:dyDescent="0.25">
      <c r="A943" t="s">
        <v>169</v>
      </c>
      <c r="B943" t="s">
        <v>170</v>
      </c>
      <c r="C943" t="s">
        <v>148</v>
      </c>
      <c r="D943">
        <v>2013</v>
      </c>
      <c r="E943">
        <v>1.4019999999999999</v>
      </c>
      <c r="F943" t="s">
        <v>182</v>
      </c>
    </row>
    <row r="944" spans="1:6" x14ac:dyDescent="0.25">
      <c r="A944" t="s">
        <v>169</v>
      </c>
      <c r="B944" t="s">
        <v>170</v>
      </c>
      <c r="C944" t="s">
        <v>148</v>
      </c>
      <c r="D944">
        <v>2012</v>
      </c>
      <c r="E944">
        <v>3.5760000000000001</v>
      </c>
      <c r="F944" t="s">
        <v>182</v>
      </c>
    </row>
    <row r="945" spans="1:6" x14ac:dyDescent="0.25">
      <c r="A945" t="s">
        <v>169</v>
      </c>
      <c r="B945" t="s">
        <v>170</v>
      </c>
      <c r="C945" t="s">
        <v>148</v>
      </c>
      <c r="D945">
        <v>2011</v>
      </c>
      <c r="E945">
        <v>2.8039999999999998</v>
      </c>
      <c r="F945" t="s">
        <v>182</v>
      </c>
    </row>
    <row r="946" spans="1:6" x14ac:dyDescent="0.25">
      <c r="A946" t="s">
        <v>169</v>
      </c>
      <c r="B946" t="s">
        <v>170</v>
      </c>
      <c r="C946" t="s">
        <v>148</v>
      </c>
      <c r="D946">
        <v>2010</v>
      </c>
      <c r="E946">
        <v>1.0069999999999999</v>
      </c>
      <c r="F946" t="s">
        <v>182</v>
      </c>
    </row>
    <row r="947" spans="1:6" x14ac:dyDescent="0.25">
      <c r="A947" t="s">
        <v>169</v>
      </c>
      <c r="B947" t="s">
        <v>170</v>
      </c>
      <c r="C947" t="s">
        <v>149</v>
      </c>
      <c r="D947">
        <v>2014</v>
      </c>
      <c r="E947">
        <v>0</v>
      </c>
      <c r="F947" t="s">
        <v>182</v>
      </c>
    </row>
    <row r="948" spans="1:6" x14ac:dyDescent="0.25">
      <c r="A948" t="s">
        <v>169</v>
      </c>
      <c r="B948" t="s">
        <v>170</v>
      </c>
      <c r="C948" t="s">
        <v>149</v>
      </c>
      <c r="D948">
        <v>2013</v>
      </c>
      <c r="E948">
        <v>0</v>
      </c>
      <c r="F948" t="s">
        <v>182</v>
      </c>
    </row>
    <row r="949" spans="1:6" x14ac:dyDescent="0.25">
      <c r="A949" t="s">
        <v>169</v>
      </c>
      <c r="B949" t="s">
        <v>170</v>
      </c>
      <c r="C949" t="s">
        <v>149</v>
      </c>
      <c r="D949">
        <v>2012</v>
      </c>
      <c r="E949">
        <v>0</v>
      </c>
      <c r="F949" t="s">
        <v>182</v>
      </c>
    </row>
    <row r="950" spans="1:6" x14ac:dyDescent="0.25">
      <c r="A950" t="s">
        <v>169</v>
      </c>
      <c r="B950" t="s">
        <v>170</v>
      </c>
      <c r="C950" t="s">
        <v>149</v>
      </c>
      <c r="D950">
        <v>2011</v>
      </c>
      <c r="E950">
        <v>0</v>
      </c>
      <c r="F950" t="s">
        <v>182</v>
      </c>
    </row>
    <row r="951" spans="1:6" x14ac:dyDescent="0.25">
      <c r="A951" t="s">
        <v>169</v>
      </c>
      <c r="B951" t="s">
        <v>170</v>
      </c>
      <c r="C951" t="s">
        <v>149</v>
      </c>
      <c r="D951">
        <v>2010</v>
      </c>
      <c r="E951">
        <v>0</v>
      </c>
      <c r="F951" t="s">
        <v>182</v>
      </c>
    </row>
    <row r="952" spans="1:6" x14ac:dyDescent="0.25">
      <c r="A952" t="s">
        <v>169</v>
      </c>
      <c r="B952" t="s">
        <v>170</v>
      </c>
      <c r="C952" t="s">
        <v>121</v>
      </c>
      <c r="D952">
        <v>2014</v>
      </c>
      <c r="E952">
        <v>0</v>
      </c>
      <c r="F952" t="s">
        <v>173</v>
      </c>
    </row>
    <row r="953" spans="1:6" x14ac:dyDescent="0.25">
      <c r="A953" t="s">
        <v>169</v>
      </c>
      <c r="B953" t="s">
        <v>170</v>
      </c>
      <c r="C953" t="s">
        <v>121</v>
      </c>
      <c r="D953">
        <v>2013</v>
      </c>
      <c r="E953">
        <v>0</v>
      </c>
      <c r="F953" t="s">
        <v>173</v>
      </c>
    </row>
    <row r="954" spans="1:6" x14ac:dyDescent="0.25">
      <c r="A954" t="s">
        <v>169</v>
      </c>
      <c r="B954" t="s">
        <v>170</v>
      </c>
      <c r="C954" t="s">
        <v>121</v>
      </c>
      <c r="D954">
        <v>2012</v>
      </c>
      <c r="E954">
        <v>0</v>
      </c>
      <c r="F954" t="s">
        <v>173</v>
      </c>
    </row>
    <row r="955" spans="1:6" x14ac:dyDescent="0.25">
      <c r="A955" t="s">
        <v>169</v>
      </c>
      <c r="B955" t="s">
        <v>170</v>
      </c>
      <c r="C955" t="s">
        <v>121</v>
      </c>
      <c r="D955">
        <v>2011</v>
      </c>
      <c r="E955">
        <v>0</v>
      </c>
      <c r="F955" t="s">
        <v>173</v>
      </c>
    </row>
    <row r="956" spans="1:6" x14ac:dyDescent="0.25">
      <c r="A956" t="s">
        <v>169</v>
      </c>
      <c r="B956" t="s">
        <v>170</v>
      </c>
      <c r="C956" t="s">
        <v>121</v>
      </c>
      <c r="D956">
        <v>2010</v>
      </c>
      <c r="E956">
        <v>0</v>
      </c>
      <c r="F956" t="s">
        <v>173</v>
      </c>
    </row>
    <row r="957" spans="1:6" x14ac:dyDescent="0.25">
      <c r="A957" t="s">
        <v>169</v>
      </c>
      <c r="B957" t="s">
        <v>170</v>
      </c>
      <c r="C957" t="s">
        <v>122</v>
      </c>
      <c r="D957">
        <v>2014</v>
      </c>
      <c r="E957">
        <v>0</v>
      </c>
      <c r="F957" t="s">
        <v>173</v>
      </c>
    </row>
    <row r="958" spans="1:6" x14ac:dyDescent="0.25">
      <c r="A958" t="s">
        <v>169</v>
      </c>
      <c r="B958" t="s">
        <v>170</v>
      </c>
      <c r="C958" t="s">
        <v>122</v>
      </c>
      <c r="D958">
        <v>2013</v>
      </c>
      <c r="E958">
        <v>0</v>
      </c>
      <c r="F958" t="s">
        <v>173</v>
      </c>
    </row>
    <row r="959" spans="1:6" x14ac:dyDescent="0.25">
      <c r="A959" t="s">
        <v>169</v>
      </c>
      <c r="B959" t="s">
        <v>170</v>
      </c>
      <c r="C959" t="s">
        <v>122</v>
      </c>
      <c r="D959">
        <v>2012</v>
      </c>
      <c r="E959">
        <v>0</v>
      </c>
      <c r="F959" t="s">
        <v>173</v>
      </c>
    </row>
    <row r="960" spans="1:6" x14ac:dyDescent="0.25">
      <c r="A960" t="s">
        <v>169</v>
      </c>
      <c r="B960" t="s">
        <v>170</v>
      </c>
      <c r="C960" t="s">
        <v>122</v>
      </c>
      <c r="D960">
        <v>2011</v>
      </c>
      <c r="E960">
        <v>0</v>
      </c>
      <c r="F960" t="s">
        <v>173</v>
      </c>
    </row>
    <row r="961" spans="1:6" x14ac:dyDescent="0.25">
      <c r="A961" t="s">
        <v>169</v>
      </c>
      <c r="B961" t="s">
        <v>170</v>
      </c>
      <c r="C961" t="s">
        <v>122</v>
      </c>
      <c r="D961">
        <v>2010</v>
      </c>
      <c r="E961">
        <v>0</v>
      </c>
      <c r="F961" t="s">
        <v>173</v>
      </c>
    </row>
    <row r="962" spans="1:6" x14ac:dyDescent="0.25">
      <c r="A962" t="s">
        <v>169</v>
      </c>
      <c r="B962" t="s">
        <v>170</v>
      </c>
      <c r="C962" t="s">
        <v>123</v>
      </c>
      <c r="D962">
        <v>2014</v>
      </c>
      <c r="E962">
        <v>0</v>
      </c>
      <c r="F962" t="s">
        <v>173</v>
      </c>
    </row>
    <row r="963" spans="1:6" x14ac:dyDescent="0.25">
      <c r="A963" t="s">
        <v>169</v>
      </c>
      <c r="B963" t="s">
        <v>170</v>
      </c>
      <c r="C963" t="s">
        <v>123</v>
      </c>
      <c r="D963">
        <v>2013</v>
      </c>
      <c r="E963">
        <v>0</v>
      </c>
      <c r="F963" t="s">
        <v>173</v>
      </c>
    </row>
    <row r="964" spans="1:6" x14ac:dyDescent="0.25">
      <c r="A964" t="s">
        <v>169</v>
      </c>
      <c r="B964" t="s">
        <v>170</v>
      </c>
      <c r="C964" t="s">
        <v>123</v>
      </c>
      <c r="D964">
        <v>2012</v>
      </c>
      <c r="E964">
        <v>0</v>
      </c>
      <c r="F964" t="s">
        <v>173</v>
      </c>
    </row>
    <row r="965" spans="1:6" x14ac:dyDescent="0.25">
      <c r="A965" t="s">
        <v>169</v>
      </c>
      <c r="B965" t="s">
        <v>170</v>
      </c>
      <c r="C965" t="s">
        <v>123</v>
      </c>
      <c r="D965">
        <v>2011</v>
      </c>
      <c r="E965">
        <v>0</v>
      </c>
      <c r="F965" t="s">
        <v>173</v>
      </c>
    </row>
    <row r="966" spans="1:6" x14ac:dyDescent="0.25">
      <c r="A966" t="s">
        <v>169</v>
      </c>
      <c r="B966" t="s">
        <v>170</v>
      </c>
      <c r="C966" t="s">
        <v>123</v>
      </c>
      <c r="D966">
        <v>2010</v>
      </c>
      <c r="E966">
        <v>0</v>
      </c>
      <c r="F966" t="s">
        <v>173</v>
      </c>
    </row>
    <row r="967" spans="1:6" x14ac:dyDescent="0.25">
      <c r="A967" t="s">
        <v>169</v>
      </c>
      <c r="B967" t="s">
        <v>170</v>
      </c>
      <c r="C967" t="s">
        <v>124</v>
      </c>
      <c r="D967">
        <v>2014</v>
      </c>
      <c r="E967">
        <v>0</v>
      </c>
      <c r="F967" t="s">
        <v>173</v>
      </c>
    </row>
    <row r="968" spans="1:6" x14ac:dyDescent="0.25">
      <c r="A968" t="s">
        <v>169</v>
      </c>
      <c r="B968" t="s">
        <v>170</v>
      </c>
      <c r="C968" t="s">
        <v>124</v>
      </c>
      <c r="D968">
        <v>2013</v>
      </c>
      <c r="E968">
        <v>0</v>
      </c>
      <c r="F968" t="s">
        <v>173</v>
      </c>
    </row>
    <row r="969" spans="1:6" x14ac:dyDescent="0.25">
      <c r="A969" t="s">
        <v>169</v>
      </c>
      <c r="B969" t="s">
        <v>170</v>
      </c>
      <c r="C969" t="s">
        <v>124</v>
      </c>
      <c r="D969">
        <v>2012</v>
      </c>
      <c r="E969">
        <v>0</v>
      </c>
      <c r="F969" t="s">
        <v>173</v>
      </c>
    </row>
    <row r="970" spans="1:6" x14ac:dyDescent="0.25">
      <c r="A970" t="s">
        <v>169</v>
      </c>
      <c r="B970" t="s">
        <v>170</v>
      </c>
      <c r="C970" t="s">
        <v>124</v>
      </c>
      <c r="D970">
        <v>2011</v>
      </c>
      <c r="E970">
        <v>0</v>
      </c>
      <c r="F970" t="s">
        <v>173</v>
      </c>
    </row>
    <row r="971" spans="1:6" x14ac:dyDescent="0.25">
      <c r="A971" t="s">
        <v>169</v>
      </c>
      <c r="B971" t="s">
        <v>170</v>
      </c>
      <c r="C971" t="s">
        <v>124</v>
      </c>
      <c r="D971">
        <v>2010</v>
      </c>
      <c r="E971">
        <v>0</v>
      </c>
      <c r="F971" t="s">
        <v>173</v>
      </c>
    </row>
    <row r="972" spans="1:6" x14ac:dyDescent="0.25">
      <c r="A972" t="s">
        <v>169</v>
      </c>
      <c r="B972" t="s">
        <v>170</v>
      </c>
      <c r="C972" t="s">
        <v>160</v>
      </c>
      <c r="D972">
        <v>2014</v>
      </c>
      <c r="E972">
        <v>0</v>
      </c>
      <c r="F972" t="s">
        <v>173</v>
      </c>
    </row>
    <row r="973" spans="1:6" x14ac:dyDescent="0.25">
      <c r="A973" t="s">
        <v>169</v>
      </c>
      <c r="B973" t="s">
        <v>170</v>
      </c>
      <c r="C973" t="s">
        <v>160</v>
      </c>
      <c r="D973">
        <v>2013</v>
      </c>
      <c r="E973">
        <v>0</v>
      </c>
      <c r="F973" t="s">
        <v>173</v>
      </c>
    </row>
    <row r="974" spans="1:6" x14ac:dyDescent="0.25">
      <c r="A974" t="s">
        <v>169</v>
      </c>
      <c r="B974" t="s">
        <v>170</v>
      </c>
      <c r="C974" t="s">
        <v>160</v>
      </c>
      <c r="D974">
        <v>2012</v>
      </c>
      <c r="E974">
        <v>0</v>
      </c>
      <c r="F974" t="s">
        <v>173</v>
      </c>
    </row>
    <row r="975" spans="1:6" x14ac:dyDescent="0.25">
      <c r="A975" t="s">
        <v>169</v>
      </c>
      <c r="B975" t="s">
        <v>170</v>
      </c>
      <c r="C975" t="s">
        <v>160</v>
      </c>
      <c r="D975">
        <v>2011</v>
      </c>
      <c r="E975">
        <v>0</v>
      </c>
      <c r="F975" t="s">
        <v>173</v>
      </c>
    </row>
    <row r="976" spans="1:6" x14ac:dyDescent="0.25">
      <c r="A976" t="s">
        <v>169</v>
      </c>
      <c r="B976" t="s">
        <v>170</v>
      </c>
      <c r="C976" t="s">
        <v>160</v>
      </c>
      <c r="D976">
        <v>2010</v>
      </c>
      <c r="E976">
        <v>0</v>
      </c>
      <c r="F976" t="s">
        <v>173</v>
      </c>
    </row>
    <row r="977" spans="1:6" x14ac:dyDescent="0.25">
      <c r="A977" t="s">
        <v>169</v>
      </c>
      <c r="B977" t="s">
        <v>170</v>
      </c>
      <c r="C977" t="s">
        <v>125</v>
      </c>
      <c r="D977">
        <v>2014</v>
      </c>
      <c r="E977">
        <v>5.8000000000000003E-2</v>
      </c>
      <c r="F977" t="s">
        <v>173</v>
      </c>
    </row>
    <row r="978" spans="1:6" x14ac:dyDescent="0.25">
      <c r="A978" t="s">
        <v>169</v>
      </c>
      <c r="B978" t="s">
        <v>170</v>
      </c>
      <c r="C978" t="s">
        <v>125</v>
      </c>
      <c r="D978">
        <v>2013</v>
      </c>
      <c r="E978">
        <v>2.9000000000000001E-2</v>
      </c>
      <c r="F978" t="s">
        <v>173</v>
      </c>
    </row>
    <row r="979" spans="1:6" x14ac:dyDescent="0.25">
      <c r="A979" t="s">
        <v>169</v>
      </c>
      <c r="B979" t="s">
        <v>170</v>
      </c>
      <c r="C979" t="s">
        <v>125</v>
      </c>
      <c r="D979">
        <v>2012</v>
      </c>
      <c r="E979">
        <v>2.9000000000000001E-2</v>
      </c>
      <c r="F979" t="s">
        <v>173</v>
      </c>
    </row>
    <row r="980" spans="1:6" x14ac:dyDescent="0.25">
      <c r="A980" t="s">
        <v>169</v>
      </c>
      <c r="B980" t="s">
        <v>170</v>
      </c>
      <c r="C980" t="s">
        <v>125</v>
      </c>
      <c r="D980">
        <v>2011</v>
      </c>
      <c r="E980">
        <v>3.2000000000000001E-2</v>
      </c>
      <c r="F980" t="s">
        <v>173</v>
      </c>
    </row>
    <row r="981" spans="1:6" x14ac:dyDescent="0.25">
      <c r="A981" t="s">
        <v>169</v>
      </c>
      <c r="B981" t="s">
        <v>170</v>
      </c>
      <c r="C981" t="s">
        <v>125</v>
      </c>
      <c r="D981">
        <v>2010</v>
      </c>
      <c r="E981">
        <v>2.9000000000000001E-2</v>
      </c>
      <c r="F981" t="s">
        <v>173</v>
      </c>
    </row>
    <row r="982" spans="1:6" x14ac:dyDescent="0.25">
      <c r="A982" t="s">
        <v>169</v>
      </c>
      <c r="B982" t="s">
        <v>170</v>
      </c>
      <c r="C982" t="s">
        <v>126</v>
      </c>
      <c r="D982">
        <v>2014</v>
      </c>
      <c r="E982">
        <v>0</v>
      </c>
      <c r="F982" t="s">
        <v>173</v>
      </c>
    </row>
    <row r="983" spans="1:6" x14ac:dyDescent="0.25">
      <c r="A983" t="s">
        <v>169</v>
      </c>
      <c r="B983" t="s">
        <v>170</v>
      </c>
      <c r="C983" t="s">
        <v>126</v>
      </c>
      <c r="D983">
        <v>2013</v>
      </c>
      <c r="E983">
        <v>0</v>
      </c>
      <c r="F983" t="s">
        <v>173</v>
      </c>
    </row>
    <row r="984" spans="1:6" x14ac:dyDescent="0.25">
      <c r="A984" t="s">
        <v>169</v>
      </c>
      <c r="B984" t="s">
        <v>170</v>
      </c>
      <c r="C984" t="s">
        <v>126</v>
      </c>
      <c r="D984">
        <v>2012</v>
      </c>
      <c r="E984">
        <v>0</v>
      </c>
      <c r="F984" t="s">
        <v>173</v>
      </c>
    </row>
    <row r="985" spans="1:6" x14ac:dyDescent="0.25">
      <c r="A985" t="s">
        <v>169</v>
      </c>
      <c r="B985" t="s">
        <v>170</v>
      </c>
      <c r="C985" t="s">
        <v>126</v>
      </c>
      <c r="D985">
        <v>2011</v>
      </c>
      <c r="E985">
        <v>0</v>
      </c>
      <c r="F985" t="s">
        <v>173</v>
      </c>
    </row>
    <row r="986" spans="1:6" x14ac:dyDescent="0.25">
      <c r="A986" t="s">
        <v>169</v>
      </c>
      <c r="B986" t="s">
        <v>170</v>
      </c>
      <c r="C986" t="s">
        <v>126</v>
      </c>
      <c r="D986">
        <v>2010</v>
      </c>
      <c r="E986">
        <v>0</v>
      </c>
      <c r="F986" t="s">
        <v>173</v>
      </c>
    </row>
    <row r="987" spans="1:6" x14ac:dyDescent="0.25">
      <c r="A987" t="s">
        <v>169</v>
      </c>
      <c r="B987" t="s">
        <v>170</v>
      </c>
      <c r="C987" t="s">
        <v>127</v>
      </c>
      <c r="D987">
        <v>2014</v>
      </c>
      <c r="E987">
        <v>0.45400000000000001</v>
      </c>
      <c r="F987" t="s">
        <v>173</v>
      </c>
    </row>
    <row r="988" spans="1:6" x14ac:dyDescent="0.25">
      <c r="A988" t="s">
        <v>169</v>
      </c>
      <c r="B988" t="s">
        <v>170</v>
      </c>
      <c r="C988" t="s">
        <v>127</v>
      </c>
      <c r="D988">
        <v>2013</v>
      </c>
      <c r="E988">
        <v>0.55800000000000005</v>
      </c>
      <c r="F988" t="s">
        <v>173</v>
      </c>
    </row>
    <row r="989" spans="1:6" x14ac:dyDescent="0.25">
      <c r="A989" t="s">
        <v>169</v>
      </c>
      <c r="B989" t="s">
        <v>170</v>
      </c>
      <c r="C989" t="s">
        <v>127</v>
      </c>
      <c r="D989">
        <v>2012</v>
      </c>
      <c r="E989">
        <v>0.69099999999999995</v>
      </c>
      <c r="F989" t="s">
        <v>173</v>
      </c>
    </row>
    <row r="990" spans="1:6" x14ac:dyDescent="0.25">
      <c r="A990" t="s">
        <v>169</v>
      </c>
      <c r="B990" t="s">
        <v>170</v>
      </c>
      <c r="C990" t="s">
        <v>127</v>
      </c>
      <c r="D990">
        <v>2011</v>
      </c>
      <c r="E990">
        <v>0.25900000000000001</v>
      </c>
      <c r="F990" t="s">
        <v>173</v>
      </c>
    </row>
    <row r="991" spans="1:6" x14ac:dyDescent="0.25">
      <c r="A991" t="s">
        <v>169</v>
      </c>
      <c r="B991" t="s">
        <v>170</v>
      </c>
      <c r="C991" t="s">
        <v>127</v>
      </c>
      <c r="D991">
        <v>2010</v>
      </c>
      <c r="E991">
        <v>0.151</v>
      </c>
      <c r="F991" t="s">
        <v>173</v>
      </c>
    </row>
    <row r="992" spans="1:6" x14ac:dyDescent="0.25">
      <c r="A992" t="s">
        <v>169</v>
      </c>
      <c r="B992" t="s">
        <v>170</v>
      </c>
      <c r="C992" t="s">
        <v>128</v>
      </c>
      <c r="D992">
        <v>2014</v>
      </c>
      <c r="E992">
        <v>0</v>
      </c>
      <c r="F992" t="s">
        <v>173</v>
      </c>
    </row>
    <row r="993" spans="1:6" x14ac:dyDescent="0.25">
      <c r="A993" t="s">
        <v>169</v>
      </c>
      <c r="B993" t="s">
        <v>170</v>
      </c>
      <c r="C993" t="s">
        <v>128</v>
      </c>
      <c r="D993">
        <v>2013</v>
      </c>
      <c r="E993">
        <v>0</v>
      </c>
      <c r="F993" t="s">
        <v>173</v>
      </c>
    </row>
    <row r="994" spans="1:6" x14ac:dyDescent="0.25">
      <c r="A994" t="s">
        <v>169</v>
      </c>
      <c r="B994" t="s">
        <v>170</v>
      </c>
      <c r="C994" t="s">
        <v>128</v>
      </c>
      <c r="D994">
        <v>2012</v>
      </c>
      <c r="E994">
        <v>0</v>
      </c>
      <c r="F994" t="s">
        <v>173</v>
      </c>
    </row>
    <row r="995" spans="1:6" x14ac:dyDescent="0.25">
      <c r="A995" t="s">
        <v>169</v>
      </c>
      <c r="B995" t="s">
        <v>170</v>
      </c>
      <c r="C995" t="s">
        <v>128</v>
      </c>
      <c r="D995">
        <v>2011</v>
      </c>
      <c r="E995">
        <v>0</v>
      </c>
      <c r="F995" t="s">
        <v>173</v>
      </c>
    </row>
    <row r="996" spans="1:6" x14ac:dyDescent="0.25">
      <c r="A996" t="s">
        <v>169</v>
      </c>
      <c r="B996" t="s">
        <v>170</v>
      </c>
      <c r="C996" t="s">
        <v>128</v>
      </c>
      <c r="D996">
        <v>2010</v>
      </c>
      <c r="E996">
        <v>0</v>
      </c>
      <c r="F996" t="s">
        <v>173</v>
      </c>
    </row>
    <row r="997" spans="1:6" x14ac:dyDescent="0.25">
      <c r="A997" t="s">
        <v>169</v>
      </c>
      <c r="B997" t="s">
        <v>170</v>
      </c>
      <c r="C997" t="s">
        <v>161</v>
      </c>
      <c r="D997">
        <v>2014</v>
      </c>
      <c r="E997">
        <v>0</v>
      </c>
      <c r="F997" t="s">
        <v>173</v>
      </c>
    </row>
    <row r="998" spans="1:6" x14ac:dyDescent="0.25">
      <c r="A998" t="s">
        <v>169</v>
      </c>
      <c r="B998" t="s">
        <v>170</v>
      </c>
      <c r="C998" t="s">
        <v>161</v>
      </c>
      <c r="D998">
        <v>2013</v>
      </c>
      <c r="E998">
        <v>0</v>
      </c>
      <c r="F998" t="s">
        <v>173</v>
      </c>
    </row>
    <row r="999" spans="1:6" x14ac:dyDescent="0.25">
      <c r="A999" t="s">
        <v>169</v>
      </c>
      <c r="B999" t="s">
        <v>170</v>
      </c>
      <c r="C999" t="s">
        <v>161</v>
      </c>
      <c r="D999">
        <v>2012</v>
      </c>
      <c r="E999">
        <v>0</v>
      </c>
      <c r="F999" t="s">
        <v>173</v>
      </c>
    </row>
    <row r="1000" spans="1:6" x14ac:dyDescent="0.25">
      <c r="A1000" t="s">
        <v>169</v>
      </c>
      <c r="B1000" t="s">
        <v>170</v>
      </c>
      <c r="C1000" t="s">
        <v>161</v>
      </c>
      <c r="D1000">
        <v>2011</v>
      </c>
      <c r="E1000">
        <v>0</v>
      </c>
      <c r="F1000" t="s">
        <v>173</v>
      </c>
    </row>
    <row r="1001" spans="1:6" x14ac:dyDescent="0.25">
      <c r="A1001" t="s">
        <v>169</v>
      </c>
      <c r="B1001" t="s">
        <v>170</v>
      </c>
      <c r="C1001" t="s">
        <v>161</v>
      </c>
      <c r="D1001">
        <v>2010</v>
      </c>
      <c r="E1001">
        <v>0</v>
      </c>
      <c r="F1001" t="s">
        <v>173</v>
      </c>
    </row>
    <row r="1002" spans="1:6" x14ac:dyDescent="0.25">
      <c r="A1002" t="s">
        <v>169</v>
      </c>
      <c r="B1002" t="s">
        <v>170</v>
      </c>
      <c r="C1002" t="s">
        <v>162</v>
      </c>
      <c r="D1002">
        <v>2014</v>
      </c>
      <c r="E1002">
        <v>0</v>
      </c>
      <c r="F1002" t="s">
        <v>173</v>
      </c>
    </row>
    <row r="1003" spans="1:6" x14ac:dyDescent="0.25">
      <c r="A1003" t="s">
        <v>169</v>
      </c>
      <c r="B1003" t="s">
        <v>170</v>
      </c>
      <c r="C1003" t="s">
        <v>162</v>
      </c>
      <c r="D1003">
        <v>2013</v>
      </c>
      <c r="E1003">
        <v>0</v>
      </c>
      <c r="F1003" t="s">
        <v>173</v>
      </c>
    </row>
    <row r="1004" spans="1:6" x14ac:dyDescent="0.25">
      <c r="A1004" t="s">
        <v>169</v>
      </c>
      <c r="B1004" t="s">
        <v>170</v>
      </c>
      <c r="C1004" t="s">
        <v>162</v>
      </c>
      <c r="D1004">
        <v>2012</v>
      </c>
      <c r="E1004">
        <v>0</v>
      </c>
      <c r="F1004" t="s">
        <v>173</v>
      </c>
    </row>
    <row r="1005" spans="1:6" x14ac:dyDescent="0.25">
      <c r="A1005" t="s">
        <v>169</v>
      </c>
      <c r="B1005" t="s">
        <v>170</v>
      </c>
      <c r="C1005" t="s">
        <v>162</v>
      </c>
      <c r="D1005">
        <v>2011</v>
      </c>
      <c r="E1005">
        <v>0</v>
      </c>
      <c r="F1005" t="s">
        <v>173</v>
      </c>
    </row>
    <row r="1006" spans="1:6" x14ac:dyDescent="0.25">
      <c r="A1006" t="s">
        <v>169</v>
      </c>
      <c r="B1006" t="s">
        <v>170</v>
      </c>
      <c r="C1006" t="s">
        <v>162</v>
      </c>
      <c r="D1006">
        <v>2010</v>
      </c>
      <c r="E1006">
        <v>0</v>
      </c>
      <c r="F1006" t="s">
        <v>173</v>
      </c>
    </row>
    <row r="1007" spans="1:6" x14ac:dyDescent="0.25">
      <c r="A1007" t="s">
        <v>169</v>
      </c>
      <c r="B1007" t="s">
        <v>170</v>
      </c>
      <c r="C1007" t="s">
        <v>129</v>
      </c>
      <c r="D1007">
        <v>2014</v>
      </c>
      <c r="E1007">
        <v>0.875</v>
      </c>
      <c r="F1007" t="s">
        <v>173</v>
      </c>
    </row>
    <row r="1008" spans="1:6" x14ac:dyDescent="0.25">
      <c r="A1008" t="s">
        <v>169</v>
      </c>
      <c r="B1008" t="s">
        <v>170</v>
      </c>
      <c r="C1008" t="s">
        <v>129</v>
      </c>
      <c r="D1008">
        <v>2013</v>
      </c>
      <c r="E1008">
        <v>0.68</v>
      </c>
      <c r="F1008" t="s">
        <v>173</v>
      </c>
    </row>
    <row r="1009" spans="1:6" x14ac:dyDescent="0.25">
      <c r="A1009" t="s">
        <v>169</v>
      </c>
      <c r="B1009" t="s">
        <v>170</v>
      </c>
      <c r="C1009" t="s">
        <v>129</v>
      </c>
      <c r="D1009">
        <v>2012</v>
      </c>
      <c r="E1009">
        <v>0.77</v>
      </c>
      <c r="F1009" t="s">
        <v>173</v>
      </c>
    </row>
    <row r="1010" spans="1:6" x14ac:dyDescent="0.25">
      <c r="A1010" t="s">
        <v>169</v>
      </c>
      <c r="B1010" t="s">
        <v>170</v>
      </c>
      <c r="C1010" t="s">
        <v>129</v>
      </c>
      <c r="D1010">
        <v>2011</v>
      </c>
      <c r="E1010">
        <v>0.59</v>
      </c>
      <c r="F1010" t="s">
        <v>173</v>
      </c>
    </row>
    <row r="1011" spans="1:6" x14ac:dyDescent="0.25">
      <c r="A1011" t="s">
        <v>169</v>
      </c>
      <c r="B1011" t="s">
        <v>170</v>
      </c>
      <c r="C1011" t="s">
        <v>129</v>
      </c>
      <c r="D1011">
        <v>2010</v>
      </c>
      <c r="E1011">
        <v>0.60799999999999998</v>
      </c>
      <c r="F1011" t="s">
        <v>173</v>
      </c>
    </row>
    <row r="1012" spans="1:6" x14ac:dyDescent="0.25">
      <c r="A1012" t="s">
        <v>169</v>
      </c>
      <c r="B1012" t="s">
        <v>170</v>
      </c>
      <c r="C1012" t="s">
        <v>130</v>
      </c>
      <c r="D1012">
        <v>2014</v>
      </c>
      <c r="E1012">
        <v>6.8000000000000005E-2</v>
      </c>
      <c r="F1012" t="s">
        <v>173</v>
      </c>
    </row>
    <row r="1013" spans="1:6" x14ac:dyDescent="0.25">
      <c r="A1013" t="s">
        <v>169</v>
      </c>
      <c r="B1013" t="s">
        <v>170</v>
      </c>
      <c r="C1013" t="s">
        <v>130</v>
      </c>
      <c r="D1013">
        <v>2013</v>
      </c>
      <c r="E1013">
        <v>2.1999999999999999E-2</v>
      </c>
      <c r="F1013" t="s">
        <v>173</v>
      </c>
    </row>
    <row r="1014" spans="1:6" x14ac:dyDescent="0.25">
      <c r="A1014" t="s">
        <v>169</v>
      </c>
      <c r="B1014" t="s">
        <v>170</v>
      </c>
      <c r="C1014" t="s">
        <v>130</v>
      </c>
      <c r="D1014">
        <v>2012</v>
      </c>
      <c r="E1014">
        <v>1.0999999999999999E-2</v>
      </c>
      <c r="F1014" t="s">
        <v>173</v>
      </c>
    </row>
    <row r="1015" spans="1:6" x14ac:dyDescent="0.25">
      <c r="A1015" t="s">
        <v>169</v>
      </c>
      <c r="B1015" t="s">
        <v>170</v>
      </c>
      <c r="C1015" t="s">
        <v>130</v>
      </c>
      <c r="D1015">
        <v>2011</v>
      </c>
      <c r="E1015">
        <v>0</v>
      </c>
      <c r="F1015" t="s">
        <v>173</v>
      </c>
    </row>
    <row r="1016" spans="1:6" x14ac:dyDescent="0.25">
      <c r="A1016" t="s">
        <v>169</v>
      </c>
      <c r="B1016" t="s">
        <v>170</v>
      </c>
      <c r="C1016" t="s">
        <v>130</v>
      </c>
      <c r="D1016">
        <v>2010</v>
      </c>
      <c r="E1016">
        <v>0</v>
      </c>
      <c r="F1016" t="s">
        <v>173</v>
      </c>
    </row>
    <row r="1017" spans="1:6" x14ac:dyDescent="0.25">
      <c r="A1017" t="s">
        <v>169</v>
      </c>
      <c r="B1017" t="s">
        <v>170</v>
      </c>
      <c r="C1017" t="s">
        <v>131</v>
      </c>
      <c r="D1017">
        <v>2014</v>
      </c>
      <c r="E1017">
        <v>0</v>
      </c>
      <c r="F1017" t="s">
        <v>173</v>
      </c>
    </row>
    <row r="1018" spans="1:6" x14ac:dyDescent="0.25">
      <c r="A1018" t="s">
        <v>169</v>
      </c>
      <c r="B1018" t="s">
        <v>170</v>
      </c>
      <c r="C1018" t="s">
        <v>131</v>
      </c>
      <c r="D1018">
        <v>2013</v>
      </c>
      <c r="E1018">
        <v>0</v>
      </c>
      <c r="F1018" t="s">
        <v>173</v>
      </c>
    </row>
    <row r="1019" spans="1:6" x14ac:dyDescent="0.25">
      <c r="A1019" t="s">
        <v>169</v>
      </c>
      <c r="B1019" t="s">
        <v>170</v>
      </c>
      <c r="C1019" t="s">
        <v>131</v>
      </c>
      <c r="D1019">
        <v>2012</v>
      </c>
      <c r="E1019">
        <v>0</v>
      </c>
      <c r="F1019" t="s">
        <v>173</v>
      </c>
    </row>
    <row r="1020" spans="1:6" x14ac:dyDescent="0.25">
      <c r="A1020" t="s">
        <v>169</v>
      </c>
      <c r="B1020" t="s">
        <v>170</v>
      </c>
      <c r="C1020" t="s">
        <v>131</v>
      </c>
      <c r="D1020">
        <v>2011</v>
      </c>
      <c r="E1020">
        <v>0</v>
      </c>
      <c r="F1020" t="s">
        <v>173</v>
      </c>
    </row>
    <row r="1021" spans="1:6" x14ac:dyDescent="0.25">
      <c r="A1021" t="s">
        <v>169</v>
      </c>
      <c r="B1021" t="s">
        <v>170</v>
      </c>
      <c r="C1021" t="s">
        <v>131</v>
      </c>
      <c r="D1021">
        <v>2010</v>
      </c>
      <c r="E1021">
        <v>0</v>
      </c>
      <c r="F1021" t="s">
        <v>173</v>
      </c>
    </row>
    <row r="1022" spans="1:6" x14ac:dyDescent="0.25">
      <c r="A1022" t="s">
        <v>169</v>
      </c>
      <c r="B1022" t="s">
        <v>170</v>
      </c>
      <c r="C1022" t="s">
        <v>132</v>
      </c>
      <c r="D1022">
        <v>2014</v>
      </c>
      <c r="E1022">
        <v>1.4E-2</v>
      </c>
      <c r="F1022" t="s">
        <v>173</v>
      </c>
    </row>
    <row r="1023" spans="1:6" x14ac:dyDescent="0.25">
      <c r="A1023" t="s">
        <v>169</v>
      </c>
      <c r="B1023" t="s">
        <v>170</v>
      </c>
      <c r="C1023" t="s">
        <v>132</v>
      </c>
      <c r="D1023">
        <v>2013</v>
      </c>
      <c r="E1023">
        <v>0</v>
      </c>
      <c r="F1023" t="s">
        <v>173</v>
      </c>
    </row>
    <row r="1024" spans="1:6" x14ac:dyDescent="0.25">
      <c r="A1024" t="s">
        <v>169</v>
      </c>
      <c r="B1024" t="s">
        <v>170</v>
      </c>
      <c r="C1024" t="s">
        <v>132</v>
      </c>
      <c r="D1024">
        <v>2012</v>
      </c>
      <c r="E1024">
        <v>0</v>
      </c>
      <c r="F1024" t="s">
        <v>173</v>
      </c>
    </row>
    <row r="1025" spans="1:6" x14ac:dyDescent="0.25">
      <c r="A1025" t="s">
        <v>169</v>
      </c>
      <c r="B1025" t="s">
        <v>170</v>
      </c>
      <c r="C1025" t="s">
        <v>132</v>
      </c>
      <c r="D1025">
        <v>2011</v>
      </c>
      <c r="E1025">
        <v>0</v>
      </c>
      <c r="F1025" t="s">
        <v>173</v>
      </c>
    </row>
    <row r="1026" spans="1:6" x14ac:dyDescent="0.25">
      <c r="A1026" t="s">
        <v>169</v>
      </c>
      <c r="B1026" t="s">
        <v>170</v>
      </c>
      <c r="C1026" t="s">
        <v>132</v>
      </c>
      <c r="D1026">
        <v>2010</v>
      </c>
      <c r="E1026">
        <v>0</v>
      </c>
      <c r="F1026" t="s">
        <v>173</v>
      </c>
    </row>
    <row r="1027" spans="1:6" x14ac:dyDescent="0.25">
      <c r="A1027" t="s">
        <v>169</v>
      </c>
      <c r="B1027" t="s">
        <v>170</v>
      </c>
      <c r="C1027" t="s">
        <v>163</v>
      </c>
      <c r="D1027">
        <v>2014</v>
      </c>
      <c r="E1027">
        <v>0</v>
      </c>
      <c r="F1027" t="s">
        <v>173</v>
      </c>
    </row>
    <row r="1028" spans="1:6" x14ac:dyDescent="0.25">
      <c r="A1028" t="s">
        <v>169</v>
      </c>
      <c r="B1028" t="s">
        <v>170</v>
      </c>
      <c r="C1028" t="s">
        <v>163</v>
      </c>
      <c r="D1028">
        <v>2013</v>
      </c>
      <c r="E1028">
        <v>0</v>
      </c>
      <c r="F1028" t="s">
        <v>173</v>
      </c>
    </row>
    <row r="1029" spans="1:6" x14ac:dyDescent="0.25">
      <c r="A1029" t="s">
        <v>169</v>
      </c>
      <c r="B1029" t="s">
        <v>170</v>
      </c>
      <c r="C1029" t="s">
        <v>163</v>
      </c>
      <c r="D1029">
        <v>2012</v>
      </c>
      <c r="E1029">
        <v>0</v>
      </c>
      <c r="F1029" t="s">
        <v>173</v>
      </c>
    </row>
    <row r="1030" spans="1:6" x14ac:dyDescent="0.25">
      <c r="A1030" t="s">
        <v>169</v>
      </c>
      <c r="B1030" t="s">
        <v>170</v>
      </c>
      <c r="C1030" t="s">
        <v>163</v>
      </c>
      <c r="D1030">
        <v>2011</v>
      </c>
      <c r="E1030">
        <v>0</v>
      </c>
      <c r="F1030" t="s">
        <v>173</v>
      </c>
    </row>
    <row r="1031" spans="1:6" x14ac:dyDescent="0.25">
      <c r="A1031" t="s">
        <v>169</v>
      </c>
      <c r="B1031" t="s">
        <v>170</v>
      </c>
      <c r="C1031" t="s">
        <v>163</v>
      </c>
      <c r="D1031">
        <v>2010</v>
      </c>
      <c r="E1031">
        <v>0</v>
      </c>
      <c r="F1031" t="s">
        <v>173</v>
      </c>
    </row>
    <row r="1032" spans="1:6" x14ac:dyDescent="0.25">
      <c r="A1032" t="s">
        <v>169</v>
      </c>
      <c r="B1032" t="s">
        <v>170</v>
      </c>
      <c r="C1032" t="s">
        <v>133</v>
      </c>
      <c r="D1032">
        <v>2014</v>
      </c>
      <c r="E1032">
        <v>0.71299999999999997</v>
      </c>
      <c r="F1032" t="s">
        <v>173</v>
      </c>
    </row>
    <row r="1033" spans="1:6" x14ac:dyDescent="0.25">
      <c r="A1033" t="s">
        <v>169</v>
      </c>
      <c r="B1033" t="s">
        <v>170</v>
      </c>
      <c r="C1033" t="s">
        <v>133</v>
      </c>
      <c r="D1033">
        <v>2013</v>
      </c>
      <c r="E1033">
        <v>0.69799999999999995</v>
      </c>
      <c r="F1033" t="s">
        <v>173</v>
      </c>
    </row>
    <row r="1034" spans="1:6" x14ac:dyDescent="0.25">
      <c r="A1034" t="s">
        <v>169</v>
      </c>
      <c r="B1034" t="s">
        <v>170</v>
      </c>
      <c r="C1034" t="s">
        <v>133</v>
      </c>
      <c r="D1034">
        <v>2012</v>
      </c>
      <c r="E1034">
        <v>0.69799999999999995</v>
      </c>
      <c r="F1034" t="s">
        <v>173</v>
      </c>
    </row>
    <row r="1035" spans="1:6" x14ac:dyDescent="0.25">
      <c r="A1035" t="s">
        <v>169</v>
      </c>
      <c r="B1035" t="s">
        <v>170</v>
      </c>
      <c r="C1035" t="s">
        <v>133</v>
      </c>
      <c r="D1035">
        <v>2011</v>
      </c>
      <c r="E1035">
        <v>0.70599999999999996</v>
      </c>
      <c r="F1035" t="s">
        <v>173</v>
      </c>
    </row>
    <row r="1036" spans="1:6" x14ac:dyDescent="0.25">
      <c r="A1036" t="s">
        <v>169</v>
      </c>
      <c r="B1036" t="s">
        <v>170</v>
      </c>
      <c r="C1036" t="s">
        <v>133</v>
      </c>
      <c r="D1036">
        <v>2010</v>
      </c>
      <c r="E1036">
        <v>0.67</v>
      </c>
      <c r="F1036" t="s">
        <v>173</v>
      </c>
    </row>
    <row r="1037" spans="1:6" x14ac:dyDescent="0.25">
      <c r="A1037" t="s">
        <v>169</v>
      </c>
      <c r="B1037" t="s">
        <v>170</v>
      </c>
      <c r="C1037" t="s">
        <v>134</v>
      </c>
      <c r="D1037">
        <v>2014</v>
      </c>
      <c r="E1037">
        <v>0</v>
      </c>
      <c r="F1037" t="s">
        <v>173</v>
      </c>
    </row>
    <row r="1038" spans="1:6" x14ac:dyDescent="0.25">
      <c r="A1038" t="s">
        <v>169</v>
      </c>
      <c r="B1038" t="s">
        <v>170</v>
      </c>
      <c r="C1038" t="s">
        <v>134</v>
      </c>
      <c r="D1038">
        <v>2013</v>
      </c>
      <c r="E1038">
        <v>0</v>
      </c>
      <c r="F1038" t="s">
        <v>173</v>
      </c>
    </row>
    <row r="1039" spans="1:6" x14ac:dyDescent="0.25">
      <c r="A1039" t="s">
        <v>169</v>
      </c>
      <c r="B1039" t="s">
        <v>170</v>
      </c>
      <c r="C1039" t="s">
        <v>134</v>
      </c>
      <c r="D1039">
        <v>2012</v>
      </c>
      <c r="E1039">
        <v>0</v>
      </c>
      <c r="F1039" t="s">
        <v>173</v>
      </c>
    </row>
    <row r="1040" spans="1:6" x14ac:dyDescent="0.25">
      <c r="A1040" t="s">
        <v>169</v>
      </c>
      <c r="B1040" t="s">
        <v>170</v>
      </c>
      <c r="C1040" t="s">
        <v>134</v>
      </c>
      <c r="D1040">
        <v>2011</v>
      </c>
      <c r="E1040">
        <v>0</v>
      </c>
      <c r="F1040" t="s">
        <v>173</v>
      </c>
    </row>
    <row r="1041" spans="1:6" x14ac:dyDescent="0.25">
      <c r="A1041" t="s">
        <v>169</v>
      </c>
      <c r="B1041" t="s">
        <v>170</v>
      </c>
      <c r="C1041" t="s">
        <v>134</v>
      </c>
      <c r="D1041">
        <v>2010</v>
      </c>
      <c r="E1041">
        <v>0</v>
      </c>
      <c r="F1041" t="s">
        <v>173</v>
      </c>
    </row>
    <row r="1042" spans="1:6" x14ac:dyDescent="0.25">
      <c r="A1042" t="s">
        <v>169</v>
      </c>
      <c r="B1042" t="s">
        <v>170</v>
      </c>
      <c r="C1042" t="s">
        <v>135</v>
      </c>
      <c r="D1042">
        <v>2014</v>
      </c>
      <c r="E1042">
        <v>1.0999999999999999E-2</v>
      </c>
      <c r="F1042" t="s">
        <v>173</v>
      </c>
    </row>
    <row r="1043" spans="1:6" x14ac:dyDescent="0.25">
      <c r="A1043" t="s">
        <v>169</v>
      </c>
      <c r="B1043" t="s">
        <v>170</v>
      </c>
      <c r="C1043" t="s">
        <v>135</v>
      </c>
      <c r="D1043">
        <v>2013</v>
      </c>
      <c r="E1043">
        <v>1.0999999999999999E-2</v>
      </c>
      <c r="F1043" t="s">
        <v>173</v>
      </c>
    </row>
    <row r="1044" spans="1:6" x14ac:dyDescent="0.25">
      <c r="A1044" t="s">
        <v>169</v>
      </c>
      <c r="B1044" t="s">
        <v>170</v>
      </c>
      <c r="C1044" t="s">
        <v>135</v>
      </c>
      <c r="D1044">
        <v>2012</v>
      </c>
      <c r="E1044">
        <v>1.0999999999999999E-2</v>
      </c>
      <c r="F1044" t="s">
        <v>173</v>
      </c>
    </row>
    <row r="1045" spans="1:6" x14ac:dyDescent="0.25">
      <c r="A1045" t="s">
        <v>169</v>
      </c>
      <c r="B1045" t="s">
        <v>170</v>
      </c>
      <c r="C1045" t="s">
        <v>135</v>
      </c>
      <c r="D1045">
        <v>2011</v>
      </c>
      <c r="E1045">
        <v>1.4E-2</v>
      </c>
      <c r="F1045" t="s">
        <v>173</v>
      </c>
    </row>
    <row r="1046" spans="1:6" x14ac:dyDescent="0.25">
      <c r="A1046" t="s">
        <v>169</v>
      </c>
      <c r="B1046" t="s">
        <v>170</v>
      </c>
      <c r="C1046" t="s">
        <v>135</v>
      </c>
      <c r="D1046">
        <v>2010</v>
      </c>
      <c r="E1046">
        <v>1.4E-2</v>
      </c>
      <c r="F1046" t="s">
        <v>173</v>
      </c>
    </row>
    <row r="1047" spans="1:6" x14ac:dyDescent="0.25">
      <c r="A1047" t="s">
        <v>169</v>
      </c>
      <c r="B1047" t="s">
        <v>170</v>
      </c>
      <c r="C1047" t="s">
        <v>136</v>
      </c>
      <c r="D1047">
        <v>2014</v>
      </c>
      <c r="E1047">
        <v>0</v>
      </c>
      <c r="F1047" t="s">
        <v>173</v>
      </c>
    </row>
    <row r="1048" spans="1:6" x14ac:dyDescent="0.25">
      <c r="A1048" t="s">
        <v>169</v>
      </c>
      <c r="B1048" t="s">
        <v>170</v>
      </c>
      <c r="C1048" t="s">
        <v>136</v>
      </c>
      <c r="D1048">
        <v>2013</v>
      </c>
      <c r="E1048">
        <v>0</v>
      </c>
      <c r="F1048" t="s">
        <v>173</v>
      </c>
    </row>
    <row r="1049" spans="1:6" x14ac:dyDescent="0.25">
      <c r="A1049" t="s">
        <v>169</v>
      </c>
      <c r="B1049" t="s">
        <v>170</v>
      </c>
      <c r="C1049" t="s">
        <v>136</v>
      </c>
      <c r="D1049">
        <v>2012</v>
      </c>
      <c r="E1049">
        <v>0</v>
      </c>
      <c r="F1049" t="s">
        <v>173</v>
      </c>
    </row>
    <row r="1050" spans="1:6" x14ac:dyDescent="0.25">
      <c r="A1050" t="s">
        <v>169</v>
      </c>
      <c r="B1050" t="s">
        <v>170</v>
      </c>
      <c r="C1050" t="s">
        <v>136</v>
      </c>
      <c r="D1050">
        <v>2011</v>
      </c>
      <c r="E1050">
        <v>0</v>
      </c>
      <c r="F1050" t="s">
        <v>173</v>
      </c>
    </row>
    <row r="1051" spans="1:6" x14ac:dyDescent="0.25">
      <c r="A1051" t="s">
        <v>169</v>
      </c>
      <c r="B1051" t="s">
        <v>170</v>
      </c>
      <c r="C1051" t="s">
        <v>136</v>
      </c>
      <c r="D1051">
        <v>2010</v>
      </c>
      <c r="E1051">
        <v>0</v>
      </c>
      <c r="F1051" t="s">
        <v>173</v>
      </c>
    </row>
    <row r="1052" spans="1:6" x14ac:dyDescent="0.25">
      <c r="A1052" t="s">
        <v>169</v>
      </c>
      <c r="B1052" t="s">
        <v>170</v>
      </c>
      <c r="C1052" t="s">
        <v>137</v>
      </c>
      <c r="D1052">
        <v>2014</v>
      </c>
      <c r="E1052">
        <v>7.0000000000000001E-3</v>
      </c>
      <c r="F1052" t="s">
        <v>173</v>
      </c>
    </row>
    <row r="1053" spans="1:6" x14ac:dyDescent="0.25">
      <c r="A1053" t="s">
        <v>169</v>
      </c>
      <c r="B1053" t="s">
        <v>170</v>
      </c>
      <c r="C1053" t="s">
        <v>137</v>
      </c>
      <c r="D1053">
        <v>2013</v>
      </c>
      <c r="E1053">
        <v>1.4E-2</v>
      </c>
      <c r="F1053" t="s">
        <v>173</v>
      </c>
    </row>
    <row r="1054" spans="1:6" x14ac:dyDescent="0.25">
      <c r="A1054" t="s">
        <v>169</v>
      </c>
      <c r="B1054" t="s">
        <v>170</v>
      </c>
      <c r="C1054" t="s">
        <v>137</v>
      </c>
      <c r="D1054">
        <v>2012</v>
      </c>
      <c r="E1054">
        <v>1.0999999999999999E-2</v>
      </c>
      <c r="F1054" t="s">
        <v>173</v>
      </c>
    </row>
    <row r="1055" spans="1:6" x14ac:dyDescent="0.25">
      <c r="A1055" t="s">
        <v>169</v>
      </c>
      <c r="B1055" t="s">
        <v>170</v>
      </c>
      <c r="C1055" t="s">
        <v>137</v>
      </c>
      <c r="D1055">
        <v>2011</v>
      </c>
      <c r="E1055">
        <v>7.0000000000000001E-3</v>
      </c>
      <c r="F1055" t="s">
        <v>173</v>
      </c>
    </row>
    <row r="1056" spans="1:6" x14ac:dyDescent="0.25">
      <c r="A1056" t="s">
        <v>169</v>
      </c>
      <c r="B1056" t="s">
        <v>170</v>
      </c>
      <c r="C1056" t="s">
        <v>137</v>
      </c>
      <c r="D1056">
        <v>2010</v>
      </c>
      <c r="E1056">
        <v>7.0000000000000001E-3</v>
      </c>
      <c r="F1056" t="s">
        <v>173</v>
      </c>
    </row>
    <row r="1057" spans="1:6" x14ac:dyDescent="0.25">
      <c r="A1057" t="s">
        <v>169</v>
      </c>
      <c r="B1057" t="s">
        <v>170</v>
      </c>
      <c r="C1057" t="s">
        <v>138</v>
      </c>
      <c r="D1057">
        <v>2014</v>
      </c>
      <c r="E1057">
        <v>0</v>
      </c>
      <c r="F1057" t="s">
        <v>173</v>
      </c>
    </row>
    <row r="1058" spans="1:6" x14ac:dyDescent="0.25">
      <c r="A1058" t="s">
        <v>169</v>
      </c>
      <c r="B1058" t="s">
        <v>170</v>
      </c>
      <c r="C1058" t="s">
        <v>138</v>
      </c>
      <c r="D1058">
        <v>2013</v>
      </c>
      <c r="E1058">
        <v>0</v>
      </c>
      <c r="F1058" t="s">
        <v>173</v>
      </c>
    </row>
    <row r="1059" spans="1:6" x14ac:dyDescent="0.25">
      <c r="A1059" t="s">
        <v>169</v>
      </c>
      <c r="B1059" t="s">
        <v>170</v>
      </c>
      <c r="C1059" t="s">
        <v>138</v>
      </c>
      <c r="D1059">
        <v>2012</v>
      </c>
      <c r="E1059">
        <v>0</v>
      </c>
      <c r="F1059" t="s">
        <v>173</v>
      </c>
    </row>
    <row r="1060" spans="1:6" x14ac:dyDescent="0.25">
      <c r="A1060" t="s">
        <v>169</v>
      </c>
      <c r="B1060" t="s">
        <v>170</v>
      </c>
      <c r="C1060" t="s">
        <v>138</v>
      </c>
      <c r="D1060">
        <v>2011</v>
      </c>
      <c r="E1060">
        <v>0</v>
      </c>
      <c r="F1060" t="s">
        <v>173</v>
      </c>
    </row>
    <row r="1061" spans="1:6" x14ac:dyDescent="0.25">
      <c r="A1061" t="s">
        <v>169</v>
      </c>
      <c r="B1061" t="s">
        <v>170</v>
      </c>
      <c r="C1061" t="s">
        <v>138</v>
      </c>
      <c r="D1061">
        <v>2010</v>
      </c>
      <c r="E1061">
        <v>0</v>
      </c>
      <c r="F1061" t="s">
        <v>173</v>
      </c>
    </row>
    <row r="1062" spans="1:6" x14ac:dyDescent="0.25">
      <c r="A1062" t="s">
        <v>169</v>
      </c>
      <c r="B1062" t="s">
        <v>170</v>
      </c>
      <c r="C1062" t="s">
        <v>164</v>
      </c>
      <c r="D1062">
        <v>2014</v>
      </c>
      <c r="E1062">
        <v>0</v>
      </c>
      <c r="F1062" t="s">
        <v>173</v>
      </c>
    </row>
    <row r="1063" spans="1:6" x14ac:dyDescent="0.25">
      <c r="A1063" t="s">
        <v>169</v>
      </c>
      <c r="B1063" t="s">
        <v>170</v>
      </c>
      <c r="C1063" t="s">
        <v>164</v>
      </c>
      <c r="D1063">
        <v>2013</v>
      </c>
      <c r="E1063">
        <v>0</v>
      </c>
      <c r="F1063" t="s">
        <v>173</v>
      </c>
    </row>
    <row r="1064" spans="1:6" x14ac:dyDescent="0.25">
      <c r="A1064" t="s">
        <v>169</v>
      </c>
      <c r="B1064" t="s">
        <v>170</v>
      </c>
      <c r="C1064" t="s">
        <v>164</v>
      </c>
      <c r="D1064">
        <v>2012</v>
      </c>
      <c r="E1064">
        <v>0</v>
      </c>
      <c r="F1064" t="s">
        <v>173</v>
      </c>
    </row>
    <row r="1065" spans="1:6" x14ac:dyDescent="0.25">
      <c r="A1065" t="s">
        <v>169</v>
      </c>
      <c r="B1065" t="s">
        <v>170</v>
      </c>
      <c r="C1065" t="s">
        <v>164</v>
      </c>
      <c r="D1065">
        <v>2011</v>
      </c>
      <c r="E1065">
        <v>0</v>
      </c>
      <c r="F1065" t="s">
        <v>173</v>
      </c>
    </row>
    <row r="1066" spans="1:6" x14ac:dyDescent="0.25">
      <c r="A1066" t="s">
        <v>169</v>
      </c>
      <c r="B1066" t="s">
        <v>170</v>
      </c>
      <c r="C1066" t="s">
        <v>164</v>
      </c>
      <c r="D1066">
        <v>2010</v>
      </c>
      <c r="E1066">
        <v>0</v>
      </c>
      <c r="F1066" t="s">
        <v>173</v>
      </c>
    </row>
    <row r="1067" spans="1:6" x14ac:dyDescent="0.25">
      <c r="A1067" t="s">
        <v>169</v>
      </c>
      <c r="B1067" t="s">
        <v>170</v>
      </c>
      <c r="C1067" t="s">
        <v>139</v>
      </c>
      <c r="D1067">
        <v>2014</v>
      </c>
      <c r="E1067">
        <v>0</v>
      </c>
      <c r="F1067" t="s">
        <v>173</v>
      </c>
    </row>
    <row r="1068" spans="1:6" x14ac:dyDescent="0.25">
      <c r="A1068" t="s">
        <v>169</v>
      </c>
      <c r="B1068" t="s">
        <v>170</v>
      </c>
      <c r="C1068" t="s">
        <v>139</v>
      </c>
      <c r="D1068">
        <v>2013</v>
      </c>
      <c r="E1068">
        <v>0</v>
      </c>
      <c r="F1068" t="s">
        <v>173</v>
      </c>
    </row>
    <row r="1069" spans="1:6" x14ac:dyDescent="0.25">
      <c r="A1069" t="s">
        <v>169</v>
      </c>
      <c r="B1069" t="s">
        <v>170</v>
      </c>
      <c r="C1069" t="s">
        <v>139</v>
      </c>
      <c r="D1069">
        <v>2012</v>
      </c>
      <c r="E1069">
        <v>0</v>
      </c>
      <c r="F1069" t="s">
        <v>173</v>
      </c>
    </row>
    <row r="1070" spans="1:6" x14ac:dyDescent="0.25">
      <c r="A1070" t="s">
        <v>169</v>
      </c>
      <c r="B1070" t="s">
        <v>170</v>
      </c>
      <c r="C1070" t="s">
        <v>139</v>
      </c>
      <c r="D1070">
        <v>2011</v>
      </c>
      <c r="E1070">
        <v>0</v>
      </c>
      <c r="F1070" t="s">
        <v>173</v>
      </c>
    </row>
    <row r="1071" spans="1:6" x14ac:dyDescent="0.25">
      <c r="A1071" t="s">
        <v>169</v>
      </c>
      <c r="B1071" t="s">
        <v>170</v>
      </c>
      <c r="C1071" t="s">
        <v>139</v>
      </c>
      <c r="D1071">
        <v>2010</v>
      </c>
      <c r="E1071">
        <v>0</v>
      </c>
      <c r="F1071" t="s">
        <v>173</v>
      </c>
    </row>
    <row r="1072" spans="1:6" x14ac:dyDescent="0.25">
      <c r="A1072" t="s">
        <v>169</v>
      </c>
      <c r="B1072" t="s">
        <v>170</v>
      </c>
      <c r="C1072" t="s">
        <v>165</v>
      </c>
      <c r="D1072">
        <v>2014</v>
      </c>
      <c r="E1072">
        <v>0</v>
      </c>
      <c r="F1072" t="s">
        <v>173</v>
      </c>
    </row>
    <row r="1073" spans="1:6" x14ac:dyDescent="0.25">
      <c r="A1073" t="s">
        <v>169</v>
      </c>
      <c r="B1073" t="s">
        <v>170</v>
      </c>
      <c r="C1073" t="s">
        <v>165</v>
      </c>
      <c r="D1073">
        <v>2013</v>
      </c>
      <c r="E1073">
        <v>0</v>
      </c>
      <c r="F1073" t="s">
        <v>173</v>
      </c>
    </row>
    <row r="1074" spans="1:6" x14ac:dyDescent="0.25">
      <c r="A1074" t="s">
        <v>169</v>
      </c>
      <c r="B1074" t="s">
        <v>170</v>
      </c>
      <c r="C1074" t="s">
        <v>165</v>
      </c>
      <c r="D1074">
        <v>2012</v>
      </c>
      <c r="E1074">
        <v>0</v>
      </c>
      <c r="F1074" t="s">
        <v>173</v>
      </c>
    </row>
    <row r="1075" spans="1:6" x14ac:dyDescent="0.25">
      <c r="A1075" t="s">
        <v>169</v>
      </c>
      <c r="B1075" t="s">
        <v>170</v>
      </c>
      <c r="C1075" t="s">
        <v>165</v>
      </c>
      <c r="D1075">
        <v>2011</v>
      </c>
      <c r="E1075">
        <v>0</v>
      </c>
      <c r="F1075" t="s">
        <v>173</v>
      </c>
    </row>
    <row r="1076" spans="1:6" x14ac:dyDescent="0.25">
      <c r="A1076" t="s">
        <v>169</v>
      </c>
      <c r="B1076" t="s">
        <v>170</v>
      </c>
      <c r="C1076" t="s">
        <v>165</v>
      </c>
      <c r="D1076">
        <v>2010</v>
      </c>
      <c r="E1076">
        <v>0</v>
      </c>
      <c r="F1076" t="s">
        <v>173</v>
      </c>
    </row>
    <row r="1077" spans="1:6" x14ac:dyDescent="0.25">
      <c r="A1077" t="s">
        <v>169</v>
      </c>
      <c r="B1077" t="s">
        <v>170</v>
      </c>
      <c r="C1077" t="s">
        <v>140</v>
      </c>
      <c r="D1077">
        <v>2014</v>
      </c>
      <c r="E1077">
        <v>0</v>
      </c>
      <c r="F1077" t="s">
        <v>173</v>
      </c>
    </row>
    <row r="1078" spans="1:6" x14ac:dyDescent="0.25">
      <c r="A1078" t="s">
        <v>169</v>
      </c>
      <c r="B1078" t="s">
        <v>170</v>
      </c>
      <c r="C1078" t="s">
        <v>140</v>
      </c>
      <c r="D1078">
        <v>2013</v>
      </c>
      <c r="E1078">
        <v>0</v>
      </c>
      <c r="F1078" t="s">
        <v>173</v>
      </c>
    </row>
    <row r="1079" spans="1:6" x14ac:dyDescent="0.25">
      <c r="A1079" t="s">
        <v>169</v>
      </c>
      <c r="B1079" t="s">
        <v>170</v>
      </c>
      <c r="C1079" t="s">
        <v>140</v>
      </c>
      <c r="D1079">
        <v>2012</v>
      </c>
      <c r="E1079">
        <v>0</v>
      </c>
      <c r="F1079" t="s">
        <v>173</v>
      </c>
    </row>
    <row r="1080" spans="1:6" x14ac:dyDescent="0.25">
      <c r="A1080" t="s">
        <v>169</v>
      </c>
      <c r="B1080" t="s">
        <v>170</v>
      </c>
      <c r="C1080" t="s">
        <v>140</v>
      </c>
      <c r="D1080">
        <v>2011</v>
      </c>
      <c r="E1080">
        <v>0</v>
      </c>
      <c r="F1080" t="s">
        <v>173</v>
      </c>
    </row>
    <row r="1081" spans="1:6" x14ac:dyDescent="0.25">
      <c r="A1081" t="s">
        <v>169</v>
      </c>
      <c r="B1081" t="s">
        <v>170</v>
      </c>
      <c r="C1081" t="s">
        <v>140</v>
      </c>
      <c r="D1081">
        <v>2010</v>
      </c>
      <c r="E1081">
        <v>0</v>
      </c>
      <c r="F1081" t="s">
        <v>173</v>
      </c>
    </row>
    <row r="1082" spans="1:6" x14ac:dyDescent="0.25">
      <c r="A1082" t="s">
        <v>169</v>
      </c>
      <c r="B1082" t="s">
        <v>170</v>
      </c>
      <c r="C1082" t="s">
        <v>141</v>
      </c>
      <c r="D1082">
        <v>2014</v>
      </c>
      <c r="E1082">
        <v>3.121</v>
      </c>
      <c r="F1082" t="s">
        <v>173</v>
      </c>
    </row>
    <row r="1083" spans="1:6" x14ac:dyDescent="0.25">
      <c r="A1083" t="s">
        <v>169</v>
      </c>
      <c r="B1083" t="s">
        <v>170</v>
      </c>
      <c r="C1083" t="s">
        <v>141</v>
      </c>
      <c r="D1083">
        <v>2013</v>
      </c>
      <c r="E1083">
        <v>3.6</v>
      </c>
      <c r="F1083" t="s">
        <v>173</v>
      </c>
    </row>
    <row r="1084" spans="1:6" x14ac:dyDescent="0.25">
      <c r="A1084" t="s">
        <v>169</v>
      </c>
      <c r="B1084" t="s">
        <v>170</v>
      </c>
      <c r="C1084" t="s">
        <v>141</v>
      </c>
      <c r="D1084">
        <v>2012</v>
      </c>
      <c r="E1084">
        <v>3.3730000000000002</v>
      </c>
      <c r="F1084" t="s">
        <v>173</v>
      </c>
    </row>
    <row r="1085" spans="1:6" x14ac:dyDescent="0.25">
      <c r="A1085" t="s">
        <v>169</v>
      </c>
      <c r="B1085" t="s">
        <v>170</v>
      </c>
      <c r="C1085" t="s">
        <v>141</v>
      </c>
      <c r="D1085">
        <v>2011</v>
      </c>
      <c r="E1085">
        <v>2.52</v>
      </c>
      <c r="F1085" t="s">
        <v>173</v>
      </c>
    </row>
    <row r="1086" spans="1:6" x14ac:dyDescent="0.25">
      <c r="A1086" t="s">
        <v>169</v>
      </c>
      <c r="B1086" t="s">
        <v>170</v>
      </c>
      <c r="C1086" t="s">
        <v>141</v>
      </c>
      <c r="D1086">
        <v>2010</v>
      </c>
      <c r="E1086">
        <v>3.0459999999999998</v>
      </c>
      <c r="F1086" t="s">
        <v>173</v>
      </c>
    </row>
    <row r="1087" spans="1:6" x14ac:dyDescent="0.25">
      <c r="A1087" t="s">
        <v>169</v>
      </c>
      <c r="B1087" t="s">
        <v>170</v>
      </c>
      <c r="C1087" t="s">
        <v>142</v>
      </c>
      <c r="D1087">
        <v>2014</v>
      </c>
      <c r="E1087">
        <v>0</v>
      </c>
      <c r="F1087" t="s">
        <v>173</v>
      </c>
    </row>
    <row r="1088" spans="1:6" x14ac:dyDescent="0.25">
      <c r="A1088" t="s">
        <v>169</v>
      </c>
      <c r="B1088" t="s">
        <v>170</v>
      </c>
      <c r="C1088" t="s">
        <v>142</v>
      </c>
      <c r="D1088">
        <v>2013</v>
      </c>
      <c r="E1088">
        <v>0</v>
      </c>
      <c r="F1088" t="s">
        <v>173</v>
      </c>
    </row>
    <row r="1089" spans="1:6" x14ac:dyDescent="0.25">
      <c r="A1089" t="s">
        <v>169</v>
      </c>
      <c r="B1089" t="s">
        <v>170</v>
      </c>
      <c r="C1089" t="s">
        <v>142</v>
      </c>
      <c r="D1089">
        <v>2012</v>
      </c>
      <c r="E1089">
        <v>0</v>
      </c>
      <c r="F1089" t="s">
        <v>173</v>
      </c>
    </row>
    <row r="1090" spans="1:6" x14ac:dyDescent="0.25">
      <c r="A1090" t="s">
        <v>169</v>
      </c>
      <c r="B1090" t="s">
        <v>170</v>
      </c>
      <c r="C1090" t="s">
        <v>142</v>
      </c>
      <c r="D1090">
        <v>2011</v>
      </c>
      <c r="E1090">
        <v>0</v>
      </c>
      <c r="F1090" t="s">
        <v>173</v>
      </c>
    </row>
    <row r="1091" spans="1:6" x14ac:dyDescent="0.25">
      <c r="A1091" t="s">
        <v>169</v>
      </c>
      <c r="B1091" t="s">
        <v>170</v>
      </c>
      <c r="C1091" t="s">
        <v>142</v>
      </c>
      <c r="D1091">
        <v>2010</v>
      </c>
      <c r="E1091">
        <v>0</v>
      </c>
      <c r="F1091" t="s">
        <v>173</v>
      </c>
    </row>
    <row r="1092" spans="1:6" x14ac:dyDescent="0.25">
      <c r="A1092" t="s">
        <v>169</v>
      </c>
      <c r="B1092" t="s">
        <v>170</v>
      </c>
      <c r="C1092" t="s">
        <v>166</v>
      </c>
      <c r="D1092">
        <v>2014</v>
      </c>
      <c r="E1092">
        <v>0</v>
      </c>
      <c r="F1092" t="s">
        <v>173</v>
      </c>
    </row>
    <row r="1093" spans="1:6" x14ac:dyDescent="0.25">
      <c r="A1093" t="s">
        <v>169</v>
      </c>
      <c r="B1093" t="s">
        <v>170</v>
      </c>
      <c r="C1093" t="s">
        <v>166</v>
      </c>
      <c r="D1093">
        <v>2013</v>
      </c>
      <c r="E1093">
        <v>0</v>
      </c>
      <c r="F1093" t="s">
        <v>173</v>
      </c>
    </row>
    <row r="1094" spans="1:6" x14ac:dyDescent="0.25">
      <c r="A1094" t="s">
        <v>169</v>
      </c>
      <c r="B1094" t="s">
        <v>170</v>
      </c>
      <c r="C1094" t="s">
        <v>166</v>
      </c>
      <c r="D1094">
        <v>2012</v>
      </c>
      <c r="E1094">
        <v>0</v>
      </c>
      <c r="F1094" t="s">
        <v>173</v>
      </c>
    </row>
    <row r="1095" spans="1:6" x14ac:dyDescent="0.25">
      <c r="A1095" t="s">
        <v>169</v>
      </c>
      <c r="B1095" t="s">
        <v>170</v>
      </c>
      <c r="C1095" t="s">
        <v>166</v>
      </c>
      <c r="D1095">
        <v>2011</v>
      </c>
      <c r="E1095">
        <v>0</v>
      </c>
      <c r="F1095" t="s">
        <v>173</v>
      </c>
    </row>
    <row r="1096" spans="1:6" x14ac:dyDescent="0.25">
      <c r="A1096" t="s">
        <v>169</v>
      </c>
      <c r="B1096" t="s">
        <v>170</v>
      </c>
      <c r="C1096" t="s">
        <v>166</v>
      </c>
      <c r="D1096">
        <v>2010</v>
      </c>
      <c r="E1096">
        <v>0</v>
      </c>
      <c r="F1096" t="s">
        <v>173</v>
      </c>
    </row>
    <row r="1097" spans="1:6" x14ac:dyDescent="0.25">
      <c r="A1097" t="s">
        <v>169</v>
      </c>
      <c r="B1097" t="s">
        <v>170</v>
      </c>
      <c r="C1097" t="s">
        <v>143</v>
      </c>
      <c r="D1097">
        <v>2014</v>
      </c>
      <c r="E1097">
        <v>0</v>
      </c>
      <c r="F1097" t="s">
        <v>173</v>
      </c>
    </row>
    <row r="1098" spans="1:6" x14ac:dyDescent="0.25">
      <c r="A1098" t="s">
        <v>169</v>
      </c>
      <c r="B1098" t="s">
        <v>170</v>
      </c>
      <c r="C1098" t="s">
        <v>143</v>
      </c>
      <c r="D1098">
        <v>2013</v>
      </c>
      <c r="E1098">
        <v>0</v>
      </c>
      <c r="F1098" t="s">
        <v>173</v>
      </c>
    </row>
    <row r="1099" spans="1:6" x14ac:dyDescent="0.25">
      <c r="A1099" t="s">
        <v>169</v>
      </c>
      <c r="B1099" t="s">
        <v>170</v>
      </c>
      <c r="C1099" t="s">
        <v>143</v>
      </c>
      <c r="D1099">
        <v>2012</v>
      </c>
      <c r="E1099">
        <v>0</v>
      </c>
      <c r="F1099" t="s">
        <v>173</v>
      </c>
    </row>
    <row r="1100" spans="1:6" x14ac:dyDescent="0.25">
      <c r="A1100" t="s">
        <v>169</v>
      </c>
      <c r="B1100" t="s">
        <v>170</v>
      </c>
      <c r="C1100" t="s">
        <v>143</v>
      </c>
      <c r="D1100">
        <v>2011</v>
      </c>
      <c r="E1100">
        <v>0</v>
      </c>
      <c r="F1100" t="s">
        <v>173</v>
      </c>
    </row>
    <row r="1101" spans="1:6" x14ac:dyDescent="0.25">
      <c r="A1101" t="s">
        <v>169</v>
      </c>
      <c r="B1101" t="s">
        <v>170</v>
      </c>
      <c r="C1101" t="s">
        <v>143</v>
      </c>
      <c r="D1101">
        <v>2010</v>
      </c>
      <c r="E1101">
        <v>0</v>
      </c>
      <c r="F1101" t="s">
        <v>173</v>
      </c>
    </row>
    <row r="1102" spans="1:6" x14ac:dyDescent="0.25">
      <c r="A1102" t="s">
        <v>169</v>
      </c>
      <c r="B1102" t="s">
        <v>170</v>
      </c>
      <c r="C1102" t="s">
        <v>144</v>
      </c>
      <c r="D1102">
        <v>2014</v>
      </c>
      <c r="E1102">
        <v>0</v>
      </c>
      <c r="F1102" t="s">
        <v>173</v>
      </c>
    </row>
    <row r="1103" spans="1:6" x14ac:dyDescent="0.25">
      <c r="A1103" t="s">
        <v>169</v>
      </c>
      <c r="B1103" t="s">
        <v>170</v>
      </c>
      <c r="C1103" t="s">
        <v>144</v>
      </c>
      <c r="D1103">
        <v>2013</v>
      </c>
      <c r="E1103">
        <v>0</v>
      </c>
      <c r="F1103" t="s">
        <v>173</v>
      </c>
    </row>
    <row r="1104" spans="1:6" x14ac:dyDescent="0.25">
      <c r="A1104" t="s">
        <v>169</v>
      </c>
      <c r="B1104" t="s">
        <v>170</v>
      </c>
      <c r="C1104" t="s">
        <v>144</v>
      </c>
      <c r="D1104">
        <v>2012</v>
      </c>
      <c r="E1104">
        <v>0</v>
      </c>
      <c r="F1104" t="s">
        <v>173</v>
      </c>
    </row>
    <row r="1105" spans="1:6" x14ac:dyDescent="0.25">
      <c r="A1105" t="s">
        <v>169</v>
      </c>
      <c r="B1105" t="s">
        <v>170</v>
      </c>
      <c r="C1105" t="s">
        <v>144</v>
      </c>
      <c r="D1105">
        <v>2011</v>
      </c>
      <c r="E1105">
        <v>0</v>
      </c>
      <c r="F1105" t="s">
        <v>173</v>
      </c>
    </row>
    <row r="1106" spans="1:6" x14ac:dyDescent="0.25">
      <c r="A1106" t="s">
        <v>169</v>
      </c>
      <c r="B1106" t="s">
        <v>170</v>
      </c>
      <c r="C1106" t="s">
        <v>144</v>
      </c>
      <c r="D1106">
        <v>2010</v>
      </c>
      <c r="E1106">
        <v>0</v>
      </c>
      <c r="F1106" t="s">
        <v>173</v>
      </c>
    </row>
    <row r="1107" spans="1:6" x14ac:dyDescent="0.25">
      <c r="A1107" t="s">
        <v>169</v>
      </c>
      <c r="B1107" t="s">
        <v>170</v>
      </c>
      <c r="C1107" t="s">
        <v>145</v>
      </c>
      <c r="D1107">
        <v>2014</v>
      </c>
      <c r="E1107">
        <v>6.4939999999999998</v>
      </c>
      <c r="F1107" t="s">
        <v>173</v>
      </c>
    </row>
    <row r="1108" spans="1:6" x14ac:dyDescent="0.25">
      <c r="A1108" t="s">
        <v>169</v>
      </c>
      <c r="B1108" t="s">
        <v>170</v>
      </c>
      <c r="C1108" t="s">
        <v>145</v>
      </c>
      <c r="D1108">
        <v>2013</v>
      </c>
      <c r="E1108">
        <v>5.2519999999999998</v>
      </c>
      <c r="F1108" t="s">
        <v>173</v>
      </c>
    </row>
    <row r="1109" spans="1:6" x14ac:dyDescent="0.25">
      <c r="A1109" t="s">
        <v>169</v>
      </c>
      <c r="B1109" t="s">
        <v>170</v>
      </c>
      <c r="C1109" t="s">
        <v>145</v>
      </c>
      <c r="D1109">
        <v>2012</v>
      </c>
      <c r="E1109">
        <v>6.4550000000000001</v>
      </c>
      <c r="F1109" t="s">
        <v>173</v>
      </c>
    </row>
    <row r="1110" spans="1:6" x14ac:dyDescent="0.25">
      <c r="A1110" t="s">
        <v>169</v>
      </c>
      <c r="B1110" t="s">
        <v>170</v>
      </c>
      <c r="C1110" t="s">
        <v>145</v>
      </c>
      <c r="D1110">
        <v>2011</v>
      </c>
      <c r="E1110">
        <v>4.7990000000000004</v>
      </c>
      <c r="F1110" t="s">
        <v>173</v>
      </c>
    </row>
    <row r="1111" spans="1:6" x14ac:dyDescent="0.25">
      <c r="A1111" t="s">
        <v>169</v>
      </c>
      <c r="B1111" t="s">
        <v>170</v>
      </c>
      <c r="C1111" t="s">
        <v>145</v>
      </c>
      <c r="D1111">
        <v>2010</v>
      </c>
      <c r="E1111">
        <v>5.8070000000000004</v>
      </c>
      <c r="F1111" t="s">
        <v>173</v>
      </c>
    </row>
    <row r="1112" spans="1:6" x14ac:dyDescent="0.25">
      <c r="A1112" t="s">
        <v>169</v>
      </c>
      <c r="B1112" t="s">
        <v>170</v>
      </c>
      <c r="C1112" t="s">
        <v>146</v>
      </c>
      <c r="D1112">
        <v>2014</v>
      </c>
      <c r="E1112">
        <v>0</v>
      </c>
      <c r="F1112" t="s">
        <v>173</v>
      </c>
    </row>
    <row r="1113" spans="1:6" x14ac:dyDescent="0.25">
      <c r="A1113" t="s">
        <v>169</v>
      </c>
      <c r="B1113" t="s">
        <v>170</v>
      </c>
      <c r="C1113" t="s">
        <v>146</v>
      </c>
      <c r="D1113">
        <v>2013</v>
      </c>
      <c r="E1113">
        <v>0</v>
      </c>
      <c r="F1113" t="s">
        <v>173</v>
      </c>
    </row>
    <row r="1114" spans="1:6" x14ac:dyDescent="0.25">
      <c r="A1114" t="s">
        <v>169</v>
      </c>
      <c r="B1114" t="s">
        <v>170</v>
      </c>
      <c r="C1114" t="s">
        <v>146</v>
      </c>
      <c r="D1114">
        <v>2012</v>
      </c>
      <c r="E1114">
        <v>0</v>
      </c>
      <c r="F1114" t="s">
        <v>173</v>
      </c>
    </row>
    <row r="1115" spans="1:6" x14ac:dyDescent="0.25">
      <c r="A1115" t="s">
        <v>169</v>
      </c>
      <c r="B1115" t="s">
        <v>170</v>
      </c>
      <c r="C1115" t="s">
        <v>146</v>
      </c>
      <c r="D1115">
        <v>2011</v>
      </c>
      <c r="E1115">
        <v>0</v>
      </c>
      <c r="F1115" t="s">
        <v>173</v>
      </c>
    </row>
    <row r="1116" spans="1:6" x14ac:dyDescent="0.25">
      <c r="A1116" t="s">
        <v>169</v>
      </c>
      <c r="B1116" t="s">
        <v>170</v>
      </c>
      <c r="C1116" t="s">
        <v>146</v>
      </c>
      <c r="D1116">
        <v>2010</v>
      </c>
      <c r="E1116">
        <v>0</v>
      </c>
      <c r="F1116" t="s">
        <v>173</v>
      </c>
    </row>
    <row r="1117" spans="1:6" x14ac:dyDescent="0.25">
      <c r="A1117" t="s">
        <v>169</v>
      </c>
      <c r="B1117" t="s">
        <v>170</v>
      </c>
      <c r="C1117" t="s">
        <v>147</v>
      </c>
      <c r="D1117">
        <v>2014</v>
      </c>
      <c r="E1117">
        <v>5.8000000000000003E-2</v>
      </c>
      <c r="F1117" t="s">
        <v>173</v>
      </c>
    </row>
    <row r="1118" spans="1:6" x14ac:dyDescent="0.25">
      <c r="A1118" t="s">
        <v>169</v>
      </c>
      <c r="B1118" t="s">
        <v>170</v>
      </c>
      <c r="C1118" t="s">
        <v>147</v>
      </c>
      <c r="D1118">
        <v>2013</v>
      </c>
      <c r="E1118">
        <v>4.2999999999999997E-2</v>
      </c>
      <c r="F1118" t="s">
        <v>173</v>
      </c>
    </row>
    <row r="1119" spans="1:6" x14ac:dyDescent="0.25">
      <c r="A1119" t="s">
        <v>169</v>
      </c>
      <c r="B1119" t="s">
        <v>170</v>
      </c>
      <c r="C1119" t="s">
        <v>147</v>
      </c>
      <c r="D1119">
        <v>2012</v>
      </c>
      <c r="E1119">
        <v>6.8000000000000005E-2</v>
      </c>
      <c r="F1119" t="s">
        <v>173</v>
      </c>
    </row>
    <row r="1120" spans="1:6" x14ac:dyDescent="0.25">
      <c r="A1120" t="s">
        <v>169</v>
      </c>
      <c r="B1120" t="s">
        <v>170</v>
      </c>
      <c r="C1120" t="s">
        <v>147</v>
      </c>
      <c r="D1120">
        <v>2011</v>
      </c>
      <c r="E1120">
        <v>1.0999999999999999E-2</v>
      </c>
      <c r="F1120" t="s">
        <v>173</v>
      </c>
    </row>
    <row r="1121" spans="1:6" x14ac:dyDescent="0.25">
      <c r="A1121" t="s">
        <v>169</v>
      </c>
      <c r="B1121" t="s">
        <v>170</v>
      </c>
      <c r="C1121" t="s">
        <v>147</v>
      </c>
      <c r="D1121">
        <v>2010</v>
      </c>
      <c r="E1121">
        <v>1.0999999999999999E-2</v>
      </c>
      <c r="F1121" t="s">
        <v>173</v>
      </c>
    </row>
    <row r="1122" spans="1:6" x14ac:dyDescent="0.25">
      <c r="A1122" t="s">
        <v>169</v>
      </c>
      <c r="B1122" t="s">
        <v>170</v>
      </c>
      <c r="C1122" t="s">
        <v>167</v>
      </c>
      <c r="D1122">
        <v>2014</v>
      </c>
      <c r="E1122">
        <v>0</v>
      </c>
      <c r="F1122" t="s">
        <v>173</v>
      </c>
    </row>
    <row r="1123" spans="1:6" x14ac:dyDescent="0.25">
      <c r="A1123" t="s">
        <v>169</v>
      </c>
      <c r="B1123" t="s">
        <v>170</v>
      </c>
      <c r="C1123" t="s">
        <v>167</v>
      </c>
      <c r="D1123">
        <v>2013</v>
      </c>
      <c r="E1123">
        <v>0</v>
      </c>
      <c r="F1123" t="s">
        <v>173</v>
      </c>
    </row>
    <row r="1124" spans="1:6" x14ac:dyDescent="0.25">
      <c r="A1124" t="s">
        <v>169</v>
      </c>
      <c r="B1124" t="s">
        <v>170</v>
      </c>
      <c r="C1124" t="s">
        <v>167</v>
      </c>
      <c r="D1124">
        <v>2012</v>
      </c>
      <c r="E1124">
        <v>0</v>
      </c>
      <c r="F1124" t="s">
        <v>173</v>
      </c>
    </row>
    <row r="1125" spans="1:6" x14ac:dyDescent="0.25">
      <c r="A1125" t="s">
        <v>169</v>
      </c>
      <c r="B1125" t="s">
        <v>170</v>
      </c>
      <c r="C1125" t="s">
        <v>167</v>
      </c>
      <c r="D1125">
        <v>2011</v>
      </c>
      <c r="E1125">
        <v>0</v>
      </c>
      <c r="F1125" t="s">
        <v>173</v>
      </c>
    </row>
    <row r="1126" spans="1:6" x14ac:dyDescent="0.25">
      <c r="A1126" t="s">
        <v>169</v>
      </c>
      <c r="B1126" t="s">
        <v>170</v>
      </c>
      <c r="C1126" t="s">
        <v>167</v>
      </c>
      <c r="D1126">
        <v>2010</v>
      </c>
      <c r="E1126">
        <v>0</v>
      </c>
      <c r="F1126" t="s">
        <v>173</v>
      </c>
    </row>
    <row r="1127" spans="1:6" x14ac:dyDescent="0.25">
      <c r="A1127" t="s">
        <v>169</v>
      </c>
      <c r="B1127" t="s">
        <v>170</v>
      </c>
      <c r="C1127" t="s">
        <v>168</v>
      </c>
      <c r="D1127">
        <v>2014</v>
      </c>
      <c r="E1127">
        <v>0</v>
      </c>
      <c r="F1127" t="s">
        <v>173</v>
      </c>
    </row>
    <row r="1128" spans="1:6" x14ac:dyDescent="0.25">
      <c r="A1128" t="s">
        <v>169</v>
      </c>
      <c r="B1128" t="s">
        <v>170</v>
      </c>
      <c r="C1128" t="s">
        <v>168</v>
      </c>
      <c r="D1128">
        <v>2013</v>
      </c>
      <c r="E1128">
        <v>0</v>
      </c>
      <c r="F1128" t="s">
        <v>173</v>
      </c>
    </row>
    <row r="1129" spans="1:6" x14ac:dyDescent="0.25">
      <c r="A1129" t="s">
        <v>169</v>
      </c>
      <c r="B1129" t="s">
        <v>170</v>
      </c>
      <c r="C1129" t="s">
        <v>168</v>
      </c>
      <c r="D1129">
        <v>2012</v>
      </c>
      <c r="E1129">
        <v>0</v>
      </c>
      <c r="F1129" t="s">
        <v>173</v>
      </c>
    </row>
    <row r="1130" spans="1:6" x14ac:dyDescent="0.25">
      <c r="A1130" t="s">
        <v>169</v>
      </c>
      <c r="B1130" t="s">
        <v>170</v>
      </c>
      <c r="C1130" t="s">
        <v>168</v>
      </c>
      <c r="D1130">
        <v>2011</v>
      </c>
      <c r="E1130">
        <v>0</v>
      </c>
      <c r="F1130" t="s">
        <v>173</v>
      </c>
    </row>
    <row r="1131" spans="1:6" x14ac:dyDescent="0.25">
      <c r="A1131" t="s">
        <v>169</v>
      </c>
      <c r="B1131" t="s">
        <v>170</v>
      </c>
      <c r="C1131" t="s">
        <v>168</v>
      </c>
      <c r="D1131">
        <v>2010</v>
      </c>
      <c r="E1131">
        <v>0</v>
      </c>
      <c r="F1131" t="s">
        <v>173</v>
      </c>
    </row>
    <row r="1132" spans="1:6" x14ac:dyDescent="0.25">
      <c r="A1132" t="s">
        <v>169</v>
      </c>
      <c r="B1132" t="s">
        <v>170</v>
      </c>
      <c r="C1132" t="s">
        <v>148</v>
      </c>
      <c r="D1132">
        <v>2014</v>
      </c>
      <c r="E1132">
        <v>0</v>
      </c>
      <c r="F1132" t="s">
        <v>173</v>
      </c>
    </row>
    <row r="1133" spans="1:6" x14ac:dyDescent="0.25">
      <c r="A1133" t="s">
        <v>169</v>
      </c>
      <c r="B1133" t="s">
        <v>170</v>
      </c>
      <c r="C1133" t="s">
        <v>148</v>
      </c>
      <c r="D1133">
        <v>2013</v>
      </c>
      <c r="E1133">
        <v>0</v>
      </c>
      <c r="F1133" t="s">
        <v>173</v>
      </c>
    </row>
    <row r="1134" spans="1:6" x14ac:dyDescent="0.25">
      <c r="A1134" t="s">
        <v>169</v>
      </c>
      <c r="B1134" t="s">
        <v>170</v>
      </c>
      <c r="C1134" t="s">
        <v>148</v>
      </c>
      <c r="D1134">
        <v>2012</v>
      </c>
      <c r="E1134">
        <v>0</v>
      </c>
      <c r="F1134" t="s">
        <v>173</v>
      </c>
    </row>
    <row r="1135" spans="1:6" x14ac:dyDescent="0.25">
      <c r="A1135" t="s">
        <v>169</v>
      </c>
      <c r="B1135" t="s">
        <v>170</v>
      </c>
      <c r="C1135" t="s">
        <v>148</v>
      </c>
      <c r="D1135">
        <v>2011</v>
      </c>
      <c r="E1135">
        <v>0</v>
      </c>
      <c r="F1135" t="s">
        <v>173</v>
      </c>
    </row>
    <row r="1136" spans="1:6" x14ac:dyDescent="0.25">
      <c r="A1136" t="s">
        <v>169</v>
      </c>
      <c r="B1136" t="s">
        <v>170</v>
      </c>
      <c r="C1136" t="s">
        <v>148</v>
      </c>
      <c r="D1136">
        <v>2010</v>
      </c>
      <c r="E1136">
        <v>0</v>
      </c>
      <c r="F1136" t="s">
        <v>173</v>
      </c>
    </row>
    <row r="1137" spans="1:6" x14ac:dyDescent="0.25">
      <c r="A1137" t="s">
        <v>169</v>
      </c>
      <c r="B1137" t="s">
        <v>170</v>
      </c>
      <c r="C1137" t="s">
        <v>149</v>
      </c>
      <c r="D1137">
        <v>2014</v>
      </c>
      <c r="E1137">
        <v>0</v>
      </c>
      <c r="F1137" t="s">
        <v>173</v>
      </c>
    </row>
    <row r="1138" spans="1:6" x14ac:dyDescent="0.25">
      <c r="A1138" t="s">
        <v>169</v>
      </c>
      <c r="B1138" t="s">
        <v>170</v>
      </c>
      <c r="C1138" t="s">
        <v>149</v>
      </c>
      <c r="D1138">
        <v>2013</v>
      </c>
      <c r="E1138">
        <v>0</v>
      </c>
      <c r="F1138" t="s">
        <v>173</v>
      </c>
    </row>
    <row r="1139" spans="1:6" x14ac:dyDescent="0.25">
      <c r="A1139" t="s">
        <v>169</v>
      </c>
      <c r="B1139" t="s">
        <v>170</v>
      </c>
      <c r="C1139" t="s">
        <v>149</v>
      </c>
      <c r="D1139">
        <v>2012</v>
      </c>
      <c r="E1139">
        <v>0</v>
      </c>
      <c r="F1139" t="s">
        <v>173</v>
      </c>
    </row>
    <row r="1140" spans="1:6" x14ac:dyDescent="0.25">
      <c r="A1140" t="s">
        <v>169</v>
      </c>
      <c r="B1140" t="s">
        <v>170</v>
      </c>
      <c r="C1140" t="s">
        <v>149</v>
      </c>
      <c r="D1140">
        <v>2011</v>
      </c>
      <c r="E1140">
        <v>0</v>
      </c>
      <c r="F1140" t="s">
        <v>173</v>
      </c>
    </row>
    <row r="1141" spans="1:6" x14ac:dyDescent="0.25">
      <c r="A1141" t="s">
        <v>169</v>
      </c>
      <c r="B1141" t="s">
        <v>170</v>
      </c>
      <c r="C1141" t="s">
        <v>149</v>
      </c>
      <c r="D1141">
        <v>2010</v>
      </c>
      <c r="E1141">
        <v>0</v>
      </c>
      <c r="F1141" t="s">
        <v>173</v>
      </c>
    </row>
    <row r="1142" spans="1:6" x14ac:dyDescent="0.25">
      <c r="A1142" t="s">
        <v>169</v>
      </c>
      <c r="B1142" t="s">
        <v>170</v>
      </c>
      <c r="C1142" t="s">
        <v>121</v>
      </c>
      <c r="D1142">
        <v>2014</v>
      </c>
      <c r="E1142">
        <v>0</v>
      </c>
      <c r="F1142" t="s">
        <v>177</v>
      </c>
    </row>
    <row r="1143" spans="1:6" x14ac:dyDescent="0.25">
      <c r="A1143" t="s">
        <v>169</v>
      </c>
      <c r="B1143" t="s">
        <v>170</v>
      </c>
      <c r="C1143" t="s">
        <v>121</v>
      </c>
      <c r="D1143">
        <v>2013</v>
      </c>
      <c r="E1143">
        <v>0</v>
      </c>
      <c r="F1143" t="s">
        <v>177</v>
      </c>
    </row>
    <row r="1144" spans="1:6" x14ac:dyDescent="0.25">
      <c r="A1144" t="s">
        <v>169</v>
      </c>
      <c r="B1144" t="s">
        <v>170</v>
      </c>
      <c r="C1144" t="s">
        <v>121</v>
      </c>
      <c r="D1144">
        <v>2012</v>
      </c>
      <c r="E1144">
        <v>0</v>
      </c>
      <c r="F1144" t="s">
        <v>177</v>
      </c>
    </row>
    <row r="1145" spans="1:6" x14ac:dyDescent="0.25">
      <c r="A1145" t="s">
        <v>169</v>
      </c>
      <c r="B1145" t="s">
        <v>170</v>
      </c>
      <c r="C1145" t="s">
        <v>121</v>
      </c>
      <c r="D1145">
        <v>2011</v>
      </c>
      <c r="E1145">
        <v>0</v>
      </c>
      <c r="F1145" t="s">
        <v>177</v>
      </c>
    </row>
    <row r="1146" spans="1:6" x14ac:dyDescent="0.25">
      <c r="A1146" t="s">
        <v>169</v>
      </c>
      <c r="B1146" t="s">
        <v>170</v>
      </c>
      <c r="C1146" t="s">
        <v>121</v>
      </c>
      <c r="D1146">
        <v>2010</v>
      </c>
      <c r="E1146">
        <v>0</v>
      </c>
      <c r="F1146" t="s">
        <v>177</v>
      </c>
    </row>
    <row r="1147" spans="1:6" x14ac:dyDescent="0.25">
      <c r="A1147" t="s">
        <v>169</v>
      </c>
      <c r="B1147" t="s">
        <v>170</v>
      </c>
      <c r="C1147" t="s">
        <v>122</v>
      </c>
      <c r="D1147">
        <v>2014</v>
      </c>
      <c r="E1147">
        <v>1.6339999999999999</v>
      </c>
      <c r="F1147" t="s">
        <v>177</v>
      </c>
    </row>
    <row r="1148" spans="1:6" x14ac:dyDescent="0.25">
      <c r="A1148" t="s">
        <v>169</v>
      </c>
      <c r="B1148" t="s">
        <v>170</v>
      </c>
      <c r="C1148" t="s">
        <v>122</v>
      </c>
      <c r="D1148">
        <v>2013</v>
      </c>
      <c r="E1148">
        <v>1.518</v>
      </c>
      <c r="F1148" t="s">
        <v>177</v>
      </c>
    </row>
    <row r="1149" spans="1:6" x14ac:dyDescent="0.25">
      <c r="A1149" t="s">
        <v>169</v>
      </c>
      <c r="B1149" t="s">
        <v>170</v>
      </c>
      <c r="C1149" t="s">
        <v>122</v>
      </c>
      <c r="D1149">
        <v>2012</v>
      </c>
      <c r="E1149">
        <v>2.0760000000000001</v>
      </c>
      <c r="F1149" t="s">
        <v>177</v>
      </c>
    </row>
    <row r="1150" spans="1:6" x14ac:dyDescent="0.25">
      <c r="A1150" t="s">
        <v>169</v>
      </c>
      <c r="B1150" t="s">
        <v>170</v>
      </c>
      <c r="C1150" t="s">
        <v>122</v>
      </c>
      <c r="D1150">
        <v>2011</v>
      </c>
      <c r="E1150">
        <v>1.9279999999999999</v>
      </c>
      <c r="F1150" t="s">
        <v>177</v>
      </c>
    </row>
    <row r="1151" spans="1:6" x14ac:dyDescent="0.25">
      <c r="A1151" t="s">
        <v>169</v>
      </c>
      <c r="B1151" t="s">
        <v>170</v>
      </c>
      <c r="C1151" t="s">
        <v>122</v>
      </c>
      <c r="D1151">
        <v>2010</v>
      </c>
      <c r="E1151">
        <v>1.67</v>
      </c>
      <c r="F1151" t="s">
        <v>177</v>
      </c>
    </row>
    <row r="1152" spans="1:6" x14ac:dyDescent="0.25">
      <c r="A1152" t="s">
        <v>169</v>
      </c>
      <c r="B1152" t="s">
        <v>170</v>
      </c>
      <c r="C1152" t="s">
        <v>123</v>
      </c>
      <c r="D1152">
        <v>2014</v>
      </c>
      <c r="E1152">
        <v>0.188</v>
      </c>
      <c r="F1152" t="s">
        <v>177</v>
      </c>
    </row>
    <row r="1153" spans="1:6" x14ac:dyDescent="0.25">
      <c r="A1153" t="s">
        <v>169</v>
      </c>
      <c r="B1153" t="s">
        <v>170</v>
      </c>
      <c r="C1153" t="s">
        <v>123</v>
      </c>
      <c r="D1153">
        <v>2013</v>
      </c>
      <c r="E1153">
        <v>0.193</v>
      </c>
      <c r="F1153" t="s">
        <v>177</v>
      </c>
    </row>
    <row r="1154" spans="1:6" x14ac:dyDescent="0.25">
      <c r="A1154" t="s">
        <v>169</v>
      </c>
      <c r="B1154" t="s">
        <v>170</v>
      </c>
      <c r="C1154" t="s">
        <v>123</v>
      </c>
      <c r="D1154">
        <v>2012</v>
      </c>
      <c r="E1154">
        <v>0.193</v>
      </c>
      <c r="F1154" t="s">
        <v>177</v>
      </c>
    </row>
    <row r="1155" spans="1:6" x14ac:dyDescent="0.25">
      <c r="A1155" t="s">
        <v>169</v>
      </c>
      <c r="B1155" t="s">
        <v>170</v>
      </c>
      <c r="C1155" t="s">
        <v>123</v>
      </c>
      <c r="D1155">
        <v>2011</v>
      </c>
      <c r="E1155">
        <v>0</v>
      </c>
      <c r="F1155" t="s">
        <v>177</v>
      </c>
    </row>
    <row r="1156" spans="1:6" x14ac:dyDescent="0.25">
      <c r="A1156" t="s">
        <v>169</v>
      </c>
      <c r="B1156" t="s">
        <v>170</v>
      </c>
      <c r="C1156" t="s">
        <v>123</v>
      </c>
      <c r="D1156">
        <v>2010</v>
      </c>
      <c r="E1156">
        <v>0</v>
      </c>
      <c r="F1156" t="s">
        <v>177</v>
      </c>
    </row>
    <row r="1157" spans="1:6" x14ac:dyDescent="0.25">
      <c r="A1157" t="s">
        <v>169</v>
      </c>
      <c r="B1157" t="s">
        <v>170</v>
      </c>
      <c r="C1157" t="s">
        <v>124</v>
      </c>
      <c r="D1157">
        <v>2014</v>
      </c>
      <c r="E1157">
        <v>0</v>
      </c>
      <c r="F1157" t="s">
        <v>177</v>
      </c>
    </row>
    <row r="1158" spans="1:6" x14ac:dyDescent="0.25">
      <c r="A1158" t="s">
        <v>169</v>
      </c>
      <c r="B1158" t="s">
        <v>170</v>
      </c>
      <c r="C1158" t="s">
        <v>124</v>
      </c>
      <c r="D1158">
        <v>2013</v>
      </c>
      <c r="E1158">
        <v>0</v>
      </c>
      <c r="F1158" t="s">
        <v>177</v>
      </c>
    </row>
    <row r="1159" spans="1:6" x14ac:dyDescent="0.25">
      <c r="A1159" t="s">
        <v>169</v>
      </c>
      <c r="B1159" t="s">
        <v>170</v>
      </c>
      <c r="C1159" t="s">
        <v>124</v>
      </c>
      <c r="D1159">
        <v>2012</v>
      </c>
      <c r="E1159">
        <v>0</v>
      </c>
      <c r="F1159" t="s">
        <v>177</v>
      </c>
    </row>
    <row r="1160" spans="1:6" x14ac:dyDescent="0.25">
      <c r="A1160" t="s">
        <v>169</v>
      </c>
      <c r="B1160" t="s">
        <v>170</v>
      </c>
      <c r="C1160" t="s">
        <v>124</v>
      </c>
      <c r="D1160">
        <v>2011</v>
      </c>
      <c r="E1160">
        <v>0</v>
      </c>
      <c r="F1160" t="s">
        <v>177</v>
      </c>
    </row>
    <row r="1161" spans="1:6" x14ac:dyDescent="0.25">
      <c r="A1161" t="s">
        <v>169</v>
      </c>
      <c r="B1161" t="s">
        <v>170</v>
      </c>
      <c r="C1161" t="s">
        <v>124</v>
      </c>
      <c r="D1161">
        <v>2010</v>
      </c>
      <c r="E1161">
        <v>0</v>
      </c>
      <c r="F1161" t="s">
        <v>177</v>
      </c>
    </row>
    <row r="1162" spans="1:6" x14ac:dyDescent="0.25">
      <c r="A1162" t="s">
        <v>169</v>
      </c>
      <c r="B1162" t="s">
        <v>170</v>
      </c>
      <c r="C1162" t="s">
        <v>160</v>
      </c>
      <c r="D1162">
        <v>2014</v>
      </c>
      <c r="E1162">
        <v>0</v>
      </c>
      <c r="F1162" t="s">
        <v>177</v>
      </c>
    </row>
    <row r="1163" spans="1:6" x14ac:dyDescent="0.25">
      <c r="A1163" t="s">
        <v>169</v>
      </c>
      <c r="B1163" t="s">
        <v>170</v>
      </c>
      <c r="C1163" t="s">
        <v>160</v>
      </c>
      <c r="D1163">
        <v>2013</v>
      </c>
      <c r="E1163">
        <v>0</v>
      </c>
      <c r="F1163" t="s">
        <v>177</v>
      </c>
    </row>
    <row r="1164" spans="1:6" x14ac:dyDescent="0.25">
      <c r="A1164" t="s">
        <v>169</v>
      </c>
      <c r="B1164" t="s">
        <v>170</v>
      </c>
      <c r="C1164" t="s">
        <v>160</v>
      </c>
      <c r="D1164">
        <v>2012</v>
      </c>
      <c r="E1164">
        <v>0</v>
      </c>
      <c r="F1164" t="s">
        <v>177</v>
      </c>
    </row>
    <row r="1165" spans="1:6" x14ac:dyDescent="0.25">
      <c r="A1165" t="s">
        <v>169</v>
      </c>
      <c r="B1165" t="s">
        <v>170</v>
      </c>
      <c r="C1165" t="s">
        <v>160</v>
      </c>
      <c r="D1165">
        <v>2011</v>
      </c>
      <c r="E1165">
        <v>0</v>
      </c>
      <c r="F1165" t="s">
        <v>177</v>
      </c>
    </row>
    <row r="1166" spans="1:6" x14ac:dyDescent="0.25">
      <c r="A1166" t="s">
        <v>169</v>
      </c>
      <c r="B1166" t="s">
        <v>170</v>
      </c>
      <c r="C1166" t="s">
        <v>160</v>
      </c>
      <c r="D1166">
        <v>2010</v>
      </c>
      <c r="E1166">
        <v>0</v>
      </c>
      <c r="F1166" t="s">
        <v>177</v>
      </c>
    </row>
    <row r="1167" spans="1:6" x14ac:dyDescent="0.25">
      <c r="A1167" t="s">
        <v>169</v>
      </c>
      <c r="B1167" t="s">
        <v>170</v>
      </c>
      <c r="C1167" t="s">
        <v>125</v>
      </c>
      <c r="D1167">
        <v>2014</v>
      </c>
      <c r="E1167">
        <v>0.35199999999999998</v>
      </c>
      <c r="F1167" t="s">
        <v>177</v>
      </c>
    </row>
    <row r="1168" spans="1:6" x14ac:dyDescent="0.25">
      <c r="A1168" t="s">
        <v>169</v>
      </c>
      <c r="B1168" t="s">
        <v>170</v>
      </c>
      <c r="C1168" t="s">
        <v>125</v>
      </c>
      <c r="D1168">
        <v>2013</v>
      </c>
      <c r="E1168">
        <v>0.35799999999999998</v>
      </c>
      <c r="F1168" t="s">
        <v>177</v>
      </c>
    </row>
    <row r="1169" spans="1:6" x14ac:dyDescent="0.25">
      <c r="A1169" t="s">
        <v>169</v>
      </c>
      <c r="B1169" t="s">
        <v>170</v>
      </c>
      <c r="C1169" t="s">
        <v>125</v>
      </c>
      <c r="D1169">
        <v>2012</v>
      </c>
      <c r="E1169">
        <v>0.46200000000000002</v>
      </c>
      <c r="F1169" t="s">
        <v>177</v>
      </c>
    </row>
    <row r="1170" spans="1:6" x14ac:dyDescent="0.25">
      <c r="A1170" t="s">
        <v>169</v>
      </c>
      <c r="B1170" t="s">
        <v>170</v>
      </c>
      <c r="C1170" t="s">
        <v>125</v>
      </c>
      <c r="D1170">
        <v>2011</v>
      </c>
      <c r="E1170">
        <v>0.56200000000000006</v>
      </c>
      <c r="F1170" t="s">
        <v>177</v>
      </c>
    </row>
    <row r="1171" spans="1:6" x14ac:dyDescent="0.25">
      <c r="A1171" t="s">
        <v>169</v>
      </c>
      <c r="B1171" t="s">
        <v>170</v>
      </c>
      <c r="C1171" t="s">
        <v>125</v>
      </c>
      <c r="D1171">
        <v>2010</v>
      </c>
      <c r="E1171">
        <v>0.443</v>
      </c>
      <c r="F1171" t="s">
        <v>177</v>
      </c>
    </row>
    <row r="1172" spans="1:6" x14ac:dyDescent="0.25">
      <c r="A1172" t="s">
        <v>169</v>
      </c>
      <c r="B1172" t="s">
        <v>170</v>
      </c>
      <c r="C1172" t="s">
        <v>126</v>
      </c>
      <c r="D1172">
        <v>2014</v>
      </c>
      <c r="E1172">
        <v>20.065999999999999</v>
      </c>
      <c r="F1172" t="s">
        <v>177</v>
      </c>
    </row>
    <row r="1173" spans="1:6" x14ac:dyDescent="0.25">
      <c r="A1173" t="s">
        <v>169</v>
      </c>
      <c r="B1173" t="s">
        <v>170</v>
      </c>
      <c r="C1173" t="s">
        <v>126</v>
      </c>
      <c r="D1173">
        <v>2013</v>
      </c>
      <c r="E1173">
        <v>21.741</v>
      </c>
      <c r="F1173" t="s">
        <v>177</v>
      </c>
    </row>
    <row r="1174" spans="1:6" x14ac:dyDescent="0.25">
      <c r="A1174" t="s">
        <v>169</v>
      </c>
      <c r="B1174" t="s">
        <v>170</v>
      </c>
      <c r="C1174" t="s">
        <v>126</v>
      </c>
      <c r="D1174">
        <v>2012</v>
      </c>
      <c r="E1174">
        <v>26.364000000000001</v>
      </c>
      <c r="F1174" t="s">
        <v>177</v>
      </c>
    </row>
    <row r="1175" spans="1:6" x14ac:dyDescent="0.25">
      <c r="A1175" t="s">
        <v>169</v>
      </c>
      <c r="B1175" t="s">
        <v>170</v>
      </c>
      <c r="C1175" t="s">
        <v>126</v>
      </c>
      <c r="D1175">
        <v>2011</v>
      </c>
      <c r="E1175">
        <v>24.975000000000001</v>
      </c>
      <c r="F1175" t="s">
        <v>177</v>
      </c>
    </row>
    <row r="1176" spans="1:6" x14ac:dyDescent="0.25">
      <c r="A1176" t="s">
        <v>169</v>
      </c>
      <c r="B1176" t="s">
        <v>170</v>
      </c>
      <c r="C1176" t="s">
        <v>126</v>
      </c>
      <c r="D1176">
        <v>2010</v>
      </c>
      <c r="E1176">
        <v>21.710999999999999</v>
      </c>
      <c r="F1176" t="s">
        <v>177</v>
      </c>
    </row>
    <row r="1177" spans="1:6" x14ac:dyDescent="0.25">
      <c r="A1177" t="s">
        <v>169</v>
      </c>
      <c r="B1177" t="s">
        <v>170</v>
      </c>
      <c r="C1177" t="s">
        <v>127</v>
      </c>
      <c r="D1177">
        <v>2014</v>
      </c>
      <c r="E1177">
        <v>1.3520000000000001</v>
      </c>
      <c r="F1177" t="s">
        <v>177</v>
      </c>
    </row>
    <row r="1178" spans="1:6" x14ac:dyDescent="0.25">
      <c r="A1178" t="s">
        <v>169</v>
      </c>
      <c r="B1178" t="s">
        <v>170</v>
      </c>
      <c r="C1178" t="s">
        <v>127</v>
      </c>
      <c r="D1178">
        <v>2013</v>
      </c>
      <c r="E1178">
        <v>1.4319999999999999</v>
      </c>
      <c r="F1178" t="s">
        <v>177</v>
      </c>
    </row>
    <row r="1179" spans="1:6" x14ac:dyDescent="0.25">
      <c r="A1179" t="s">
        <v>169</v>
      </c>
      <c r="B1179" t="s">
        <v>170</v>
      </c>
      <c r="C1179" t="s">
        <v>127</v>
      </c>
      <c r="D1179">
        <v>2012</v>
      </c>
      <c r="E1179">
        <v>1.38</v>
      </c>
      <c r="F1179" t="s">
        <v>177</v>
      </c>
    </row>
    <row r="1180" spans="1:6" x14ac:dyDescent="0.25">
      <c r="A1180" t="s">
        <v>169</v>
      </c>
      <c r="B1180" t="s">
        <v>170</v>
      </c>
      <c r="C1180" t="s">
        <v>127</v>
      </c>
      <c r="D1180">
        <v>2011</v>
      </c>
      <c r="E1180">
        <v>1.571</v>
      </c>
      <c r="F1180" t="s">
        <v>177</v>
      </c>
    </row>
    <row r="1181" spans="1:6" x14ac:dyDescent="0.25">
      <c r="A1181" t="s">
        <v>169</v>
      </c>
      <c r="B1181" t="s">
        <v>170</v>
      </c>
      <c r="C1181" t="s">
        <v>127</v>
      </c>
      <c r="D1181">
        <v>2010</v>
      </c>
      <c r="E1181">
        <v>1.5129999999999999</v>
      </c>
      <c r="F1181" t="s">
        <v>177</v>
      </c>
    </row>
    <row r="1182" spans="1:6" x14ac:dyDescent="0.25">
      <c r="A1182" t="s">
        <v>169</v>
      </c>
      <c r="B1182" t="s">
        <v>170</v>
      </c>
      <c r="C1182" t="s">
        <v>128</v>
      </c>
      <c r="D1182">
        <v>2014</v>
      </c>
      <c r="E1182">
        <v>0</v>
      </c>
      <c r="F1182" t="s">
        <v>177</v>
      </c>
    </row>
    <row r="1183" spans="1:6" x14ac:dyDescent="0.25">
      <c r="A1183" t="s">
        <v>169</v>
      </c>
      <c r="B1183" t="s">
        <v>170</v>
      </c>
      <c r="C1183" t="s">
        <v>128</v>
      </c>
      <c r="D1183">
        <v>2013</v>
      </c>
      <c r="E1183">
        <v>0</v>
      </c>
      <c r="F1183" t="s">
        <v>177</v>
      </c>
    </row>
    <row r="1184" spans="1:6" x14ac:dyDescent="0.25">
      <c r="A1184" t="s">
        <v>169</v>
      </c>
      <c r="B1184" t="s">
        <v>170</v>
      </c>
      <c r="C1184" t="s">
        <v>128</v>
      </c>
      <c r="D1184">
        <v>2012</v>
      </c>
      <c r="E1184">
        <v>0</v>
      </c>
      <c r="F1184" t="s">
        <v>177</v>
      </c>
    </row>
    <row r="1185" spans="1:6" x14ac:dyDescent="0.25">
      <c r="A1185" t="s">
        <v>169</v>
      </c>
      <c r="B1185" t="s">
        <v>170</v>
      </c>
      <c r="C1185" t="s">
        <v>128</v>
      </c>
      <c r="D1185">
        <v>2011</v>
      </c>
      <c r="E1185">
        <v>0</v>
      </c>
      <c r="F1185" t="s">
        <v>177</v>
      </c>
    </row>
    <row r="1186" spans="1:6" x14ac:dyDescent="0.25">
      <c r="A1186" t="s">
        <v>169</v>
      </c>
      <c r="B1186" t="s">
        <v>170</v>
      </c>
      <c r="C1186" t="s">
        <v>128</v>
      </c>
      <c r="D1186">
        <v>2010</v>
      </c>
      <c r="E1186">
        <v>0</v>
      </c>
      <c r="F1186" t="s">
        <v>177</v>
      </c>
    </row>
    <row r="1187" spans="1:6" x14ac:dyDescent="0.25">
      <c r="A1187" t="s">
        <v>169</v>
      </c>
      <c r="B1187" t="s">
        <v>170</v>
      </c>
      <c r="C1187" t="s">
        <v>161</v>
      </c>
      <c r="D1187">
        <v>2014</v>
      </c>
      <c r="E1187">
        <v>0</v>
      </c>
      <c r="F1187" t="s">
        <v>177</v>
      </c>
    </row>
    <row r="1188" spans="1:6" x14ac:dyDescent="0.25">
      <c r="A1188" t="s">
        <v>169</v>
      </c>
      <c r="B1188" t="s">
        <v>170</v>
      </c>
      <c r="C1188" t="s">
        <v>161</v>
      </c>
      <c r="D1188">
        <v>2013</v>
      </c>
      <c r="E1188">
        <v>0</v>
      </c>
      <c r="F1188" t="s">
        <v>177</v>
      </c>
    </row>
    <row r="1189" spans="1:6" x14ac:dyDescent="0.25">
      <c r="A1189" t="s">
        <v>169</v>
      </c>
      <c r="B1189" t="s">
        <v>170</v>
      </c>
      <c r="C1189" t="s">
        <v>161</v>
      </c>
      <c r="D1189">
        <v>2012</v>
      </c>
      <c r="E1189">
        <v>0</v>
      </c>
      <c r="F1189" t="s">
        <v>177</v>
      </c>
    </row>
    <row r="1190" spans="1:6" x14ac:dyDescent="0.25">
      <c r="A1190" t="s">
        <v>169</v>
      </c>
      <c r="B1190" t="s">
        <v>170</v>
      </c>
      <c r="C1190" t="s">
        <v>161</v>
      </c>
      <c r="D1190">
        <v>2011</v>
      </c>
      <c r="E1190">
        <v>0</v>
      </c>
      <c r="F1190" t="s">
        <v>177</v>
      </c>
    </row>
    <row r="1191" spans="1:6" x14ac:dyDescent="0.25">
      <c r="A1191" t="s">
        <v>169</v>
      </c>
      <c r="B1191" t="s">
        <v>170</v>
      </c>
      <c r="C1191" t="s">
        <v>161</v>
      </c>
      <c r="D1191">
        <v>2010</v>
      </c>
      <c r="E1191">
        <v>0</v>
      </c>
      <c r="F1191" t="s">
        <v>177</v>
      </c>
    </row>
    <row r="1192" spans="1:6" x14ac:dyDescent="0.25">
      <c r="A1192" t="s">
        <v>169</v>
      </c>
      <c r="B1192" t="s">
        <v>170</v>
      </c>
      <c r="C1192" t="s">
        <v>162</v>
      </c>
      <c r="D1192">
        <v>2014</v>
      </c>
      <c r="E1192">
        <v>0</v>
      </c>
      <c r="F1192" t="s">
        <v>177</v>
      </c>
    </row>
    <row r="1193" spans="1:6" x14ac:dyDescent="0.25">
      <c r="A1193" t="s">
        <v>169</v>
      </c>
      <c r="B1193" t="s">
        <v>170</v>
      </c>
      <c r="C1193" t="s">
        <v>162</v>
      </c>
      <c r="D1193">
        <v>2013</v>
      </c>
      <c r="E1193">
        <v>0</v>
      </c>
      <c r="F1193" t="s">
        <v>177</v>
      </c>
    </row>
    <row r="1194" spans="1:6" x14ac:dyDescent="0.25">
      <c r="A1194" t="s">
        <v>169</v>
      </c>
      <c r="B1194" t="s">
        <v>170</v>
      </c>
      <c r="C1194" t="s">
        <v>162</v>
      </c>
      <c r="D1194">
        <v>2012</v>
      </c>
      <c r="E1194">
        <v>0</v>
      </c>
      <c r="F1194" t="s">
        <v>177</v>
      </c>
    </row>
    <row r="1195" spans="1:6" x14ac:dyDescent="0.25">
      <c r="A1195" t="s">
        <v>169</v>
      </c>
      <c r="B1195" t="s">
        <v>170</v>
      </c>
      <c r="C1195" t="s">
        <v>162</v>
      </c>
      <c r="D1195">
        <v>2011</v>
      </c>
      <c r="E1195">
        <v>0</v>
      </c>
      <c r="F1195" t="s">
        <v>177</v>
      </c>
    </row>
    <row r="1196" spans="1:6" x14ac:dyDescent="0.25">
      <c r="A1196" t="s">
        <v>169</v>
      </c>
      <c r="B1196" t="s">
        <v>170</v>
      </c>
      <c r="C1196" t="s">
        <v>162</v>
      </c>
      <c r="D1196">
        <v>2010</v>
      </c>
      <c r="E1196">
        <v>0</v>
      </c>
      <c r="F1196" t="s">
        <v>177</v>
      </c>
    </row>
    <row r="1197" spans="1:6" x14ac:dyDescent="0.25">
      <c r="A1197" t="s">
        <v>169</v>
      </c>
      <c r="B1197" t="s">
        <v>170</v>
      </c>
      <c r="C1197" t="s">
        <v>129</v>
      </c>
      <c r="D1197">
        <v>2014</v>
      </c>
      <c r="E1197">
        <v>0.627</v>
      </c>
      <c r="F1197" t="s">
        <v>177</v>
      </c>
    </row>
    <row r="1198" spans="1:6" x14ac:dyDescent="0.25">
      <c r="A1198" t="s">
        <v>169</v>
      </c>
      <c r="B1198" t="s">
        <v>170</v>
      </c>
      <c r="C1198" t="s">
        <v>129</v>
      </c>
      <c r="D1198">
        <v>2013</v>
      </c>
      <c r="E1198">
        <v>0.32500000000000001</v>
      </c>
      <c r="F1198" t="s">
        <v>177</v>
      </c>
    </row>
    <row r="1199" spans="1:6" x14ac:dyDescent="0.25">
      <c r="A1199" t="s">
        <v>169</v>
      </c>
      <c r="B1199" t="s">
        <v>170</v>
      </c>
      <c r="C1199" t="s">
        <v>129</v>
      </c>
      <c r="D1199">
        <v>2012</v>
      </c>
      <c r="E1199">
        <v>1.403</v>
      </c>
      <c r="F1199" t="s">
        <v>177</v>
      </c>
    </row>
    <row r="1200" spans="1:6" x14ac:dyDescent="0.25">
      <c r="A1200" t="s">
        <v>169</v>
      </c>
      <c r="B1200" t="s">
        <v>170</v>
      </c>
      <c r="C1200" t="s">
        <v>129</v>
      </c>
      <c r="D1200">
        <v>2011</v>
      </c>
      <c r="E1200">
        <v>1.24</v>
      </c>
      <c r="F1200" t="s">
        <v>177</v>
      </c>
    </row>
    <row r="1201" spans="1:6" x14ac:dyDescent="0.25">
      <c r="A1201" t="s">
        <v>169</v>
      </c>
      <c r="B1201" t="s">
        <v>170</v>
      </c>
      <c r="C1201" t="s">
        <v>129</v>
      </c>
      <c r="D1201">
        <v>2010</v>
      </c>
      <c r="E1201">
        <v>1.276</v>
      </c>
      <c r="F1201" t="s">
        <v>177</v>
      </c>
    </row>
    <row r="1202" spans="1:6" x14ac:dyDescent="0.25">
      <c r="A1202" t="s">
        <v>169</v>
      </c>
      <c r="B1202" t="s">
        <v>170</v>
      </c>
      <c r="C1202" t="s">
        <v>130</v>
      </c>
      <c r="D1202">
        <v>2014</v>
      </c>
      <c r="E1202">
        <v>4.6710000000000003</v>
      </c>
      <c r="F1202" t="s">
        <v>177</v>
      </c>
    </row>
    <row r="1203" spans="1:6" x14ac:dyDescent="0.25">
      <c r="A1203" t="s">
        <v>169</v>
      </c>
      <c r="B1203" t="s">
        <v>170</v>
      </c>
      <c r="C1203" t="s">
        <v>130</v>
      </c>
      <c r="D1203">
        <v>2013</v>
      </c>
      <c r="E1203">
        <v>4.6710000000000003</v>
      </c>
      <c r="F1203" t="s">
        <v>177</v>
      </c>
    </row>
    <row r="1204" spans="1:6" x14ac:dyDescent="0.25">
      <c r="A1204" t="s">
        <v>169</v>
      </c>
      <c r="B1204" t="s">
        <v>170</v>
      </c>
      <c r="C1204" t="s">
        <v>130</v>
      </c>
      <c r="D1204">
        <v>2012</v>
      </c>
      <c r="E1204">
        <v>5.1529999999999996</v>
      </c>
      <c r="F1204" t="s">
        <v>177</v>
      </c>
    </row>
    <row r="1205" spans="1:6" x14ac:dyDescent="0.25">
      <c r="A1205" t="s">
        <v>169</v>
      </c>
      <c r="B1205" t="s">
        <v>170</v>
      </c>
      <c r="C1205" t="s">
        <v>130</v>
      </c>
      <c r="D1205">
        <v>2011</v>
      </c>
      <c r="E1205">
        <v>3.6389999999999998</v>
      </c>
      <c r="F1205" t="s">
        <v>177</v>
      </c>
    </row>
    <row r="1206" spans="1:6" x14ac:dyDescent="0.25">
      <c r="A1206" t="s">
        <v>169</v>
      </c>
      <c r="B1206" t="s">
        <v>170</v>
      </c>
      <c r="C1206" t="s">
        <v>130</v>
      </c>
      <c r="D1206">
        <v>2010</v>
      </c>
      <c r="E1206">
        <v>6.9089999999999998</v>
      </c>
      <c r="F1206" t="s">
        <v>177</v>
      </c>
    </row>
    <row r="1207" spans="1:6" x14ac:dyDescent="0.25">
      <c r="A1207" t="s">
        <v>169</v>
      </c>
      <c r="B1207" t="s">
        <v>170</v>
      </c>
      <c r="C1207" t="s">
        <v>131</v>
      </c>
      <c r="D1207">
        <v>2014</v>
      </c>
      <c r="E1207">
        <v>0</v>
      </c>
      <c r="F1207" t="s">
        <v>177</v>
      </c>
    </row>
    <row r="1208" spans="1:6" x14ac:dyDescent="0.25">
      <c r="A1208" t="s">
        <v>169</v>
      </c>
      <c r="B1208" t="s">
        <v>170</v>
      </c>
      <c r="C1208" t="s">
        <v>131</v>
      </c>
      <c r="D1208">
        <v>2013</v>
      </c>
      <c r="E1208">
        <v>0</v>
      </c>
      <c r="F1208" t="s">
        <v>177</v>
      </c>
    </row>
    <row r="1209" spans="1:6" x14ac:dyDescent="0.25">
      <c r="A1209" t="s">
        <v>169</v>
      </c>
      <c r="B1209" t="s">
        <v>170</v>
      </c>
      <c r="C1209" t="s">
        <v>131</v>
      </c>
      <c r="D1209">
        <v>2012</v>
      </c>
      <c r="E1209">
        <v>0</v>
      </c>
      <c r="F1209" t="s">
        <v>177</v>
      </c>
    </row>
    <row r="1210" spans="1:6" x14ac:dyDescent="0.25">
      <c r="A1210" t="s">
        <v>169</v>
      </c>
      <c r="B1210" t="s">
        <v>170</v>
      </c>
      <c r="C1210" t="s">
        <v>131</v>
      </c>
      <c r="D1210">
        <v>2011</v>
      </c>
      <c r="E1210">
        <v>0</v>
      </c>
      <c r="F1210" t="s">
        <v>177</v>
      </c>
    </row>
    <row r="1211" spans="1:6" x14ac:dyDescent="0.25">
      <c r="A1211" t="s">
        <v>169</v>
      </c>
      <c r="B1211" t="s">
        <v>170</v>
      </c>
      <c r="C1211" t="s">
        <v>131</v>
      </c>
      <c r="D1211">
        <v>2010</v>
      </c>
      <c r="E1211">
        <v>0</v>
      </c>
      <c r="F1211" t="s">
        <v>177</v>
      </c>
    </row>
    <row r="1212" spans="1:6" x14ac:dyDescent="0.25">
      <c r="A1212" t="s">
        <v>169</v>
      </c>
      <c r="B1212" t="s">
        <v>170</v>
      </c>
      <c r="C1212" t="s">
        <v>132</v>
      </c>
      <c r="D1212">
        <v>2014</v>
      </c>
      <c r="E1212">
        <v>0</v>
      </c>
      <c r="F1212" t="s">
        <v>177</v>
      </c>
    </row>
    <row r="1213" spans="1:6" x14ac:dyDescent="0.25">
      <c r="A1213" t="s">
        <v>169</v>
      </c>
      <c r="B1213" t="s">
        <v>170</v>
      </c>
      <c r="C1213" t="s">
        <v>132</v>
      </c>
      <c r="D1213">
        <v>2013</v>
      </c>
      <c r="E1213">
        <v>0</v>
      </c>
      <c r="F1213" t="s">
        <v>177</v>
      </c>
    </row>
    <row r="1214" spans="1:6" x14ac:dyDescent="0.25">
      <c r="A1214" t="s">
        <v>169</v>
      </c>
      <c r="B1214" t="s">
        <v>170</v>
      </c>
      <c r="C1214" t="s">
        <v>132</v>
      </c>
      <c r="D1214">
        <v>2012</v>
      </c>
      <c r="E1214">
        <v>0</v>
      </c>
      <c r="F1214" t="s">
        <v>177</v>
      </c>
    </row>
    <row r="1215" spans="1:6" x14ac:dyDescent="0.25">
      <c r="A1215" t="s">
        <v>169</v>
      </c>
      <c r="B1215" t="s">
        <v>170</v>
      </c>
      <c r="C1215" t="s">
        <v>132</v>
      </c>
      <c r="D1215">
        <v>2011</v>
      </c>
      <c r="E1215">
        <v>0</v>
      </c>
      <c r="F1215" t="s">
        <v>177</v>
      </c>
    </row>
    <row r="1216" spans="1:6" x14ac:dyDescent="0.25">
      <c r="A1216" t="s">
        <v>169</v>
      </c>
      <c r="B1216" t="s">
        <v>170</v>
      </c>
      <c r="C1216" t="s">
        <v>132</v>
      </c>
      <c r="D1216">
        <v>2010</v>
      </c>
      <c r="E1216">
        <v>0</v>
      </c>
      <c r="F1216" t="s">
        <v>177</v>
      </c>
    </row>
    <row r="1217" spans="1:6" x14ac:dyDescent="0.25">
      <c r="A1217" t="s">
        <v>169</v>
      </c>
      <c r="B1217" t="s">
        <v>170</v>
      </c>
      <c r="C1217" t="s">
        <v>163</v>
      </c>
      <c r="D1217">
        <v>2014</v>
      </c>
      <c r="E1217">
        <v>0</v>
      </c>
      <c r="F1217" t="s">
        <v>177</v>
      </c>
    </row>
    <row r="1218" spans="1:6" x14ac:dyDescent="0.25">
      <c r="A1218" t="s">
        <v>169</v>
      </c>
      <c r="B1218" t="s">
        <v>170</v>
      </c>
      <c r="C1218" t="s">
        <v>163</v>
      </c>
      <c r="D1218">
        <v>2013</v>
      </c>
      <c r="E1218">
        <v>0</v>
      </c>
      <c r="F1218" t="s">
        <v>177</v>
      </c>
    </row>
    <row r="1219" spans="1:6" x14ac:dyDescent="0.25">
      <c r="A1219" t="s">
        <v>169</v>
      </c>
      <c r="B1219" t="s">
        <v>170</v>
      </c>
      <c r="C1219" t="s">
        <v>163</v>
      </c>
      <c r="D1219">
        <v>2012</v>
      </c>
      <c r="E1219">
        <v>0</v>
      </c>
      <c r="F1219" t="s">
        <v>177</v>
      </c>
    </row>
    <row r="1220" spans="1:6" x14ac:dyDescent="0.25">
      <c r="A1220" t="s">
        <v>169</v>
      </c>
      <c r="B1220" t="s">
        <v>170</v>
      </c>
      <c r="C1220" t="s">
        <v>163</v>
      </c>
      <c r="D1220">
        <v>2011</v>
      </c>
      <c r="E1220">
        <v>0</v>
      </c>
      <c r="F1220" t="s">
        <v>177</v>
      </c>
    </row>
    <row r="1221" spans="1:6" x14ac:dyDescent="0.25">
      <c r="A1221" t="s">
        <v>169</v>
      </c>
      <c r="B1221" t="s">
        <v>170</v>
      </c>
      <c r="C1221" t="s">
        <v>163</v>
      </c>
      <c r="D1221">
        <v>2010</v>
      </c>
      <c r="E1221">
        <v>0</v>
      </c>
      <c r="F1221" t="s">
        <v>177</v>
      </c>
    </row>
    <row r="1222" spans="1:6" x14ac:dyDescent="0.25">
      <c r="A1222" t="s">
        <v>169</v>
      </c>
      <c r="B1222" t="s">
        <v>170</v>
      </c>
      <c r="C1222" t="s">
        <v>133</v>
      </c>
      <c r="D1222">
        <v>2014</v>
      </c>
      <c r="E1222">
        <v>0</v>
      </c>
      <c r="F1222" t="s">
        <v>177</v>
      </c>
    </row>
    <row r="1223" spans="1:6" x14ac:dyDescent="0.25">
      <c r="A1223" t="s">
        <v>169</v>
      </c>
      <c r="B1223" t="s">
        <v>170</v>
      </c>
      <c r="C1223" t="s">
        <v>133</v>
      </c>
      <c r="D1223">
        <v>2013</v>
      </c>
      <c r="E1223">
        <v>0</v>
      </c>
      <c r="F1223" t="s">
        <v>177</v>
      </c>
    </row>
    <row r="1224" spans="1:6" x14ac:dyDescent="0.25">
      <c r="A1224" t="s">
        <v>169</v>
      </c>
      <c r="B1224" t="s">
        <v>170</v>
      </c>
      <c r="C1224" t="s">
        <v>133</v>
      </c>
      <c r="D1224">
        <v>2012</v>
      </c>
      <c r="E1224">
        <v>0</v>
      </c>
      <c r="F1224" t="s">
        <v>177</v>
      </c>
    </row>
    <row r="1225" spans="1:6" x14ac:dyDescent="0.25">
      <c r="A1225" t="s">
        <v>169</v>
      </c>
      <c r="B1225" t="s">
        <v>170</v>
      </c>
      <c r="C1225" t="s">
        <v>133</v>
      </c>
      <c r="D1225">
        <v>2011</v>
      </c>
      <c r="E1225">
        <v>0</v>
      </c>
      <c r="F1225" t="s">
        <v>177</v>
      </c>
    </row>
    <row r="1226" spans="1:6" x14ac:dyDescent="0.25">
      <c r="A1226" t="s">
        <v>169</v>
      </c>
      <c r="B1226" t="s">
        <v>170</v>
      </c>
      <c r="C1226" t="s">
        <v>133</v>
      </c>
      <c r="D1226">
        <v>2010</v>
      </c>
      <c r="E1226">
        <v>1.7999999999999999E-2</v>
      </c>
      <c r="F1226" t="s">
        <v>177</v>
      </c>
    </row>
    <row r="1227" spans="1:6" x14ac:dyDescent="0.25">
      <c r="A1227" t="s">
        <v>169</v>
      </c>
      <c r="B1227" t="s">
        <v>170</v>
      </c>
      <c r="C1227" t="s">
        <v>134</v>
      </c>
      <c r="D1227">
        <v>2014</v>
      </c>
      <c r="E1227">
        <v>0</v>
      </c>
      <c r="F1227" t="s">
        <v>177</v>
      </c>
    </row>
    <row r="1228" spans="1:6" x14ac:dyDescent="0.25">
      <c r="A1228" t="s">
        <v>169</v>
      </c>
      <c r="B1228" t="s">
        <v>170</v>
      </c>
      <c r="C1228" t="s">
        <v>134</v>
      </c>
      <c r="D1228">
        <v>2013</v>
      </c>
      <c r="E1228">
        <v>0</v>
      </c>
      <c r="F1228" t="s">
        <v>177</v>
      </c>
    </row>
    <row r="1229" spans="1:6" x14ac:dyDescent="0.25">
      <c r="A1229" t="s">
        <v>169</v>
      </c>
      <c r="B1229" t="s">
        <v>170</v>
      </c>
      <c r="C1229" t="s">
        <v>134</v>
      </c>
      <c r="D1229">
        <v>2012</v>
      </c>
      <c r="E1229">
        <v>0</v>
      </c>
      <c r="F1229" t="s">
        <v>177</v>
      </c>
    </row>
    <row r="1230" spans="1:6" x14ac:dyDescent="0.25">
      <c r="A1230" t="s">
        <v>169</v>
      </c>
      <c r="B1230" t="s">
        <v>170</v>
      </c>
      <c r="C1230" t="s">
        <v>134</v>
      </c>
      <c r="D1230">
        <v>2011</v>
      </c>
      <c r="E1230">
        <v>0</v>
      </c>
      <c r="F1230" t="s">
        <v>177</v>
      </c>
    </row>
    <row r="1231" spans="1:6" x14ac:dyDescent="0.25">
      <c r="A1231" t="s">
        <v>169</v>
      </c>
      <c r="B1231" t="s">
        <v>170</v>
      </c>
      <c r="C1231" t="s">
        <v>134</v>
      </c>
      <c r="D1231">
        <v>2010</v>
      </c>
      <c r="E1231">
        <v>0</v>
      </c>
      <c r="F1231" t="s">
        <v>177</v>
      </c>
    </row>
    <row r="1232" spans="1:6" x14ac:dyDescent="0.25">
      <c r="A1232" t="s">
        <v>169</v>
      </c>
      <c r="B1232" t="s">
        <v>170</v>
      </c>
      <c r="C1232" t="s">
        <v>135</v>
      </c>
      <c r="D1232">
        <v>2014</v>
      </c>
      <c r="E1232">
        <v>0</v>
      </c>
      <c r="F1232" t="s">
        <v>177</v>
      </c>
    </row>
    <row r="1233" spans="1:6" x14ac:dyDescent="0.25">
      <c r="A1233" t="s">
        <v>169</v>
      </c>
      <c r="B1233" t="s">
        <v>170</v>
      </c>
      <c r="C1233" t="s">
        <v>135</v>
      </c>
      <c r="D1233">
        <v>2013</v>
      </c>
      <c r="E1233">
        <v>0</v>
      </c>
      <c r="F1233" t="s">
        <v>177</v>
      </c>
    </row>
    <row r="1234" spans="1:6" x14ac:dyDescent="0.25">
      <c r="A1234" t="s">
        <v>169</v>
      </c>
      <c r="B1234" t="s">
        <v>170</v>
      </c>
      <c r="C1234" t="s">
        <v>135</v>
      </c>
      <c r="D1234">
        <v>2012</v>
      </c>
      <c r="E1234">
        <v>0</v>
      </c>
      <c r="F1234" t="s">
        <v>177</v>
      </c>
    </row>
    <row r="1235" spans="1:6" x14ac:dyDescent="0.25">
      <c r="A1235" t="s">
        <v>169</v>
      </c>
      <c r="B1235" t="s">
        <v>170</v>
      </c>
      <c r="C1235" t="s">
        <v>135</v>
      </c>
      <c r="D1235">
        <v>2011</v>
      </c>
      <c r="E1235">
        <v>0</v>
      </c>
      <c r="F1235" t="s">
        <v>177</v>
      </c>
    </row>
    <row r="1236" spans="1:6" x14ac:dyDescent="0.25">
      <c r="A1236" t="s">
        <v>169</v>
      </c>
      <c r="B1236" t="s">
        <v>170</v>
      </c>
      <c r="C1236" t="s">
        <v>135</v>
      </c>
      <c r="D1236">
        <v>2010</v>
      </c>
      <c r="E1236">
        <v>0</v>
      </c>
      <c r="F1236" t="s">
        <v>177</v>
      </c>
    </row>
    <row r="1237" spans="1:6" x14ac:dyDescent="0.25">
      <c r="A1237" t="s">
        <v>169</v>
      </c>
      <c r="B1237" t="s">
        <v>170</v>
      </c>
      <c r="C1237" t="s">
        <v>136</v>
      </c>
      <c r="D1237">
        <v>2014</v>
      </c>
      <c r="E1237">
        <v>0</v>
      </c>
      <c r="F1237" t="s">
        <v>177</v>
      </c>
    </row>
    <row r="1238" spans="1:6" x14ac:dyDescent="0.25">
      <c r="A1238" t="s">
        <v>169</v>
      </c>
      <c r="B1238" t="s">
        <v>170</v>
      </c>
      <c r="C1238" t="s">
        <v>136</v>
      </c>
      <c r="D1238">
        <v>2013</v>
      </c>
      <c r="E1238">
        <v>0</v>
      </c>
      <c r="F1238" t="s">
        <v>177</v>
      </c>
    </row>
    <row r="1239" spans="1:6" x14ac:dyDescent="0.25">
      <c r="A1239" t="s">
        <v>169</v>
      </c>
      <c r="B1239" t="s">
        <v>170</v>
      </c>
      <c r="C1239" t="s">
        <v>136</v>
      </c>
      <c r="D1239">
        <v>2012</v>
      </c>
      <c r="E1239">
        <v>0</v>
      </c>
      <c r="F1239" t="s">
        <v>177</v>
      </c>
    </row>
    <row r="1240" spans="1:6" x14ac:dyDescent="0.25">
      <c r="A1240" t="s">
        <v>169</v>
      </c>
      <c r="B1240" t="s">
        <v>170</v>
      </c>
      <c r="C1240" t="s">
        <v>136</v>
      </c>
      <c r="D1240">
        <v>2011</v>
      </c>
      <c r="E1240">
        <v>0</v>
      </c>
      <c r="F1240" t="s">
        <v>177</v>
      </c>
    </row>
    <row r="1241" spans="1:6" x14ac:dyDescent="0.25">
      <c r="A1241" t="s">
        <v>169</v>
      </c>
      <c r="B1241" t="s">
        <v>170</v>
      </c>
      <c r="C1241" t="s">
        <v>136</v>
      </c>
      <c r="D1241">
        <v>2010</v>
      </c>
      <c r="E1241">
        <v>0</v>
      </c>
      <c r="F1241" t="s">
        <v>177</v>
      </c>
    </row>
    <row r="1242" spans="1:6" x14ac:dyDescent="0.25">
      <c r="A1242" t="s">
        <v>169</v>
      </c>
      <c r="B1242" t="s">
        <v>170</v>
      </c>
      <c r="C1242" t="s">
        <v>137</v>
      </c>
      <c r="D1242">
        <v>2014</v>
      </c>
      <c r="E1242">
        <v>0</v>
      </c>
      <c r="F1242" t="s">
        <v>177</v>
      </c>
    </row>
    <row r="1243" spans="1:6" x14ac:dyDescent="0.25">
      <c r="A1243" t="s">
        <v>169</v>
      </c>
      <c r="B1243" t="s">
        <v>170</v>
      </c>
      <c r="C1243" t="s">
        <v>137</v>
      </c>
      <c r="D1243">
        <v>2013</v>
      </c>
      <c r="E1243">
        <v>0</v>
      </c>
      <c r="F1243" t="s">
        <v>177</v>
      </c>
    </row>
    <row r="1244" spans="1:6" x14ac:dyDescent="0.25">
      <c r="A1244" t="s">
        <v>169</v>
      </c>
      <c r="B1244" t="s">
        <v>170</v>
      </c>
      <c r="C1244" t="s">
        <v>137</v>
      </c>
      <c r="D1244">
        <v>2012</v>
      </c>
      <c r="E1244">
        <v>0</v>
      </c>
      <c r="F1244" t="s">
        <v>177</v>
      </c>
    </row>
    <row r="1245" spans="1:6" x14ac:dyDescent="0.25">
      <c r="A1245" t="s">
        <v>169</v>
      </c>
      <c r="B1245" t="s">
        <v>170</v>
      </c>
      <c r="C1245" t="s">
        <v>137</v>
      </c>
      <c r="D1245">
        <v>2011</v>
      </c>
      <c r="E1245">
        <v>0</v>
      </c>
      <c r="F1245" t="s">
        <v>177</v>
      </c>
    </row>
    <row r="1246" spans="1:6" x14ac:dyDescent="0.25">
      <c r="A1246" t="s">
        <v>169</v>
      </c>
      <c r="B1246" t="s">
        <v>170</v>
      </c>
      <c r="C1246" t="s">
        <v>137</v>
      </c>
      <c r="D1246">
        <v>2010</v>
      </c>
      <c r="E1246">
        <v>0</v>
      </c>
      <c r="F1246" t="s">
        <v>177</v>
      </c>
    </row>
    <row r="1247" spans="1:6" x14ac:dyDescent="0.25">
      <c r="A1247" t="s">
        <v>169</v>
      </c>
      <c r="B1247" t="s">
        <v>170</v>
      </c>
      <c r="C1247" t="s">
        <v>138</v>
      </c>
      <c r="D1247">
        <v>2014</v>
      </c>
      <c r="E1247">
        <v>0</v>
      </c>
      <c r="F1247" t="s">
        <v>177</v>
      </c>
    </row>
    <row r="1248" spans="1:6" x14ac:dyDescent="0.25">
      <c r="A1248" t="s">
        <v>169</v>
      </c>
      <c r="B1248" t="s">
        <v>170</v>
      </c>
      <c r="C1248" t="s">
        <v>138</v>
      </c>
      <c r="D1248">
        <v>2013</v>
      </c>
      <c r="E1248">
        <v>0</v>
      </c>
      <c r="F1248" t="s">
        <v>177</v>
      </c>
    </row>
    <row r="1249" spans="1:6" x14ac:dyDescent="0.25">
      <c r="A1249" t="s">
        <v>169</v>
      </c>
      <c r="B1249" t="s">
        <v>170</v>
      </c>
      <c r="C1249" t="s">
        <v>138</v>
      </c>
      <c r="D1249">
        <v>2012</v>
      </c>
      <c r="E1249">
        <v>0</v>
      </c>
      <c r="F1249" t="s">
        <v>177</v>
      </c>
    </row>
    <row r="1250" spans="1:6" x14ac:dyDescent="0.25">
      <c r="A1250" t="s">
        <v>169</v>
      </c>
      <c r="B1250" t="s">
        <v>170</v>
      </c>
      <c r="C1250" t="s">
        <v>138</v>
      </c>
      <c r="D1250">
        <v>2011</v>
      </c>
      <c r="E1250">
        <v>0</v>
      </c>
      <c r="F1250" t="s">
        <v>177</v>
      </c>
    </row>
    <row r="1251" spans="1:6" x14ac:dyDescent="0.25">
      <c r="A1251" t="s">
        <v>169</v>
      </c>
      <c r="B1251" t="s">
        <v>170</v>
      </c>
      <c r="C1251" t="s">
        <v>138</v>
      </c>
      <c r="D1251">
        <v>2010</v>
      </c>
      <c r="E1251">
        <v>0</v>
      </c>
      <c r="F1251" t="s">
        <v>177</v>
      </c>
    </row>
    <row r="1252" spans="1:6" x14ac:dyDescent="0.25">
      <c r="A1252" t="s">
        <v>169</v>
      </c>
      <c r="B1252" t="s">
        <v>170</v>
      </c>
      <c r="C1252" t="s">
        <v>164</v>
      </c>
      <c r="D1252">
        <v>2014</v>
      </c>
      <c r="E1252">
        <v>0</v>
      </c>
      <c r="F1252" t="s">
        <v>177</v>
      </c>
    </row>
    <row r="1253" spans="1:6" x14ac:dyDescent="0.25">
      <c r="A1253" t="s">
        <v>169</v>
      </c>
      <c r="B1253" t="s">
        <v>170</v>
      </c>
      <c r="C1253" t="s">
        <v>164</v>
      </c>
      <c r="D1253">
        <v>2013</v>
      </c>
      <c r="E1253">
        <v>0</v>
      </c>
      <c r="F1253" t="s">
        <v>177</v>
      </c>
    </row>
    <row r="1254" spans="1:6" x14ac:dyDescent="0.25">
      <c r="A1254" t="s">
        <v>169</v>
      </c>
      <c r="B1254" t="s">
        <v>170</v>
      </c>
      <c r="C1254" t="s">
        <v>164</v>
      </c>
      <c r="D1254">
        <v>2012</v>
      </c>
      <c r="E1254">
        <v>0</v>
      </c>
      <c r="F1254" t="s">
        <v>177</v>
      </c>
    </row>
    <row r="1255" spans="1:6" x14ac:dyDescent="0.25">
      <c r="A1255" t="s">
        <v>169</v>
      </c>
      <c r="B1255" t="s">
        <v>170</v>
      </c>
      <c r="C1255" t="s">
        <v>164</v>
      </c>
      <c r="D1255">
        <v>2011</v>
      </c>
      <c r="E1255">
        <v>0</v>
      </c>
      <c r="F1255" t="s">
        <v>177</v>
      </c>
    </row>
    <row r="1256" spans="1:6" x14ac:dyDescent="0.25">
      <c r="A1256" t="s">
        <v>169</v>
      </c>
      <c r="B1256" t="s">
        <v>170</v>
      </c>
      <c r="C1256" t="s">
        <v>164</v>
      </c>
      <c r="D1256">
        <v>2010</v>
      </c>
      <c r="E1256">
        <v>0</v>
      </c>
      <c r="F1256" t="s">
        <v>177</v>
      </c>
    </row>
    <row r="1257" spans="1:6" x14ac:dyDescent="0.25">
      <c r="A1257" t="s">
        <v>169</v>
      </c>
      <c r="B1257" t="s">
        <v>170</v>
      </c>
      <c r="C1257" t="s">
        <v>139</v>
      </c>
      <c r="D1257">
        <v>2014</v>
      </c>
      <c r="E1257">
        <v>0</v>
      </c>
      <c r="F1257" t="s">
        <v>177</v>
      </c>
    </row>
    <row r="1258" spans="1:6" x14ac:dyDescent="0.25">
      <c r="A1258" t="s">
        <v>169</v>
      </c>
      <c r="B1258" t="s">
        <v>170</v>
      </c>
      <c r="C1258" t="s">
        <v>139</v>
      </c>
      <c r="D1258">
        <v>2013</v>
      </c>
      <c r="E1258">
        <v>0</v>
      </c>
      <c r="F1258" t="s">
        <v>177</v>
      </c>
    </row>
    <row r="1259" spans="1:6" x14ac:dyDescent="0.25">
      <c r="A1259" t="s">
        <v>169</v>
      </c>
      <c r="B1259" t="s">
        <v>170</v>
      </c>
      <c r="C1259" t="s">
        <v>139</v>
      </c>
      <c r="D1259">
        <v>2012</v>
      </c>
      <c r="E1259">
        <v>0</v>
      </c>
      <c r="F1259" t="s">
        <v>177</v>
      </c>
    </row>
    <row r="1260" spans="1:6" x14ac:dyDescent="0.25">
      <c r="A1260" t="s">
        <v>169</v>
      </c>
      <c r="B1260" t="s">
        <v>170</v>
      </c>
      <c r="C1260" t="s">
        <v>139</v>
      </c>
      <c r="D1260">
        <v>2011</v>
      </c>
      <c r="E1260">
        <v>0</v>
      </c>
      <c r="F1260" t="s">
        <v>177</v>
      </c>
    </row>
    <row r="1261" spans="1:6" x14ac:dyDescent="0.25">
      <c r="A1261" t="s">
        <v>169</v>
      </c>
      <c r="B1261" t="s">
        <v>170</v>
      </c>
      <c r="C1261" t="s">
        <v>139</v>
      </c>
      <c r="D1261">
        <v>2010</v>
      </c>
      <c r="E1261">
        <v>0</v>
      </c>
      <c r="F1261" t="s">
        <v>177</v>
      </c>
    </row>
    <row r="1262" spans="1:6" x14ac:dyDescent="0.25">
      <c r="A1262" t="s">
        <v>169</v>
      </c>
      <c r="B1262" t="s">
        <v>170</v>
      </c>
      <c r="C1262" t="s">
        <v>165</v>
      </c>
      <c r="D1262">
        <v>2014</v>
      </c>
      <c r="E1262">
        <v>0</v>
      </c>
      <c r="F1262" t="s">
        <v>177</v>
      </c>
    </row>
    <row r="1263" spans="1:6" x14ac:dyDescent="0.25">
      <c r="A1263" t="s">
        <v>169</v>
      </c>
      <c r="B1263" t="s">
        <v>170</v>
      </c>
      <c r="C1263" t="s">
        <v>165</v>
      </c>
      <c r="D1263">
        <v>2013</v>
      </c>
      <c r="E1263">
        <v>0</v>
      </c>
      <c r="F1263" t="s">
        <v>177</v>
      </c>
    </row>
    <row r="1264" spans="1:6" x14ac:dyDescent="0.25">
      <c r="A1264" t="s">
        <v>169</v>
      </c>
      <c r="B1264" t="s">
        <v>170</v>
      </c>
      <c r="C1264" t="s">
        <v>165</v>
      </c>
      <c r="D1264">
        <v>2012</v>
      </c>
      <c r="E1264">
        <v>0</v>
      </c>
      <c r="F1264" t="s">
        <v>177</v>
      </c>
    </row>
    <row r="1265" spans="1:6" x14ac:dyDescent="0.25">
      <c r="A1265" t="s">
        <v>169</v>
      </c>
      <c r="B1265" t="s">
        <v>170</v>
      </c>
      <c r="C1265" t="s">
        <v>165</v>
      </c>
      <c r="D1265">
        <v>2011</v>
      </c>
      <c r="E1265">
        <v>0</v>
      </c>
      <c r="F1265" t="s">
        <v>177</v>
      </c>
    </row>
    <row r="1266" spans="1:6" x14ac:dyDescent="0.25">
      <c r="A1266" t="s">
        <v>169</v>
      </c>
      <c r="B1266" t="s">
        <v>170</v>
      </c>
      <c r="C1266" t="s">
        <v>165</v>
      </c>
      <c r="D1266">
        <v>2010</v>
      </c>
      <c r="E1266">
        <v>0</v>
      </c>
      <c r="F1266" t="s">
        <v>177</v>
      </c>
    </row>
    <row r="1267" spans="1:6" x14ac:dyDescent="0.25">
      <c r="A1267" t="s">
        <v>169</v>
      </c>
      <c r="B1267" t="s">
        <v>170</v>
      </c>
      <c r="C1267" t="s">
        <v>140</v>
      </c>
      <c r="D1267">
        <v>2014</v>
      </c>
      <c r="E1267">
        <v>0</v>
      </c>
      <c r="F1267" t="s">
        <v>177</v>
      </c>
    </row>
    <row r="1268" spans="1:6" x14ac:dyDescent="0.25">
      <c r="A1268" t="s">
        <v>169</v>
      </c>
      <c r="B1268" t="s">
        <v>170</v>
      </c>
      <c r="C1268" t="s">
        <v>140</v>
      </c>
      <c r="D1268">
        <v>2013</v>
      </c>
      <c r="E1268">
        <v>0</v>
      </c>
      <c r="F1268" t="s">
        <v>177</v>
      </c>
    </row>
    <row r="1269" spans="1:6" x14ac:dyDescent="0.25">
      <c r="A1269" t="s">
        <v>169</v>
      </c>
      <c r="B1269" t="s">
        <v>170</v>
      </c>
      <c r="C1269" t="s">
        <v>140</v>
      </c>
      <c r="D1269">
        <v>2012</v>
      </c>
      <c r="E1269">
        <v>0</v>
      </c>
      <c r="F1269" t="s">
        <v>177</v>
      </c>
    </row>
    <row r="1270" spans="1:6" x14ac:dyDescent="0.25">
      <c r="A1270" t="s">
        <v>169</v>
      </c>
      <c r="B1270" t="s">
        <v>170</v>
      </c>
      <c r="C1270" t="s">
        <v>140</v>
      </c>
      <c r="D1270">
        <v>2011</v>
      </c>
      <c r="E1270">
        <v>4.5330000000000004</v>
      </c>
      <c r="F1270" t="s">
        <v>177</v>
      </c>
    </row>
    <row r="1271" spans="1:6" x14ac:dyDescent="0.25">
      <c r="A1271" t="s">
        <v>169</v>
      </c>
      <c r="B1271" t="s">
        <v>170</v>
      </c>
      <c r="C1271" t="s">
        <v>140</v>
      </c>
      <c r="D1271">
        <v>2010</v>
      </c>
      <c r="E1271">
        <v>4.8979999999999997</v>
      </c>
      <c r="F1271" t="s">
        <v>177</v>
      </c>
    </row>
    <row r="1272" spans="1:6" x14ac:dyDescent="0.25">
      <c r="A1272" t="s">
        <v>169</v>
      </c>
      <c r="B1272" t="s">
        <v>170</v>
      </c>
      <c r="C1272" t="s">
        <v>141</v>
      </c>
      <c r="D1272">
        <v>2014</v>
      </c>
      <c r="E1272">
        <v>2.5430000000000001</v>
      </c>
      <c r="F1272" t="s">
        <v>177</v>
      </c>
    </row>
    <row r="1273" spans="1:6" x14ac:dyDescent="0.25">
      <c r="A1273" t="s">
        <v>169</v>
      </c>
      <c r="B1273" t="s">
        <v>170</v>
      </c>
      <c r="C1273" t="s">
        <v>141</v>
      </c>
      <c r="D1273">
        <v>2013</v>
      </c>
      <c r="E1273">
        <v>2.08</v>
      </c>
      <c r="F1273" t="s">
        <v>177</v>
      </c>
    </row>
    <row r="1274" spans="1:6" x14ac:dyDescent="0.25">
      <c r="A1274" t="s">
        <v>169</v>
      </c>
      <c r="B1274" t="s">
        <v>170</v>
      </c>
      <c r="C1274" t="s">
        <v>141</v>
      </c>
      <c r="D1274">
        <v>2012</v>
      </c>
      <c r="E1274">
        <v>1.95</v>
      </c>
      <c r="F1274" t="s">
        <v>177</v>
      </c>
    </row>
    <row r="1275" spans="1:6" x14ac:dyDescent="0.25">
      <c r="A1275" t="s">
        <v>169</v>
      </c>
      <c r="B1275" t="s">
        <v>170</v>
      </c>
      <c r="C1275" t="s">
        <v>141</v>
      </c>
      <c r="D1275">
        <v>2011</v>
      </c>
      <c r="E1275">
        <v>1.8</v>
      </c>
      <c r="F1275" t="s">
        <v>177</v>
      </c>
    </row>
    <row r="1276" spans="1:6" x14ac:dyDescent="0.25">
      <c r="A1276" t="s">
        <v>169</v>
      </c>
      <c r="B1276" t="s">
        <v>170</v>
      </c>
      <c r="C1276" t="s">
        <v>141</v>
      </c>
      <c r="D1276">
        <v>2010</v>
      </c>
      <c r="E1276">
        <v>1.496</v>
      </c>
      <c r="F1276" t="s">
        <v>177</v>
      </c>
    </row>
    <row r="1277" spans="1:6" x14ac:dyDescent="0.25">
      <c r="A1277" t="s">
        <v>169</v>
      </c>
      <c r="B1277" t="s">
        <v>170</v>
      </c>
      <c r="C1277" t="s">
        <v>142</v>
      </c>
      <c r="D1277">
        <v>2014</v>
      </c>
      <c r="E1277">
        <v>0.19900000000000001</v>
      </c>
      <c r="F1277" t="s">
        <v>177</v>
      </c>
    </row>
    <row r="1278" spans="1:6" x14ac:dyDescent="0.25">
      <c r="A1278" t="s">
        <v>169</v>
      </c>
      <c r="B1278" t="s">
        <v>170</v>
      </c>
      <c r="C1278" t="s">
        <v>142</v>
      </c>
      <c r="D1278">
        <v>2013</v>
      </c>
      <c r="E1278">
        <v>8.8999999999999996E-2</v>
      </c>
      <c r="F1278" t="s">
        <v>177</v>
      </c>
    </row>
    <row r="1279" spans="1:6" x14ac:dyDescent="0.25">
      <c r="A1279" t="s">
        <v>169</v>
      </c>
      <c r="B1279" t="s">
        <v>170</v>
      </c>
      <c r="C1279" t="s">
        <v>142</v>
      </c>
      <c r="D1279">
        <v>2012</v>
      </c>
      <c r="E1279">
        <v>0.128</v>
      </c>
      <c r="F1279" t="s">
        <v>177</v>
      </c>
    </row>
    <row r="1280" spans="1:6" x14ac:dyDescent="0.25">
      <c r="A1280" t="s">
        <v>169</v>
      </c>
      <c r="B1280" t="s">
        <v>170</v>
      </c>
      <c r="C1280" t="s">
        <v>142</v>
      </c>
      <c r="D1280">
        <v>2011</v>
      </c>
      <c r="E1280">
        <v>0.114</v>
      </c>
      <c r="F1280" t="s">
        <v>177</v>
      </c>
    </row>
    <row r="1281" spans="1:6" x14ac:dyDescent="0.25">
      <c r="A1281" t="s">
        <v>169</v>
      </c>
      <c r="B1281" t="s">
        <v>170</v>
      </c>
      <c r="C1281" t="s">
        <v>142</v>
      </c>
      <c r="D1281">
        <v>2010</v>
      </c>
      <c r="E1281">
        <v>8.7999999999999995E-2</v>
      </c>
      <c r="F1281" t="s">
        <v>177</v>
      </c>
    </row>
    <row r="1282" spans="1:6" x14ac:dyDescent="0.25">
      <c r="A1282" t="s">
        <v>169</v>
      </c>
      <c r="B1282" t="s">
        <v>170</v>
      </c>
      <c r="C1282" t="s">
        <v>166</v>
      </c>
      <c r="D1282">
        <v>2014</v>
      </c>
      <c r="E1282">
        <v>0</v>
      </c>
      <c r="F1282" t="s">
        <v>177</v>
      </c>
    </row>
    <row r="1283" spans="1:6" x14ac:dyDescent="0.25">
      <c r="A1283" t="s">
        <v>169</v>
      </c>
      <c r="B1283" t="s">
        <v>170</v>
      </c>
      <c r="C1283" t="s">
        <v>166</v>
      </c>
      <c r="D1283">
        <v>2013</v>
      </c>
      <c r="E1283">
        <v>0</v>
      </c>
      <c r="F1283" t="s">
        <v>177</v>
      </c>
    </row>
    <row r="1284" spans="1:6" x14ac:dyDescent="0.25">
      <c r="A1284" t="s">
        <v>169</v>
      </c>
      <c r="B1284" t="s">
        <v>170</v>
      </c>
      <c r="C1284" t="s">
        <v>166</v>
      </c>
      <c r="D1284">
        <v>2012</v>
      </c>
      <c r="E1284">
        <v>0</v>
      </c>
      <c r="F1284" t="s">
        <v>177</v>
      </c>
    </row>
    <row r="1285" spans="1:6" x14ac:dyDescent="0.25">
      <c r="A1285" t="s">
        <v>169</v>
      </c>
      <c r="B1285" t="s">
        <v>170</v>
      </c>
      <c r="C1285" t="s">
        <v>166</v>
      </c>
      <c r="D1285">
        <v>2011</v>
      </c>
      <c r="E1285">
        <v>0</v>
      </c>
      <c r="F1285" t="s">
        <v>177</v>
      </c>
    </row>
    <row r="1286" spans="1:6" x14ac:dyDescent="0.25">
      <c r="A1286" t="s">
        <v>169</v>
      </c>
      <c r="B1286" t="s">
        <v>170</v>
      </c>
      <c r="C1286" t="s">
        <v>166</v>
      </c>
      <c r="D1286">
        <v>2010</v>
      </c>
      <c r="E1286">
        <v>0</v>
      </c>
      <c r="F1286" t="s">
        <v>177</v>
      </c>
    </row>
    <row r="1287" spans="1:6" x14ac:dyDescent="0.25">
      <c r="A1287" t="s">
        <v>169</v>
      </c>
      <c r="B1287" t="s">
        <v>170</v>
      </c>
      <c r="C1287" t="s">
        <v>143</v>
      </c>
      <c r="D1287">
        <v>2014</v>
      </c>
      <c r="E1287">
        <v>2.5000000000000001E-2</v>
      </c>
      <c r="F1287" t="s">
        <v>177</v>
      </c>
    </row>
    <row r="1288" spans="1:6" x14ac:dyDescent="0.25">
      <c r="A1288" t="s">
        <v>169</v>
      </c>
      <c r="B1288" t="s">
        <v>170</v>
      </c>
      <c r="C1288" t="s">
        <v>143</v>
      </c>
      <c r="D1288">
        <v>2013</v>
      </c>
      <c r="E1288">
        <v>2.1000000000000001E-2</v>
      </c>
      <c r="F1288" t="s">
        <v>177</v>
      </c>
    </row>
    <row r="1289" spans="1:6" x14ac:dyDescent="0.25">
      <c r="A1289" t="s">
        <v>169</v>
      </c>
      <c r="B1289" t="s">
        <v>170</v>
      </c>
      <c r="C1289" t="s">
        <v>143</v>
      </c>
      <c r="D1289">
        <v>2012</v>
      </c>
      <c r="E1289">
        <v>0.01</v>
      </c>
      <c r="F1289" t="s">
        <v>177</v>
      </c>
    </row>
    <row r="1290" spans="1:6" x14ac:dyDescent="0.25">
      <c r="A1290" t="s">
        <v>169</v>
      </c>
      <c r="B1290" t="s">
        <v>170</v>
      </c>
      <c r="C1290" t="s">
        <v>143</v>
      </c>
      <c r="D1290">
        <v>2011</v>
      </c>
      <c r="E1290">
        <v>1.4E-2</v>
      </c>
      <c r="F1290" t="s">
        <v>177</v>
      </c>
    </row>
    <row r="1291" spans="1:6" x14ac:dyDescent="0.25">
      <c r="A1291" t="s">
        <v>169</v>
      </c>
      <c r="B1291" t="s">
        <v>170</v>
      </c>
      <c r="C1291" t="s">
        <v>143</v>
      </c>
      <c r="D1291">
        <v>2010</v>
      </c>
      <c r="E1291">
        <v>1.2E-2</v>
      </c>
      <c r="F1291" t="s">
        <v>177</v>
      </c>
    </row>
    <row r="1292" spans="1:6" x14ac:dyDescent="0.25">
      <c r="A1292" t="s">
        <v>169</v>
      </c>
      <c r="B1292" t="s">
        <v>170</v>
      </c>
      <c r="C1292" t="s">
        <v>144</v>
      </c>
      <c r="D1292">
        <v>2014</v>
      </c>
      <c r="E1292">
        <v>0</v>
      </c>
      <c r="F1292" t="s">
        <v>177</v>
      </c>
    </row>
    <row r="1293" spans="1:6" x14ac:dyDescent="0.25">
      <c r="A1293" t="s">
        <v>169</v>
      </c>
      <c r="B1293" t="s">
        <v>170</v>
      </c>
      <c r="C1293" t="s">
        <v>144</v>
      </c>
      <c r="D1293">
        <v>2013</v>
      </c>
      <c r="E1293">
        <v>0</v>
      </c>
      <c r="F1293" t="s">
        <v>177</v>
      </c>
    </row>
    <row r="1294" spans="1:6" x14ac:dyDescent="0.25">
      <c r="A1294" t="s">
        <v>169</v>
      </c>
      <c r="B1294" t="s">
        <v>170</v>
      </c>
      <c r="C1294" t="s">
        <v>144</v>
      </c>
      <c r="D1294">
        <v>2012</v>
      </c>
      <c r="E1294">
        <v>0</v>
      </c>
      <c r="F1294" t="s">
        <v>177</v>
      </c>
    </row>
    <row r="1295" spans="1:6" x14ac:dyDescent="0.25">
      <c r="A1295" t="s">
        <v>169</v>
      </c>
      <c r="B1295" t="s">
        <v>170</v>
      </c>
      <c r="C1295" t="s">
        <v>144</v>
      </c>
      <c r="D1295">
        <v>2011</v>
      </c>
      <c r="E1295">
        <v>0.28799999999999998</v>
      </c>
      <c r="F1295" t="s">
        <v>177</v>
      </c>
    </row>
    <row r="1296" spans="1:6" x14ac:dyDescent="0.25">
      <c r="A1296" t="s">
        <v>169</v>
      </c>
      <c r="B1296" t="s">
        <v>170</v>
      </c>
      <c r="C1296" t="s">
        <v>144</v>
      </c>
      <c r="D1296">
        <v>2010</v>
      </c>
      <c r="E1296">
        <v>0.38800000000000001</v>
      </c>
      <c r="F1296" t="s">
        <v>177</v>
      </c>
    </row>
    <row r="1297" spans="1:6" x14ac:dyDescent="0.25">
      <c r="A1297" t="s">
        <v>169</v>
      </c>
      <c r="B1297" t="s">
        <v>170</v>
      </c>
      <c r="C1297" t="s">
        <v>145</v>
      </c>
      <c r="D1297">
        <v>2014</v>
      </c>
      <c r="E1297">
        <v>1.36</v>
      </c>
      <c r="F1297" t="s">
        <v>177</v>
      </c>
    </row>
    <row r="1298" spans="1:6" x14ac:dyDescent="0.25">
      <c r="A1298" t="s">
        <v>169</v>
      </c>
      <c r="B1298" t="s">
        <v>170</v>
      </c>
      <c r="C1298" t="s">
        <v>145</v>
      </c>
      <c r="D1298">
        <v>2013</v>
      </c>
      <c r="E1298">
        <v>1.496</v>
      </c>
      <c r="F1298" t="s">
        <v>177</v>
      </c>
    </row>
    <row r="1299" spans="1:6" x14ac:dyDescent="0.25">
      <c r="A1299" t="s">
        <v>169</v>
      </c>
      <c r="B1299" t="s">
        <v>170</v>
      </c>
      <c r="C1299" t="s">
        <v>145</v>
      </c>
      <c r="D1299">
        <v>2012</v>
      </c>
      <c r="E1299">
        <v>1.585</v>
      </c>
      <c r="F1299" t="s">
        <v>177</v>
      </c>
    </row>
    <row r="1300" spans="1:6" x14ac:dyDescent="0.25">
      <c r="A1300" t="s">
        <v>169</v>
      </c>
      <c r="B1300" t="s">
        <v>170</v>
      </c>
      <c r="C1300" t="s">
        <v>145</v>
      </c>
      <c r="D1300">
        <v>2011</v>
      </c>
      <c r="E1300">
        <v>1.625</v>
      </c>
      <c r="F1300" t="s">
        <v>177</v>
      </c>
    </row>
    <row r="1301" spans="1:6" x14ac:dyDescent="0.25">
      <c r="A1301" t="s">
        <v>169</v>
      </c>
      <c r="B1301" t="s">
        <v>170</v>
      </c>
      <c r="C1301" t="s">
        <v>145</v>
      </c>
      <c r="D1301">
        <v>2010</v>
      </c>
      <c r="E1301">
        <v>3.2</v>
      </c>
      <c r="F1301" t="s">
        <v>177</v>
      </c>
    </row>
    <row r="1302" spans="1:6" x14ac:dyDescent="0.25">
      <c r="A1302" t="s">
        <v>169</v>
      </c>
      <c r="B1302" t="s">
        <v>170</v>
      </c>
      <c r="C1302" t="s">
        <v>146</v>
      </c>
      <c r="D1302">
        <v>2014</v>
      </c>
      <c r="E1302">
        <v>0</v>
      </c>
      <c r="F1302" t="s">
        <v>177</v>
      </c>
    </row>
    <row r="1303" spans="1:6" x14ac:dyDescent="0.25">
      <c r="A1303" t="s">
        <v>169</v>
      </c>
      <c r="B1303" t="s">
        <v>170</v>
      </c>
      <c r="C1303" t="s">
        <v>146</v>
      </c>
      <c r="D1303">
        <v>2013</v>
      </c>
      <c r="E1303">
        <v>0</v>
      </c>
      <c r="F1303" t="s">
        <v>177</v>
      </c>
    </row>
    <row r="1304" spans="1:6" x14ac:dyDescent="0.25">
      <c r="A1304" t="s">
        <v>169</v>
      </c>
      <c r="B1304" t="s">
        <v>170</v>
      </c>
      <c r="C1304" t="s">
        <v>146</v>
      </c>
      <c r="D1304">
        <v>2012</v>
      </c>
      <c r="E1304">
        <v>0</v>
      </c>
      <c r="F1304" t="s">
        <v>177</v>
      </c>
    </row>
    <row r="1305" spans="1:6" x14ac:dyDescent="0.25">
      <c r="A1305" t="s">
        <v>169</v>
      </c>
      <c r="B1305" t="s">
        <v>170</v>
      </c>
      <c r="C1305" t="s">
        <v>146</v>
      </c>
      <c r="D1305">
        <v>2011</v>
      </c>
      <c r="E1305">
        <v>0</v>
      </c>
      <c r="F1305" t="s">
        <v>177</v>
      </c>
    </row>
    <row r="1306" spans="1:6" x14ac:dyDescent="0.25">
      <c r="A1306" t="s">
        <v>169</v>
      </c>
      <c r="B1306" t="s">
        <v>170</v>
      </c>
      <c r="C1306" t="s">
        <v>146</v>
      </c>
      <c r="D1306">
        <v>2010</v>
      </c>
      <c r="E1306">
        <v>0</v>
      </c>
      <c r="F1306" t="s">
        <v>177</v>
      </c>
    </row>
    <row r="1307" spans="1:6" x14ac:dyDescent="0.25">
      <c r="A1307" t="s">
        <v>169</v>
      </c>
      <c r="B1307" t="s">
        <v>170</v>
      </c>
      <c r="C1307" t="s">
        <v>147</v>
      </c>
      <c r="D1307">
        <v>2014</v>
      </c>
      <c r="E1307">
        <v>0.04</v>
      </c>
      <c r="F1307" t="s">
        <v>177</v>
      </c>
    </row>
    <row r="1308" spans="1:6" x14ac:dyDescent="0.25">
      <c r="A1308" t="s">
        <v>169</v>
      </c>
      <c r="B1308" t="s">
        <v>170</v>
      </c>
      <c r="C1308" t="s">
        <v>147</v>
      </c>
      <c r="D1308">
        <v>2013</v>
      </c>
      <c r="E1308">
        <v>0.218</v>
      </c>
      <c r="F1308" t="s">
        <v>177</v>
      </c>
    </row>
    <row r="1309" spans="1:6" x14ac:dyDescent="0.25">
      <c r="A1309" t="s">
        <v>169</v>
      </c>
      <c r="B1309" t="s">
        <v>170</v>
      </c>
      <c r="C1309" t="s">
        <v>147</v>
      </c>
      <c r="D1309">
        <v>2012</v>
      </c>
      <c r="E1309">
        <v>0.20300000000000001</v>
      </c>
      <c r="F1309" t="s">
        <v>177</v>
      </c>
    </row>
    <row r="1310" spans="1:6" x14ac:dyDescent="0.25">
      <c r="A1310" t="s">
        <v>169</v>
      </c>
      <c r="B1310" t="s">
        <v>170</v>
      </c>
      <c r="C1310" t="s">
        <v>147</v>
      </c>
      <c r="D1310">
        <v>2011</v>
      </c>
      <c r="E1310">
        <v>0.20300000000000001</v>
      </c>
      <c r="F1310" t="s">
        <v>177</v>
      </c>
    </row>
    <row r="1311" spans="1:6" x14ac:dyDescent="0.25">
      <c r="A1311" t="s">
        <v>169</v>
      </c>
      <c r="B1311" t="s">
        <v>170</v>
      </c>
      <c r="C1311" t="s">
        <v>147</v>
      </c>
      <c r="D1311">
        <v>2010</v>
      </c>
      <c r="E1311">
        <v>0.127</v>
      </c>
      <c r="F1311" t="s">
        <v>177</v>
      </c>
    </row>
    <row r="1312" spans="1:6" x14ac:dyDescent="0.25">
      <c r="A1312" t="s">
        <v>169</v>
      </c>
      <c r="B1312" t="s">
        <v>170</v>
      </c>
      <c r="C1312" t="s">
        <v>167</v>
      </c>
      <c r="D1312">
        <v>2014</v>
      </c>
      <c r="E1312">
        <v>0</v>
      </c>
      <c r="F1312" t="s">
        <v>177</v>
      </c>
    </row>
    <row r="1313" spans="1:6" x14ac:dyDescent="0.25">
      <c r="A1313" t="s">
        <v>169</v>
      </c>
      <c r="B1313" t="s">
        <v>170</v>
      </c>
      <c r="C1313" t="s">
        <v>167</v>
      </c>
      <c r="D1313">
        <v>2013</v>
      </c>
      <c r="E1313">
        <v>0</v>
      </c>
      <c r="F1313" t="s">
        <v>177</v>
      </c>
    </row>
    <row r="1314" spans="1:6" x14ac:dyDescent="0.25">
      <c r="A1314" t="s">
        <v>169</v>
      </c>
      <c r="B1314" t="s">
        <v>170</v>
      </c>
      <c r="C1314" t="s">
        <v>167</v>
      </c>
      <c r="D1314">
        <v>2012</v>
      </c>
      <c r="E1314">
        <v>0</v>
      </c>
      <c r="F1314" t="s">
        <v>177</v>
      </c>
    </row>
    <row r="1315" spans="1:6" x14ac:dyDescent="0.25">
      <c r="A1315" t="s">
        <v>169</v>
      </c>
      <c r="B1315" t="s">
        <v>170</v>
      </c>
      <c r="C1315" t="s">
        <v>167</v>
      </c>
      <c r="D1315">
        <v>2011</v>
      </c>
      <c r="E1315">
        <v>0</v>
      </c>
      <c r="F1315" t="s">
        <v>177</v>
      </c>
    </row>
    <row r="1316" spans="1:6" x14ac:dyDescent="0.25">
      <c r="A1316" t="s">
        <v>169</v>
      </c>
      <c r="B1316" t="s">
        <v>170</v>
      </c>
      <c r="C1316" t="s">
        <v>167</v>
      </c>
      <c r="D1316">
        <v>2010</v>
      </c>
      <c r="E1316">
        <v>0</v>
      </c>
      <c r="F1316" t="s">
        <v>177</v>
      </c>
    </row>
    <row r="1317" spans="1:6" x14ac:dyDescent="0.25">
      <c r="A1317" t="s">
        <v>169</v>
      </c>
      <c r="B1317" t="s">
        <v>170</v>
      </c>
      <c r="C1317" t="s">
        <v>168</v>
      </c>
      <c r="D1317">
        <v>2014</v>
      </c>
      <c r="E1317">
        <v>0</v>
      </c>
      <c r="F1317" t="s">
        <v>177</v>
      </c>
    </row>
    <row r="1318" spans="1:6" x14ac:dyDescent="0.25">
      <c r="A1318" t="s">
        <v>169</v>
      </c>
      <c r="B1318" t="s">
        <v>170</v>
      </c>
      <c r="C1318" t="s">
        <v>168</v>
      </c>
      <c r="D1318">
        <v>2013</v>
      </c>
      <c r="E1318">
        <v>0</v>
      </c>
      <c r="F1318" t="s">
        <v>177</v>
      </c>
    </row>
    <row r="1319" spans="1:6" x14ac:dyDescent="0.25">
      <c r="A1319" t="s">
        <v>169</v>
      </c>
      <c r="B1319" t="s">
        <v>170</v>
      </c>
      <c r="C1319" t="s">
        <v>168</v>
      </c>
      <c r="D1319">
        <v>2012</v>
      </c>
      <c r="E1319">
        <v>0</v>
      </c>
      <c r="F1319" t="s">
        <v>177</v>
      </c>
    </row>
    <row r="1320" spans="1:6" x14ac:dyDescent="0.25">
      <c r="A1320" t="s">
        <v>169</v>
      </c>
      <c r="B1320" t="s">
        <v>170</v>
      </c>
      <c r="C1320" t="s">
        <v>168</v>
      </c>
      <c r="D1320">
        <v>2011</v>
      </c>
      <c r="E1320">
        <v>0</v>
      </c>
      <c r="F1320" t="s">
        <v>177</v>
      </c>
    </row>
    <row r="1321" spans="1:6" x14ac:dyDescent="0.25">
      <c r="A1321" t="s">
        <v>169</v>
      </c>
      <c r="B1321" t="s">
        <v>170</v>
      </c>
      <c r="C1321" t="s">
        <v>168</v>
      </c>
      <c r="D1321">
        <v>2010</v>
      </c>
      <c r="E1321">
        <v>0</v>
      </c>
      <c r="F1321" t="s">
        <v>177</v>
      </c>
    </row>
    <row r="1322" spans="1:6" x14ac:dyDescent="0.25">
      <c r="A1322" t="s">
        <v>169</v>
      </c>
      <c r="B1322" t="s">
        <v>170</v>
      </c>
      <c r="C1322" t="s">
        <v>148</v>
      </c>
      <c r="D1322">
        <v>2014</v>
      </c>
      <c r="E1322">
        <v>1.355</v>
      </c>
      <c r="F1322" t="s">
        <v>177</v>
      </c>
    </row>
    <row r="1323" spans="1:6" x14ac:dyDescent="0.25">
      <c r="A1323" t="s">
        <v>169</v>
      </c>
      <c r="B1323" t="s">
        <v>170</v>
      </c>
      <c r="C1323" t="s">
        <v>148</v>
      </c>
      <c r="D1323">
        <v>2013</v>
      </c>
      <c r="E1323">
        <v>0.99399999999999999</v>
      </c>
      <c r="F1323" t="s">
        <v>177</v>
      </c>
    </row>
    <row r="1324" spans="1:6" x14ac:dyDescent="0.25">
      <c r="A1324" t="s">
        <v>169</v>
      </c>
      <c r="B1324" t="s">
        <v>170</v>
      </c>
      <c r="C1324" t="s">
        <v>148</v>
      </c>
      <c r="D1324">
        <v>2012</v>
      </c>
      <c r="E1324">
        <v>1.113</v>
      </c>
      <c r="F1324" t="s">
        <v>177</v>
      </c>
    </row>
    <row r="1325" spans="1:6" x14ac:dyDescent="0.25">
      <c r="A1325" t="s">
        <v>169</v>
      </c>
      <c r="B1325" t="s">
        <v>170</v>
      </c>
      <c r="C1325" t="s">
        <v>148</v>
      </c>
      <c r="D1325">
        <v>2011</v>
      </c>
      <c r="E1325">
        <v>0.85699999999999998</v>
      </c>
      <c r="F1325" t="s">
        <v>177</v>
      </c>
    </row>
    <row r="1326" spans="1:6" x14ac:dyDescent="0.25">
      <c r="A1326" t="s">
        <v>169</v>
      </c>
      <c r="B1326" t="s">
        <v>170</v>
      </c>
      <c r="C1326" t="s">
        <v>148</v>
      </c>
      <c r="D1326">
        <v>2010</v>
      </c>
      <c r="E1326">
        <v>0.60699999999999998</v>
      </c>
      <c r="F1326" t="s">
        <v>177</v>
      </c>
    </row>
    <row r="1327" spans="1:6" x14ac:dyDescent="0.25">
      <c r="A1327" t="s">
        <v>169</v>
      </c>
      <c r="B1327" t="s">
        <v>170</v>
      </c>
      <c r="C1327" t="s">
        <v>149</v>
      </c>
      <c r="D1327">
        <v>2014</v>
      </c>
      <c r="E1327">
        <v>0</v>
      </c>
      <c r="F1327" t="s">
        <v>177</v>
      </c>
    </row>
    <row r="1328" spans="1:6" x14ac:dyDescent="0.25">
      <c r="A1328" t="s">
        <v>169</v>
      </c>
      <c r="B1328" t="s">
        <v>170</v>
      </c>
      <c r="C1328" t="s">
        <v>149</v>
      </c>
      <c r="D1328">
        <v>2013</v>
      </c>
      <c r="E1328">
        <v>0</v>
      </c>
      <c r="F1328" t="s">
        <v>177</v>
      </c>
    </row>
    <row r="1329" spans="1:6" x14ac:dyDescent="0.25">
      <c r="A1329" t="s">
        <v>169</v>
      </c>
      <c r="B1329" t="s">
        <v>170</v>
      </c>
      <c r="C1329" t="s">
        <v>149</v>
      </c>
      <c r="D1329">
        <v>2012</v>
      </c>
      <c r="E1329">
        <v>0</v>
      </c>
      <c r="F1329" t="s">
        <v>177</v>
      </c>
    </row>
    <row r="1330" spans="1:6" x14ac:dyDescent="0.25">
      <c r="A1330" t="s">
        <v>169</v>
      </c>
      <c r="B1330" t="s">
        <v>170</v>
      </c>
      <c r="C1330" t="s">
        <v>149</v>
      </c>
      <c r="D1330">
        <v>2011</v>
      </c>
      <c r="E1330">
        <v>0</v>
      </c>
      <c r="F1330" t="s">
        <v>177</v>
      </c>
    </row>
    <row r="1331" spans="1:6" x14ac:dyDescent="0.25">
      <c r="A1331" t="s">
        <v>169</v>
      </c>
      <c r="B1331" t="s">
        <v>170</v>
      </c>
      <c r="C1331" t="s">
        <v>149</v>
      </c>
      <c r="D1331">
        <v>2010</v>
      </c>
      <c r="E1331">
        <v>0</v>
      </c>
      <c r="F1331" t="s">
        <v>177</v>
      </c>
    </row>
    <row r="1332" spans="1:6" x14ac:dyDescent="0.25">
      <c r="A1332" t="s">
        <v>192</v>
      </c>
      <c r="B1332" t="s">
        <v>170</v>
      </c>
      <c r="C1332" t="s">
        <v>121</v>
      </c>
      <c r="D1332">
        <v>2014</v>
      </c>
      <c r="E1332">
        <v>0</v>
      </c>
      <c r="F1332" t="s">
        <v>182</v>
      </c>
    </row>
    <row r="1333" spans="1:6" x14ac:dyDescent="0.25">
      <c r="A1333" t="s">
        <v>192</v>
      </c>
      <c r="B1333" t="s">
        <v>170</v>
      </c>
      <c r="C1333" t="s">
        <v>121</v>
      </c>
      <c r="D1333">
        <v>2013</v>
      </c>
      <c r="E1333">
        <v>0</v>
      </c>
      <c r="F1333" t="s">
        <v>182</v>
      </c>
    </row>
    <row r="1334" spans="1:6" x14ac:dyDescent="0.25">
      <c r="A1334" t="s">
        <v>192</v>
      </c>
      <c r="B1334" t="s">
        <v>170</v>
      </c>
      <c r="C1334" t="s">
        <v>121</v>
      </c>
      <c r="D1334">
        <v>2012</v>
      </c>
      <c r="E1334">
        <v>0</v>
      </c>
      <c r="F1334" t="s">
        <v>182</v>
      </c>
    </row>
    <row r="1335" spans="1:6" x14ac:dyDescent="0.25">
      <c r="A1335" t="s">
        <v>192</v>
      </c>
      <c r="B1335" t="s">
        <v>170</v>
      </c>
      <c r="C1335" t="s">
        <v>121</v>
      </c>
      <c r="D1335">
        <v>2011</v>
      </c>
      <c r="E1335">
        <v>0</v>
      </c>
      <c r="F1335" t="s">
        <v>182</v>
      </c>
    </row>
    <row r="1336" spans="1:6" x14ac:dyDescent="0.25">
      <c r="A1336" t="s">
        <v>192</v>
      </c>
      <c r="B1336" t="s">
        <v>170</v>
      </c>
      <c r="C1336" t="s">
        <v>121</v>
      </c>
      <c r="D1336">
        <v>2010</v>
      </c>
      <c r="E1336">
        <v>0</v>
      </c>
      <c r="F1336" t="s">
        <v>182</v>
      </c>
    </row>
    <row r="1337" spans="1:6" x14ac:dyDescent="0.25">
      <c r="A1337" t="s">
        <v>192</v>
      </c>
      <c r="B1337" t="s">
        <v>170</v>
      </c>
      <c r="C1337" t="s">
        <v>122</v>
      </c>
      <c r="D1337">
        <v>2014</v>
      </c>
      <c r="E1337">
        <v>25.396799999999999</v>
      </c>
      <c r="F1337" t="s">
        <v>182</v>
      </c>
    </row>
    <row r="1338" spans="1:6" x14ac:dyDescent="0.25">
      <c r="A1338" t="s">
        <v>192</v>
      </c>
      <c r="B1338" t="s">
        <v>170</v>
      </c>
      <c r="C1338" t="s">
        <v>122</v>
      </c>
      <c r="D1338">
        <v>2013</v>
      </c>
      <c r="E1338">
        <v>24.815799999999999</v>
      </c>
      <c r="F1338" t="s">
        <v>182</v>
      </c>
    </row>
    <row r="1339" spans="1:6" x14ac:dyDescent="0.25">
      <c r="A1339" t="s">
        <v>192</v>
      </c>
      <c r="B1339" t="s">
        <v>170</v>
      </c>
      <c r="C1339" t="s">
        <v>122</v>
      </c>
      <c r="D1339">
        <v>2012</v>
      </c>
      <c r="E1339">
        <v>23.715</v>
      </c>
      <c r="F1339" t="s">
        <v>182</v>
      </c>
    </row>
    <row r="1340" spans="1:6" x14ac:dyDescent="0.25">
      <c r="A1340" t="s">
        <v>192</v>
      </c>
      <c r="B1340" t="s">
        <v>170</v>
      </c>
      <c r="C1340" t="s">
        <v>122</v>
      </c>
      <c r="D1340">
        <v>2011</v>
      </c>
      <c r="E1340">
        <v>20.54</v>
      </c>
      <c r="F1340" t="s">
        <v>182</v>
      </c>
    </row>
    <row r="1341" spans="1:6" x14ac:dyDescent="0.25">
      <c r="A1341" t="s">
        <v>192</v>
      </c>
      <c r="B1341" t="s">
        <v>170</v>
      </c>
      <c r="C1341" t="s">
        <v>122</v>
      </c>
      <c r="D1341">
        <v>2010</v>
      </c>
      <c r="E1341">
        <v>24.819099999999999</v>
      </c>
      <c r="F1341" t="s">
        <v>182</v>
      </c>
    </row>
    <row r="1342" spans="1:6" x14ac:dyDescent="0.25">
      <c r="A1342" t="s">
        <v>192</v>
      </c>
      <c r="B1342" t="s">
        <v>170</v>
      </c>
      <c r="C1342" t="s">
        <v>123</v>
      </c>
      <c r="D1342">
        <v>2014</v>
      </c>
      <c r="E1342">
        <v>0.29199999999999998</v>
      </c>
      <c r="F1342" t="s">
        <v>182</v>
      </c>
    </row>
    <row r="1343" spans="1:6" x14ac:dyDescent="0.25">
      <c r="A1343" t="s">
        <v>192</v>
      </c>
      <c r="B1343" t="s">
        <v>170</v>
      </c>
      <c r="C1343" t="s">
        <v>123</v>
      </c>
      <c r="D1343">
        <v>2013</v>
      </c>
      <c r="E1343">
        <v>0.313</v>
      </c>
      <c r="F1343" t="s">
        <v>182</v>
      </c>
    </row>
    <row r="1344" spans="1:6" x14ac:dyDescent="0.25">
      <c r="A1344" t="s">
        <v>192</v>
      </c>
      <c r="B1344" t="s">
        <v>170</v>
      </c>
      <c r="C1344" t="s">
        <v>123</v>
      </c>
      <c r="D1344">
        <v>2012</v>
      </c>
      <c r="E1344">
        <v>0.29699999999999999</v>
      </c>
      <c r="F1344" t="s">
        <v>182</v>
      </c>
    </row>
    <row r="1345" spans="1:6" x14ac:dyDescent="0.25">
      <c r="A1345" t="s">
        <v>192</v>
      </c>
      <c r="B1345" t="s">
        <v>170</v>
      </c>
      <c r="C1345" t="s">
        <v>123</v>
      </c>
      <c r="D1345">
        <v>2011</v>
      </c>
      <c r="E1345">
        <v>0.11</v>
      </c>
      <c r="F1345" t="s">
        <v>182</v>
      </c>
    </row>
    <row r="1346" spans="1:6" x14ac:dyDescent="0.25">
      <c r="A1346" t="s">
        <v>192</v>
      </c>
      <c r="B1346" t="s">
        <v>170</v>
      </c>
      <c r="C1346" t="s">
        <v>123</v>
      </c>
      <c r="D1346">
        <v>2010</v>
      </c>
      <c r="E1346">
        <v>0.17599999999999999</v>
      </c>
      <c r="F1346" t="s">
        <v>182</v>
      </c>
    </row>
    <row r="1347" spans="1:6" x14ac:dyDescent="0.25">
      <c r="A1347" t="s">
        <v>192</v>
      </c>
      <c r="B1347" t="s">
        <v>170</v>
      </c>
      <c r="C1347" t="s">
        <v>124</v>
      </c>
      <c r="D1347">
        <v>2014</v>
      </c>
      <c r="E1347">
        <v>0.23699999999999999</v>
      </c>
      <c r="F1347" t="s">
        <v>182</v>
      </c>
    </row>
    <row r="1348" spans="1:6" x14ac:dyDescent="0.25">
      <c r="A1348" t="s">
        <v>192</v>
      </c>
      <c r="B1348" t="s">
        <v>170</v>
      </c>
      <c r="C1348" t="s">
        <v>124</v>
      </c>
      <c r="D1348">
        <v>2013</v>
      </c>
      <c r="E1348">
        <v>5.2999999999999999E-2</v>
      </c>
      <c r="F1348" t="s">
        <v>182</v>
      </c>
    </row>
    <row r="1349" spans="1:6" x14ac:dyDescent="0.25">
      <c r="A1349" t="s">
        <v>192</v>
      </c>
      <c r="B1349" t="s">
        <v>170</v>
      </c>
      <c r="C1349" t="s">
        <v>124</v>
      </c>
      <c r="D1349">
        <v>2012</v>
      </c>
      <c r="E1349">
        <v>0.125</v>
      </c>
      <c r="F1349" t="s">
        <v>182</v>
      </c>
    </row>
    <row r="1350" spans="1:6" x14ac:dyDescent="0.25">
      <c r="A1350" t="s">
        <v>192</v>
      </c>
      <c r="B1350" t="s">
        <v>170</v>
      </c>
      <c r="C1350" t="s">
        <v>124</v>
      </c>
      <c r="D1350">
        <v>2011</v>
      </c>
      <c r="E1350">
        <v>9.0999999999999998E-2</v>
      </c>
      <c r="F1350" t="s">
        <v>182</v>
      </c>
    </row>
    <row r="1351" spans="1:6" x14ac:dyDescent="0.25">
      <c r="A1351" t="s">
        <v>192</v>
      </c>
      <c r="B1351" t="s">
        <v>170</v>
      </c>
      <c r="C1351" t="s">
        <v>124</v>
      </c>
      <c r="D1351">
        <v>2010</v>
      </c>
      <c r="E1351">
        <v>0.09</v>
      </c>
      <c r="F1351" t="s">
        <v>182</v>
      </c>
    </row>
    <row r="1352" spans="1:6" x14ac:dyDescent="0.25">
      <c r="A1352" t="s">
        <v>192</v>
      </c>
      <c r="B1352" t="s">
        <v>170</v>
      </c>
      <c r="C1352" t="s">
        <v>160</v>
      </c>
      <c r="D1352">
        <v>2014</v>
      </c>
      <c r="E1352">
        <v>0</v>
      </c>
      <c r="F1352" t="s">
        <v>182</v>
      </c>
    </row>
    <row r="1353" spans="1:6" x14ac:dyDescent="0.25">
      <c r="A1353" t="s">
        <v>192</v>
      </c>
      <c r="B1353" t="s">
        <v>170</v>
      </c>
      <c r="C1353" t="s">
        <v>160</v>
      </c>
      <c r="D1353">
        <v>2013</v>
      </c>
      <c r="E1353">
        <v>0</v>
      </c>
      <c r="F1353" t="s">
        <v>182</v>
      </c>
    </row>
    <row r="1354" spans="1:6" x14ac:dyDescent="0.25">
      <c r="A1354" t="s">
        <v>192</v>
      </c>
      <c r="B1354" t="s">
        <v>170</v>
      </c>
      <c r="C1354" t="s">
        <v>160</v>
      </c>
      <c r="D1354">
        <v>2012</v>
      </c>
      <c r="E1354">
        <v>0</v>
      </c>
      <c r="F1354" t="s">
        <v>182</v>
      </c>
    </row>
    <row r="1355" spans="1:6" x14ac:dyDescent="0.25">
      <c r="A1355" t="s">
        <v>192</v>
      </c>
      <c r="B1355" t="s">
        <v>170</v>
      </c>
      <c r="C1355" t="s">
        <v>160</v>
      </c>
      <c r="D1355">
        <v>2011</v>
      </c>
      <c r="E1355">
        <v>0</v>
      </c>
      <c r="F1355" t="s">
        <v>182</v>
      </c>
    </row>
    <row r="1356" spans="1:6" x14ac:dyDescent="0.25">
      <c r="A1356" t="s">
        <v>192</v>
      </c>
      <c r="B1356" t="s">
        <v>170</v>
      </c>
      <c r="C1356" t="s">
        <v>160</v>
      </c>
      <c r="D1356">
        <v>2010</v>
      </c>
      <c r="E1356">
        <v>0</v>
      </c>
      <c r="F1356" t="s">
        <v>182</v>
      </c>
    </row>
    <row r="1357" spans="1:6" x14ac:dyDescent="0.25">
      <c r="A1357" t="s">
        <v>192</v>
      </c>
      <c r="B1357" t="s">
        <v>170</v>
      </c>
      <c r="C1357" t="s">
        <v>125</v>
      </c>
      <c r="D1357">
        <v>2014</v>
      </c>
      <c r="E1357">
        <v>1.151</v>
      </c>
      <c r="F1357" t="s">
        <v>182</v>
      </c>
    </row>
    <row r="1358" spans="1:6" x14ac:dyDescent="0.25">
      <c r="A1358" t="s">
        <v>192</v>
      </c>
      <c r="B1358" t="s">
        <v>170</v>
      </c>
      <c r="C1358" t="s">
        <v>125</v>
      </c>
      <c r="D1358">
        <v>2013</v>
      </c>
      <c r="E1358">
        <v>1.2869999999999999</v>
      </c>
      <c r="F1358" t="s">
        <v>182</v>
      </c>
    </row>
    <row r="1359" spans="1:6" x14ac:dyDescent="0.25">
      <c r="A1359" t="s">
        <v>192</v>
      </c>
      <c r="B1359" t="s">
        <v>170</v>
      </c>
      <c r="C1359" t="s">
        <v>125</v>
      </c>
      <c r="D1359">
        <v>2012</v>
      </c>
      <c r="E1359">
        <v>1.1779999999999999</v>
      </c>
      <c r="F1359" t="s">
        <v>182</v>
      </c>
    </row>
    <row r="1360" spans="1:6" x14ac:dyDescent="0.25">
      <c r="A1360" t="s">
        <v>192</v>
      </c>
      <c r="B1360" t="s">
        <v>170</v>
      </c>
      <c r="C1360" t="s">
        <v>125</v>
      </c>
      <c r="D1360">
        <v>2011</v>
      </c>
      <c r="E1360">
        <v>1.4630000000000001</v>
      </c>
      <c r="F1360" t="s">
        <v>182</v>
      </c>
    </row>
    <row r="1361" spans="1:6" x14ac:dyDescent="0.25">
      <c r="A1361" t="s">
        <v>192</v>
      </c>
      <c r="B1361" t="s">
        <v>170</v>
      </c>
      <c r="C1361" t="s">
        <v>125</v>
      </c>
      <c r="D1361">
        <v>2010</v>
      </c>
      <c r="E1361">
        <v>1.1359999999999999</v>
      </c>
      <c r="F1361" t="s">
        <v>182</v>
      </c>
    </row>
    <row r="1362" spans="1:6" x14ac:dyDescent="0.25">
      <c r="A1362" t="s">
        <v>192</v>
      </c>
      <c r="B1362" t="s">
        <v>170</v>
      </c>
      <c r="C1362" t="s">
        <v>126</v>
      </c>
      <c r="D1362">
        <v>2014</v>
      </c>
      <c r="E1362">
        <v>35.612099999999998</v>
      </c>
      <c r="F1362" t="s">
        <v>182</v>
      </c>
    </row>
    <row r="1363" spans="1:6" x14ac:dyDescent="0.25">
      <c r="A1363" t="s">
        <v>192</v>
      </c>
      <c r="B1363" t="s">
        <v>170</v>
      </c>
      <c r="C1363" t="s">
        <v>126</v>
      </c>
      <c r="D1363">
        <v>2013</v>
      </c>
      <c r="E1363">
        <v>33.662100000000002</v>
      </c>
      <c r="F1363" t="s">
        <v>182</v>
      </c>
    </row>
    <row r="1364" spans="1:6" x14ac:dyDescent="0.25">
      <c r="A1364" t="s">
        <v>192</v>
      </c>
      <c r="B1364" t="s">
        <v>170</v>
      </c>
      <c r="C1364" t="s">
        <v>126</v>
      </c>
      <c r="D1364">
        <v>2012</v>
      </c>
      <c r="E1364">
        <v>39.433599999999998</v>
      </c>
      <c r="F1364" t="s">
        <v>182</v>
      </c>
    </row>
    <row r="1365" spans="1:6" x14ac:dyDescent="0.25">
      <c r="A1365" t="s">
        <v>192</v>
      </c>
      <c r="B1365" t="s">
        <v>170</v>
      </c>
      <c r="C1365" t="s">
        <v>126</v>
      </c>
      <c r="D1365">
        <v>2011</v>
      </c>
      <c r="E1365">
        <v>30.529699999999998</v>
      </c>
      <c r="F1365" t="s">
        <v>182</v>
      </c>
    </row>
    <row r="1366" spans="1:6" x14ac:dyDescent="0.25">
      <c r="A1366" t="s">
        <v>192</v>
      </c>
      <c r="B1366" t="s">
        <v>170</v>
      </c>
      <c r="C1366" t="s">
        <v>126</v>
      </c>
      <c r="D1366">
        <v>2010</v>
      </c>
      <c r="E1366">
        <v>29.615200000000002</v>
      </c>
      <c r="F1366" t="s">
        <v>182</v>
      </c>
    </row>
    <row r="1367" spans="1:6" x14ac:dyDescent="0.25">
      <c r="A1367" t="s">
        <v>192</v>
      </c>
      <c r="B1367" t="s">
        <v>170</v>
      </c>
      <c r="C1367" t="s">
        <v>127</v>
      </c>
      <c r="D1367">
        <v>2014</v>
      </c>
      <c r="E1367">
        <v>20.701000000000001</v>
      </c>
      <c r="F1367" t="s">
        <v>182</v>
      </c>
    </row>
    <row r="1368" spans="1:6" x14ac:dyDescent="0.25">
      <c r="A1368" t="s">
        <v>192</v>
      </c>
      <c r="B1368" t="s">
        <v>170</v>
      </c>
      <c r="C1368" t="s">
        <v>127</v>
      </c>
      <c r="D1368">
        <v>2013</v>
      </c>
      <c r="E1368">
        <v>21.110399999999998</v>
      </c>
      <c r="F1368" t="s">
        <v>182</v>
      </c>
    </row>
    <row r="1369" spans="1:6" x14ac:dyDescent="0.25">
      <c r="A1369" t="s">
        <v>192</v>
      </c>
      <c r="B1369" t="s">
        <v>170</v>
      </c>
      <c r="C1369" t="s">
        <v>127</v>
      </c>
      <c r="D1369">
        <v>2012</v>
      </c>
      <c r="E1369">
        <v>21.308</v>
      </c>
      <c r="F1369" t="s">
        <v>182</v>
      </c>
    </row>
    <row r="1370" spans="1:6" x14ac:dyDescent="0.25">
      <c r="A1370" t="s">
        <v>192</v>
      </c>
      <c r="B1370" t="s">
        <v>170</v>
      </c>
      <c r="C1370" t="s">
        <v>127</v>
      </c>
      <c r="D1370">
        <v>2011</v>
      </c>
      <c r="E1370">
        <v>19.4453</v>
      </c>
      <c r="F1370" t="s">
        <v>182</v>
      </c>
    </row>
    <row r="1371" spans="1:6" x14ac:dyDescent="0.25">
      <c r="A1371" t="s">
        <v>192</v>
      </c>
      <c r="B1371" t="s">
        <v>170</v>
      </c>
      <c r="C1371" t="s">
        <v>127</v>
      </c>
      <c r="D1371">
        <v>2010</v>
      </c>
      <c r="E1371">
        <v>21.452999999999999</v>
      </c>
      <c r="F1371" t="s">
        <v>182</v>
      </c>
    </row>
    <row r="1372" spans="1:6" x14ac:dyDescent="0.25">
      <c r="A1372" t="s">
        <v>192</v>
      </c>
      <c r="B1372" t="s">
        <v>170</v>
      </c>
      <c r="C1372" t="s">
        <v>128</v>
      </c>
      <c r="D1372">
        <v>2014</v>
      </c>
      <c r="E1372">
        <v>3.27</v>
      </c>
      <c r="F1372" t="s">
        <v>182</v>
      </c>
    </row>
    <row r="1373" spans="1:6" x14ac:dyDescent="0.25">
      <c r="A1373" t="s">
        <v>192</v>
      </c>
      <c r="B1373" t="s">
        <v>170</v>
      </c>
      <c r="C1373" t="s">
        <v>128</v>
      </c>
      <c r="D1373">
        <v>2013</v>
      </c>
      <c r="E1373">
        <v>4.2539999999999996</v>
      </c>
      <c r="F1373" t="s">
        <v>182</v>
      </c>
    </row>
    <row r="1374" spans="1:6" x14ac:dyDescent="0.25">
      <c r="A1374" t="s">
        <v>192</v>
      </c>
      <c r="B1374" t="s">
        <v>170</v>
      </c>
      <c r="C1374" t="s">
        <v>128</v>
      </c>
      <c r="D1374">
        <v>2012</v>
      </c>
      <c r="E1374">
        <v>4.0279999999999996</v>
      </c>
      <c r="F1374" t="s">
        <v>182</v>
      </c>
    </row>
    <row r="1375" spans="1:6" x14ac:dyDescent="0.25">
      <c r="A1375" t="s">
        <v>192</v>
      </c>
      <c r="B1375" t="s">
        <v>170</v>
      </c>
      <c r="C1375" t="s">
        <v>128</v>
      </c>
      <c r="D1375">
        <v>2011</v>
      </c>
      <c r="E1375">
        <v>5.0030000000000001</v>
      </c>
      <c r="F1375" t="s">
        <v>182</v>
      </c>
    </row>
    <row r="1376" spans="1:6" x14ac:dyDescent="0.25">
      <c r="A1376" t="s">
        <v>192</v>
      </c>
      <c r="B1376" t="s">
        <v>170</v>
      </c>
      <c r="C1376" t="s">
        <v>128</v>
      </c>
      <c r="D1376">
        <v>2010</v>
      </c>
      <c r="E1376">
        <v>3.8069999999999999</v>
      </c>
      <c r="F1376" t="s">
        <v>182</v>
      </c>
    </row>
    <row r="1377" spans="1:6" x14ac:dyDescent="0.25">
      <c r="A1377" t="s">
        <v>192</v>
      </c>
      <c r="B1377" t="s">
        <v>170</v>
      </c>
      <c r="C1377" t="s">
        <v>161</v>
      </c>
      <c r="D1377">
        <v>2014</v>
      </c>
      <c r="E1377">
        <v>0</v>
      </c>
      <c r="F1377" t="s">
        <v>182</v>
      </c>
    </row>
    <row r="1378" spans="1:6" x14ac:dyDescent="0.25">
      <c r="A1378" t="s">
        <v>192</v>
      </c>
      <c r="B1378" t="s">
        <v>170</v>
      </c>
      <c r="C1378" t="s">
        <v>161</v>
      </c>
      <c r="D1378">
        <v>2013</v>
      </c>
      <c r="E1378">
        <v>0</v>
      </c>
      <c r="F1378" t="s">
        <v>182</v>
      </c>
    </row>
    <row r="1379" spans="1:6" x14ac:dyDescent="0.25">
      <c r="A1379" t="s">
        <v>192</v>
      </c>
      <c r="B1379" t="s">
        <v>170</v>
      </c>
      <c r="C1379" t="s">
        <v>161</v>
      </c>
      <c r="D1379">
        <v>2012</v>
      </c>
      <c r="E1379">
        <v>0</v>
      </c>
      <c r="F1379" t="s">
        <v>182</v>
      </c>
    </row>
    <row r="1380" spans="1:6" x14ac:dyDescent="0.25">
      <c r="A1380" t="s">
        <v>192</v>
      </c>
      <c r="B1380" t="s">
        <v>170</v>
      </c>
      <c r="C1380" t="s">
        <v>161</v>
      </c>
      <c r="D1380">
        <v>2011</v>
      </c>
      <c r="E1380">
        <v>0</v>
      </c>
      <c r="F1380" t="s">
        <v>182</v>
      </c>
    </row>
    <row r="1381" spans="1:6" x14ac:dyDescent="0.25">
      <c r="A1381" t="s">
        <v>192</v>
      </c>
      <c r="B1381" t="s">
        <v>170</v>
      </c>
      <c r="C1381" t="s">
        <v>161</v>
      </c>
      <c r="D1381">
        <v>2010</v>
      </c>
      <c r="E1381">
        <v>0</v>
      </c>
      <c r="F1381" t="s">
        <v>182</v>
      </c>
    </row>
    <row r="1382" spans="1:6" x14ac:dyDescent="0.25">
      <c r="A1382" t="s">
        <v>192</v>
      </c>
      <c r="B1382" t="s">
        <v>170</v>
      </c>
      <c r="C1382" t="s">
        <v>162</v>
      </c>
      <c r="D1382">
        <v>2014</v>
      </c>
      <c r="E1382">
        <v>0</v>
      </c>
      <c r="F1382" t="s">
        <v>182</v>
      </c>
    </row>
    <row r="1383" spans="1:6" x14ac:dyDescent="0.25">
      <c r="A1383" t="s">
        <v>192</v>
      </c>
      <c r="B1383" t="s">
        <v>170</v>
      </c>
      <c r="C1383" t="s">
        <v>162</v>
      </c>
      <c r="D1383">
        <v>2013</v>
      </c>
      <c r="E1383">
        <v>0</v>
      </c>
      <c r="F1383" t="s">
        <v>182</v>
      </c>
    </row>
    <row r="1384" spans="1:6" x14ac:dyDescent="0.25">
      <c r="A1384" t="s">
        <v>192</v>
      </c>
      <c r="B1384" t="s">
        <v>170</v>
      </c>
      <c r="C1384" t="s">
        <v>162</v>
      </c>
      <c r="D1384">
        <v>2012</v>
      </c>
      <c r="E1384">
        <v>0</v>
      </c>
      <c r="F1384" t="s">
        <v>182</v>
      </c>
    </row>
    <row r="1385" spans="1:6" x14ac:dyDescent="0.25">
      <c r="A1385" t="s">
        <v>192</v>
      </c>
      <c r="B1385" t="s">
        <v>170</v>
      </c>
      <c r="C1385" t="s">
        <v>162</v>
      </c>
      <c r="D1385">
        <v>2011</v>
      </c>
      <c r="E1385">
        <v>0</v>
      </c>
      <c r="F1385" t="s">
        <v>182</v>
      </c>
    </row>
    <row r="1386" spans="1:6" x14ac:dyDescent="0.25">
      <c r="A1386" t="s">
        <v>192</v>
      </c>
      <c r="B1386" t="s">
        <v>170</v>
      </c>
      <c r="C1386" t="s">
        <v>162</v>
      </c>
      <c r="D1386">
        <v>2010</v>
      </c>
      <c r="E1386">
        <v>0</v>
      </c>
      <c r="F1386" t="s">
        <v>182</v>
      </c>
    </row>
    <row r="1387" spans="1:6" x14ac:dyDescent="0.25">
      <c r="A1387" t="s">
        <v>192</v>
      </c>
      <c r="B1387" t="s">
        <v>170</v>
      </c>
      <c r="C1387" t="s">
        <v>129</v>
      </c>
      <c r="D1387">
        <v>2014</v>
      </c>
      <c r="E1387">
        <v>29.7014</v>
      </c>
      <c r="F1387" t="s">
        <v>182</v>
      </c>
    </row>
    <row r="1388" spans="1:6" x14ac:dyDescent="0.25">
      <c r="A1388" t="s">
        <v>192</v>
      </c>
      <c r="B1388" t="s">
        <v>170</v>
      </c>
      <c r="C1388" t="s">
        <v>129</v>
      </c>
      <c r="D1388">
        <v>2013</v>
      </c>
      <c r="E1388">
        <v>27.144300000000001</v>
      </c>
      <c r="F1388" t="s">
        <v>182</v>
      </c>
    </row>
    <row r="1389" spans="1:6" x14ac:dyDescent="0.25">
      <c r="A1389" t="s">
        <v>192</v>
      </c>
      <c r="B1389" t="s">
        <v>170</v>
      </c>
      <c r="C1389" t="s">
        <v>129</v>
      </c>
      <c r="D1389">
        <v>2012</v>
      </c>
      <c r="E1389">
        <v>26.725000000000001</v>
      </c>
      <c r="F1389" t="s">
        <v>182</v>
      </c>
    </row>
    <row r="1390" spans="1:6" x14ac:dyDescent="0.25">
      <c r="A1390" t="s">
        <v>192</v>
      </c>
      <c r="B1390" t="s">
        <v>170</v>
      </c>
      <c r="C1390" t="s">
        <v>129</v>
      </c>
      <c r="D1390">
        <v>2011</v>
      </c>
      <c r="E1390">
        <v>22.792999999999999</v>
      </c>
      <c r="F1390" t="s">
        <v>182</v>
      </c>
    </row>
    <row r="1391" spans="1:6" x14ac:dyDescent="0.25">
      <c r="A1391" t="s">
        <v>192</v>
      </c>
      <c r="B1391" t="s">
        <v>170</v>
      </c>
      <c r="C1391" t="s">
        <v>129</v>
      </c>
      <c r="D1391">
        <v>2010</v>
      </c>
      <c r="E1391">
        <v>24.087</v>
      </c>
      <c r="F1391" t="s">
        <v>182</v>
      </c>
    </row>
    <row r="1392" spans="1:6" x14ac:dyDescent="0.25">
      <c r="A1392" t="s">
        <v>192</v>
      </c>
      <c r="B1392" t="s">
        <v>170</v>
      </c>
      <c r="C1392" t="s">
        <v>130</v>
      </c>
      <c r="D1392">
        <v>2014</v>
      </c>
      <c r="E1392">
        <v>25.152999999999999</v>
      </c>
      <c r="F1392" t="s">
        <v>182</v>
      </c>
    </row>
    <row r="1393" spans="1:6" x14ac:dyDescent="0.25">
      <c r="A1393" t="s">
        <v>192</v>
      </c>
      <c r="B1393" t="s">
        <v>170</v>
      </c>
      <c r="C1393" t="s">
        <v>130</v>
      </c>
      <c r="D1393">
        <v>2013</v>
      </c>
      <c r="E1393">
        <v>22.908999999999999</v>
      </c>
      <c r="F1393" t="s">
        <v>182</v>
      </c>
    </row>
    <row r="1394" spans="1:6" x14ac:dyDescent="0.25">
      <c r="A1394" t="s">
        <v>192</v>
      </c>
      <c r="B1394" t="s">
        <v>170</v>
      </c>
      <c r="C1394" t="s">
        <v>130</v>
      </c>
      <c r="D1394">
        <v>2012</v>
      </c>
      <c r="E1394">
        <v>19.372</v>
      </c>
      <c r="F1394" t="s">
        <v>182</v>
      </c>
    </row>
    <row r="1395" spans="1:6" x14ac:dyDescent="0.25">
      <c r="A1395" t="s">
        <v>192</v>
      </c>
      <c r="B1395" t="s">
        <v>170</v>
      </c>
      <c r="C1395" t="s">
        <v>130</v>
      </c>
      <c r="D1395">
        <v>2011</v>
      </c>
      <c r="E1395">
        <v>15.849</v>
      </c>
      <c r="F1395" t="s">
        <v>182</v>
      </c>
    </row>
    <row r="1396" spans="1:6" x14ac:dyDescent="0.25">
      <c r="A1396" t="s">
        <v>192</v>
      </c>
      <c r="B1396" t="s">
        <v>170</v>
      </c>
      <c r="C1396" t="s">
        <v>130</v>
      </c>
      <c r="D1396">
        <v>2010</v>
      </c>
      <c r="E1396">
        <v>18.425999999999998</v>
      </c>
      <c r="F1396" t="s">
        <v>182</v>
      </c>
    </row>
    <row r="1397" spans="1:6" x14ac:dyDescent="0.25">
      <c r="A1397" t="s">
        <v>192</v>
      </c>
      <c r="B1397" t="s">
        <v>170</v>
      </c>
      <c r="C1397" t="s">
        <v>131</v>
      </c>
      <c r="D1397">
        <v>2014</v>
      </c>
      <c r="E1397">
        <v>0</v>
      </c>
      <c r="F1397" t="s">
        <v>182</v>
      </c>
    </row>
    <row r="1398" spans="1:6" x14ac:dyDescent="0.25">
      <c r="A1398" t="s">
        <v>192</v>
      </c>
      <c r="B1398" t="s">
        <v>170</v>
      </c>
      <c r="C1398" t="s">
        <v>131</v>
      </c>
      <c r="D1398">
        <v>2013</v>
      </c>
      <c r="E1398">
        <v>0</v>
      </c>
      <c r="F1398" t="s">
        <v>182</v>
      </c>
    </row>
    <row r="1399" spans="1:6" x14ac:dyDescent="0.25">
      <c r="A1399" t="s">
        <v>192</v>
      </c>
      <c r="B1399" t="s">
        <v>170</v>
      </c>
      <c r="C1399" t="s">
        <v>131</v>
      </c>
      <c r="D1399">
        <v>2012</v>
      </c>
      <c r="E1399">
        <v>0</v>
      </c>
      <c r="F1399" t="s">
        <v>182</v>
      </c>
    </row>
    <row r="1400" spans="1:6" x14ac:dyDescent="0.25">
      <c r="A1400" t="s">
        <v>192</v>
      </c>
      <c r="B1400" t="s">
        <v>170</v>
      </c>
      <c r="C1400" t="s">
        <v>131</v>
      </c>
      <c r="D1400">
        <v>2011</v>
      </c>
      <c r="E1400">
        <v>0</v>
      </c>
      <c r="F1400" t="s">
        <v>182</v>
      </c>
    </row>
    <row r="1401" spans="1:6" x14ac:dyDescent="0.25">
      <c r="A1401" t="s">
        <v>192</v>
      </c>
      <c r="B1401" t="s">
        <v>170</v>
      </c>
      <c r="C1401" t="s">
        <v>131</v>
      </c>
      <c r="D1401">
        <v>2010</v>
      </c>
      <c r="E1401">
        <v>0</v>
      </c>
      <c r="F1401" t="s">
        <v>182</v>
      </c>
    </row>
    <row r="1402" spans="1:6" x14ac:dyDescent="0.25">
      <c r="A1402" t="s">
        <v>192</v>
      </c>
      <c r="B1402" t="s">
        <v>170</v>
      </c>
      <c r="C1402" t="s">
        <v>132</v>
      </c>
      <c r="D1402">
        <v>2014</v>
      </c>
      <c r="E1402">
        <v>2.9</v>
      </c>
      <c r="F1402" t="s">
        <v>182</v>
      </c>
    </row>
    <row r="1403" spans="1:6" x14ac:dyDescent="0.25">
      <c r="A1403" t="s">
        <v>192</v>
      </c>
      <c r="B1403" t="s">
        <v>170</v>
      </c>
      <c r="C1403" t="s">
        <v>132</v>
      </c>
      <c r="D1403">
        <v>2013</v>
      </c>
      <c r="E1403">
        <v>2.4740000000000002</v>
      </c>
      <c r="F1403" t="s">
        <v>182</v>
      </c>
    </row>
    <row r="1404" spans="1:6" x14ac:dyDescent="0.25">
      <c r="A1404" t="s">
        <v>192</v>
      </c>
      <c r="B1404" t="s">
        <v>170</v>
      </c>
      <c r="C1404" t="s">
        <v>132</v>
      </c>
      <c r="D1404">
        <v>2012</v>
      </c>
      <c r="E1404">
        <v>1.2529999999999999</v>
      </c>
      <c r="F1404" t="s">
        <v>182</v>
      </c>
    </row>
    <row r="1405" spans="1:6" x14ac:dyDescent="0.25">
      <c r="A1405" t="s">
        <v>192</v>
      </c>
      <c r="B1405" t="s">
        <v>170</v>
      </c>
      <c r="C1405" t="s">
        <v>132</v>
      </c>
      <c r="D1405">
        <v>2011</v>
      </c>
      <c r="E1405">
        <v>0.81899999999999995</v>
      </c>
      <c r="F1405" t="s">
        <v>182</v>
      </c>
    </row>
    <row r="1406" spans="1:6" x14ac:dyDescent="0.25">
      <c r="A1406" t="s">
        <v>192</v>
      </c>
      <c r="B1406" t="s">
        <v>170</v>
      </c>
      <c r="C1406" t="s">
        <v>132</v>
      </c>
      <c r="D1406">
        <v>2010</v>
      </c>
      <c r="E1406">
        <v>0.45800000000000002</v>
      </c>
      <c r="F1406" t="s">
        <v>182</v>
      </c>
    </row>
    <row r="1407" spans="1:6" x14ac:dyDescent="0.25">
      <c r="A1407" t="s">
        <v>192</v>
      </c>
      <c r="B1407" t="s">
        <v>170</v>
      </c>
      <c r="C1407" t="s">
        <v>163</v>
      </c>
      <c r="D1407">
        <v>2014</v>
      </c>
      <c r="E1407">
        <v>0</v>
      </c>
      <c r="F1407" t="s">
        <v>182</v>
      </c>
    </row>
    <row r="1408" spans="1:6" x14ac:dyDescent="0.25">
      <c r="A1408" t="s">
        <v>192</v>
      </c>
      <c r="B1408" t="s">
        <v>170</v>
      </c>
      <c r="C1408" t="s">
        <v>163</v>
      </c>
      <c r="D1408">
        <v>2013</v>
      </c>
      <c r="E1408">
        <v>0</v>
      </c>
      <c r="F1408" t="s">
        <v>182</v>
      </c>
    </row>
    <row r="1409" spans="1:6" x14ac:dyDescent="0.25">
      <c r="A1409" t="s">
        <v>192</v>
      </c>
      <c r="B1409" t="s">
        <v>170</v>
      </c>
      <c r="C1409" t="s">
        <v>163</v>
      </c>
      <c r="D1409">
        <v>2012</v>
      </c>
      <c r="E1409">
        <v>0</v>
      </c>
      <c r="F1409" t="s">
        <v>182</v>
      </c>
    </row>
    <row r="1410" spans="1:6" x14ac:dyDescent="0.25">
      <c r="A1410" t="s">
        <v>192</v>
      </c>
      <c r="B1410" t="s">
        <v>170</v>
      </c>
      <c r="C1410" t="s">
        <v>163</v>
      </c>
      <c r="D1410">
        <v>2011</v>
      </c>
      <c r="E1410">
        <v>0</v>
      </c>
      <c r="F1410" t="s">
        <v>182</v>
      </c>
    </row>
    <row r="1411" spans="1:6" x14ac:dyDescent="0.25">
      <c r="A1411" t="s">
        <v>192</v>
      </c>
      <c r="B1411" t="s">
        <v>170</v>
      </c>
      <c r="C1411" t="s">
        <v>163</v>
      </c>
      <c r="D1411">
        <v>2010</v>
      </c>
      <c r="E1411">
        <v>0</v>
      </c>
      <c r="F1411" t="s">
        <v>182</v>
      </c>
    </row>
    <row r="1412" spans="1:6" x14ac:dyDescent="0.25">
      <c r="A1412" t="s">
        <v>192</v>
      </c>
      <c r="B1412" t="s">
        <v>170</v>
      </c>
      <c r="C1412" t="s">
        <v>133</v>
      </c>
      <c r="D1412">
        <v>2014</v>
      </c>
      <c r="E1412">
        <v>30.009</v>
      </c>
      <c r="F1412" t="s">
        <v>182</v>
      </c>
    </row>
    <row r="1413" spans="1:6" x14ac:dyDescent="0.25">
      <c r="A1413" t="s">
        <v>192</v>
      </c>
      <c r="B1413" t="s">
        <v>170</v>
      </c>
      <c r="C1413" t="s">
        <v>133</v>
      </c>
      <c r="D1413">
        <v>2013</v>
      </c>
      <c r="E1413">
        <v>24.843</v>
      </c>
      <c r="F1413" t="s">
        <v>182</v>
      </c>
    </row>
    <row r="1414" spans="1:6" x14ac:dyDescent="0.25">
      <c r="A1414" t="s">
        <v>192</v>
      </c>
      <c r="B1414" t="s">
        <v>170</v>
      </c>
      <c r="C1414" t="s">
        <v>133</v>
      </c>
      <c r="D1414">
        <v>2012</v>
      </c>
      <c r="E1414">
        <v>26.100999999999999</v>
      </c>
      <c r="F1414" t="s">
        <v>182</v>
      </c>
    </row>
    <row r="1415" spans="1:6" x14ac:dyDescent="0.25">
      <c r="A1415" t="s">
        <v>192</v>
      </c>
      <c r="B1415" t="s">
        <v>170</v>
      </c>
      <c r="C1415" t="s">
        <v>133</v>
      </c>
      <c r="D1415">
        <v>2011</v>
      </c>
      <c r="E1415">
        <v>25.542000000000002</v>
      </c>
      <c r="F1415" t="s">
        <v>182</v>
      </c>
    </row>
    <row r="1416" spans="1:6" x14ac:dyDescent="0.25">
      <c r="A1416" t="s">
        <v>192</v>
      </c>
      <c r="B1416" t="s">
        <v>170</v>
      </c>
      <c r="C1416" t="s">
        <v>133</v>
      </c>
      <c r="D1416">
        <v>2010</v>
      </c>
      <c r="E1416">
        <v>25.001000000000001</v>
      </c>
      <c r="F1416" t="s">
        <v>182</v>
      </c>
    </row>
    <row r="1417" spans="1:6" x14ac:dyDescent="0.25">
      <c r="A1417" t="s">
        <v>192</v>
      </c>
      <c r="B1417" t="s">
        <v>170</v>
      </c>
      <c r="C1417" t="s">
        <v>134</v>
      </c>
      <c r="D1417">
        <v>2014</v>
      </c>
      <c r="E1417">
        <v>5.0117000000000003</v>
      </c>
      <c r="F1417" t="s">
        <v>182</v>
      </c>
    </row>
    <row r="1418" spans="1:6" x14ac:dyDescent="0.25">
      <c r="A1418" t="s">
        <v>192</v>
      </c>
      <c r="B1418" t="s">
        <v>170</v>
      </c>
      <c r="C1418" t="s">
        <v>134</v>
      </c>
      <c r="D1418">
        <v>2013</v>
      </c>
      <c r="E1418">
        <v>5.3108000000000004</v>
      </c>
      <c r="F1418" t="s">
        <v>182</v>
      </c>
    </row>
    <row r="1419" spans="1:6" x14ac:dyDescent="0.25">
      <c r="A1419" t="s">
        <v>192</v>
      </c>
      <c r="B1419" t="s">
        <v>170</v>
      </c>
      <c r="C1419" t="s">
        <v>134</v>
      </c>
      <c r="D1419">
        <v>2012</v>
      </c>
      <c r="E1419">
        <v>5.2770000000000001</v>
      </c>
      <c r="F1419" t="s">
        <v>182</v>
      </c>
    </row>
    <row r="1420" spans="1:6" x14ac:dyDescent="0.25">
      <c r="A1420" t="s">
        <v>192</v>
      </c>
      <c r="B1420" t="s">
        <v>170</v>
      </c>
      <c r="C1420" t="s">
        <v>134</v>
      </c>
      <c r="D1420">
        <v>2011</v>
      </c>
      <c r="E1420">
        <v>4.8647</v>
      </c>
      <c r="F1420" t="s">
        <v>182</v>
      </c>
    </row>
    <row r="1421" spans="1:6" x14ac:dyDescent="0.25">
      <c r="A1421" t="s">
        <v>192</v>
      </c>
      <c r="B1421" t="s">
        <v>170</v>
      </c>
      <c r="C1421" t="s">
        <v>134</v>
      </c>
      <c r="D1421">
        <v>2010</v>
      </c>
      <c r="E1421">
        <v>4.5849000000000002</v>
      </c>
      <c r="F1421" t="s">
        <v>182</v>
      </c>
    </row>
    <row r="1422" spans="1:6" x14ac:dyDescent="0.25">
      <c r="A1422" t="s">
        <v>192</v>
      </c>
      <c r="B1422" t="s">
        <v>170</v>
      </c>
      <c r="C1422" t="s">
        <v>135</v>
      </c>
      <c r="D1422">
        <v>2014</v>
      </c>
      <c r="E1422">
        <v>12.769</v>
      </c>
      <c r="F1422" t="s">
        <v>182</v>
      </c>
    </row>
    <row r="1423" spans="1:6" x14ac:dyDescent="0.25">
      <c r="A1423" t="s">
        <v>192</v>
      </c>
      <c r="B1423" t="s">
        <v>170</v>
      </c>
      <c r="C1423" t="s">
        <v>135</v>
      </c>
      <c r="D1423">
        <v>2013</v>
      </c>
      <c r="E1423">
        <v>8.8480000000000008</v>
      </c>
      <c r="F1423" t="s">
        <v>182</v>
      </c>
    </row>
    <row r="1424" spans="1:6" x14ac:dyDescent="0.25">
      <c r="A1424" t="s">
        <v>192</v>
      </c>
      <c r="B1424" t="s">
        <v>170</v>
      </c>
      <c r="C1424" t="s">
        <v>135</v>
      </c>
      <c r="D1424">
        <v>2012</v>
      </c>
      <c r="E1424">
        <v>9.3940000000000001</v>
      </c>
      <c r="F1424" t="s">
        <v>182</v>
      </c>
    </row>
    <row r="1425" spans="1:6" x14ac:dyDescent="0.25">
      <c r="A1425" t="s">
        <v>192</v>
      </c>
      <c r="B1425" t="s">
        <v>170</v>
      </c>
      <c r="C1425" t="s">
        <v>135</v>
      </c>
      <c r="D1425">
        <v>2011</v>
      </c>
      <c r="E1425">
        <v>7.6449999999999996</v>
      </c>
      <c r="F1425" t="s">
        <v>182</v>
      </c>
    </row>
    <row r="1426" spans="1:6" x14ac:dyDescent="0.25">
      <c r="A1426" t="s">
        <v>192</v>
      </c>
      <c r="B1426" t="s">
        <v>170</v>
      </c>
      <c r="C1426" t="s">
        <v>135</v>
      </c>
      <c r="D1426">
        <v>2010</v>
      </c>
      <c r="E1426">
        <v>8.2270000000000003</v>
      </c>
      <c r="F1426" t="s">
        <v>182</v>
      </c>
    </row>
    <row r="1427" spans="1:6" x14ac:dyDescent="0.25">
      <c r="A1427" t="s">
        <v>192</v>
      </c>
      <c r="B1427" t="s">
        <v>170</v>
      </c>
      <c r="C1427" t="s">
        <v>136</v>
      </c>
      <c r="D1427">
        <v>2014</v>
      </c>
      <c r="E1427">
        <v>0.123</v>
      </c>
      <c r="F1427" t="s">
        <v>182</v>
      </c>
    </row>
    <row r="1428" spans="1:6" x14ac:dyDescent="0.25">
      <c r="A1428" t="s">
        <v>192</v>
      </c>
      <c r="B1428" t="s">
        <v>170</v>
      </c>
      <c r="C1428" t="s">
        <v>136</v>
      </c>
      <c r="D1428">
        <v>2013</v>
      </c>
      <c r="E1428">
        <v>0.11600000000000001</v>
      </c>
      <c r="F1428" t="s">
        <v>182</v>
      </c>
    </row>
    <row r="1429" spans="1:6" x14ac:dyDescent="0.25">
      <c r="A1429" t="s">
        <v>192</v>
      </c>
      <c r="B1429" t="s">
        <v>170</v>
      </c>
      <c r="C1429" t="s">
        <v>136</v>
      </c>
      <c r="D1429">
        <v>2012</v>
      </c>
      <c r="E1429">
        <v>0.10199999999999999</v>
      </c>
      <c r="F1429" t="s">
        <v>182</v>
      </c>
    </row>
    <row r="1430" spans="1:6" x14ac:dyDescent="0.25">
      <c r="A1430" t="s">
        <v>192</v>
      </c>
      <c r="B1430" t="s">
        <v>170</v>
      </c>
      <c r="C1430" t="s">
        <v>136</v>
      </c>
      <c r="D1430">
        <v>2011</v>
      </c>
      <c r="E1430">
        <v>0.10100000000000001</v>
      </c>
      <c r="F1430" t="s">
        <v>182</v>
      </c>
    </row>
    <row r="1431" spans="1:6" x14ac:dyDescent="0.25">
      <c r="A1431" t="s">
        <v>192</v>
      </c>
      <c r="B1431" t="s">
        <v>170</v>
      </c>
      <c r="C1431" t="s">
        <v>136</v>
      </c>
      <c r="D1431">
        <v>2010</v>
      </c>
      <c r="E1431">
        <v>9.5000000000000001E-2</v>
      </c>
      <c r="F1431" t="s">
        <v>182</v>
      </c>
    </row>
    <row r="1432" spans="1:6" x14ac:dyDescent="0.25">
      <c r="A1432" t="s">
        <v>192</v>
      </c>
      <c r="B1432" t="s">
        <v>170</v>
      </c>
      <c r="C1432" t="s">
        <v>137</v>
      </c>
      <c r="D1432">
        <v>2014</v>
      </c>
      <c r="E1432">
        <v>5.8360000000000003</v>
      </c>
      <c r="F1432" t="s">
        <v>182</v>
      </c>
    </row>
    <row r="1433" spans="1:6" x14ac:dyDescent="0.25">
      <c r="A1433" t="s">
        <v>192</v>
      </c>
      <c r="B1433" t="s">
        <v>170</v>
      </c>
      <c r="C1433" t="s">
        <v>137</v>
      </c>
      <c r="D1433">
        <v>2013</v>
      </c>
      <c r="E1433">
        <v>5.9880000000000004</v>
      </c>
      <c r="F1433" t="s">
        <v>182</v>
      </c>
    </row>
    <row r="1434" spans="1:6" x14ac:dyDescent="0.25">
      <c r="A1434" t="s">
        <v>192</v>
      </c>
      <c r="B1434" t="s">
        <v>170</v>
      </c>
      <c r="C1434" t="s">
        <v>137</v>
      </c>
      <c r="D1434">
        <v>2012</v>
      </c>
      <c r="E1434">
        <v>5.9039999999999999</v>
      </c>
      <c r="F1434" t="s">
        <v>182</v>
      </c>
    </row>
    <row r="1435" spans="1:6" x14ac:dyDescent="0.25">
      <c r="A1435" t="s">
        <v>192</v>
      </c>
      <c r="B1435" t="s">
        <v>170</v>
      </c>
      <c r="C1435" t="s">
        <v>137</v>
      </c>
      <c r="D1435">
        <v>2011</v>
      </c>
      <c r="E1435">
        <v>5.4349999999999996</v>
      </c>
      <c r="F1435" t="s">
        <v>182</v>
      </c>
    </row>
    <row r="1436" spans="1:6" x14ac:dyDescent="0.25">
      <c r="A1436" t="s">
        <v>192</v>
      </c>
      <c r="B1436" t="s">
        <v>170</v>
      </c>
      <c r="C1436" t="s">
        <v>137</v>
      </c>
      <c r="D1436">
        <v>2010</v>
      </c>
      <c r="E1436">
        <v>6.1909999999999998</v>
      </c>
      <c r="F1436" t="s">
        <v>182</v>
      </c>
    </row>
    <row r="1437" spans="1:6" x14ac:dyDescent="0.25">
      <c r="A1437" t="s">
        <v>192</v>
      </c>
      <c r="B1437" t="s">
        <v>170</v>
      </c>
      <c r="C1437" t="s">
        <v>138</v>
      </c>
      <c r="D1437">
        <v>2014</v>
      </c>
      <c r="E1437">
        <v>0.35499999999999998</v>
      </c>
      <c r="F1437" t="s">
        <v>182</v>
      </c>
    </row>
    <row r="1438" spans="1:6" x14ac:dyDescent="0.25">
      <c r="A1438" t="s">
        <v>192</v>
      </c>
      <c r="B1438" t="s">
        <v>170</v>
      </c>
      <c r="C1438" t="s">
        <v>138</v>
      </c>
      <c r="D1438">
        <v>2013</v>
      </c>
      <c r="E1438">
        <v>0.26900000000000002</v>
      </c>
      <c r="F1438" t="s">
        <v>182</v>
      </c>
    </row>
    <row r="1439" spans="1:6" x14ac:dyDescent="0.25">
      <c r="A1439" t="s">
        <v>192</v>
      </c>
      <c r="B1439" t="s">
        <v>170</v>
      </c>
      <c r="C1439" t="s">
        <v>138</v>
      </c>
      <c r="D1439">
        <v>2012</v>
      </c>
      <c r="E1439">
        <v>0.23</v>
      </c>
      <c r="F1439" t="s">
        <v>182</v>
      </c>
    </row>
    <row r="1440" spans="1:6" x14ac:dyDescent="0.25">
      <c r="A1440" t="s">
        <v>192</v>
      </c>
      <c r="B1440" t="s">
        <v>170</v>
      </c>
      <c r="C1440" t="s">
        <v>138</v>
      </c>
      <c r="D1440">
        <v>2011</v>
      </c>
      <c r="E1440">
        <v>0.4</v>
      </c>
      <c r="F1440" t="s">
        <v>182</v>
      </c>
    </row>
    <row r="1441" spans="1:6" x14ac:dyDescent="0.25">
      <c r="A1441" t="s">
        <v>192</v>
      </c>
      <c r="B1441" t="s">
        <v>170</v>
      </c>
      <c r="C1441" t="s">
        <v>138</v>
      </c>
      <c r="D1441">
        <v>2010</v>
      </c>
      <c r="E1441">
        <v>0.51800000000000002</v>
      </c>
      <c r="F1441" t="s">
        <v>182</v>
      </c>
    </row>
    <row r="1442" spans="1:6" x14ac:dyDescent="0.25">
      <c r="A1442" t="s">
        <v>192</v>
      </c>
      <c r="B1442" t="s">
        <v>170</v>
      </c>
      <c r="C1442" t="s">
        <v>164</v>
      </c>
      <c r="D1442">
        <v>2014</v>
      </c>
      <c r="E1442">
        <v>0</v>
      </c>
      <c r="F1442" t="s">
        <v>182</v>
      </c>
    </row>
    <row r="1443" spans="1:6" x14ac:dyDescent="0.25">
      <c r="A1443" t="s">
        <v>192</v>
      </c>
      <c r="B1443" t="s">
        <v>170</v>
      </c>
      <c r="C1443" t="s">
        <v>164</v>
      </c>
      <c r="D1443">
        <v>2013</v>
      </c>
      <c r="E1443">
        <v>0</v>
      </c>
      <c r="F1443" t="s">
        <v>182</v>
      </c>
    </row>
    <row r="1444" spans="1:6" x14ac:dyDescent="0.25">
      <c r="A1444" t="s">
        <v>192</v>
      </c>
      <c r="B1444" t="s">
        <v>170</v>
      </c>
      <c r="C1444" t="s">
        <v>164</v>
      </c>
      <c r="D1444">
        <v>2012</v>
      </c>
      <c r="E1444">
        <v>0</v>
      </c>
      <c r="F1444" t="s">
        <v>182</v>
      </c>
    </row>
    <row r="1445" spans="1:6" x14ac:dyDescent="0.25">
      <c r="A1445" t="s">
        <v>192</v>
      </c>
      <c r="B1445" t="s">
        <v>170</v>
      </c>
      <c r="C1445" t="s">
        <v>164</v>
      </c>
      <c r="D1445">
        <v>2011</v>
      </c>
      <c r="E1445">
        <v>0</v>
      </c>
      <c r="F1445" t="s">
        <v>182</v>
      </c>
    </row>
    <row r="1446" spans="1:6" x14ac:dyDescent="0.25">
      <c r="A1446" t="s">
        <v>192</v>
      </c>
      <c r="B1446" t="s">
        <v>170</v>
      </c>
      <c r="C1446" t="s">
        <v>164</v>
      </c>
      <c r="D1446">
        <v>2010</v>
      </c>
      <c r="E1446">
        <v>0</v>
      </c>
      <c r="F1446" t="s">
        <v>182</v>
      </c>
    </row>
    <row r="1447" spans="1:6" x14ac:dyDescent="0.25">
      <c r="A1447" t="s">
        <v>192</v>
      </c>
      <c r="B1447" t="s">
        <v>170</v>
      </c>
      <c r="C1447" t="s">
        <v>139</v>
      </c>
      <c r="D1447">
        <v>2014</v>
      </c>
      <c r="E1447">
        <v>0</v>
      </c>
      <c r="F1447" t="s">
        <v>182</v>
      </c>
    </row>
    <row r="1448" spans="1:6" x14ac:dyDescent="0.25">
      <c r="A1448" t="s">
        <v>192</v>
      </c>
      <c r="B1448" t="s">
        <v>170</v>
      </c>
      <c r="C1448" t="s">
        <v>139</v>
      </c>
      <c r="D1448">
        <v>2013</v>
      </c>
      <c r="E1448">
        <v>0</v>
      </c>
      <c r="F1448" t="s">
        <v>182</v>
      </c>
    </row>
    <row r="1449" spans="1:6" x14ac:dyDescent="0.25">
      <c r="A1449" t="s">
        <v>192</v>
      </c>
      <c r="B1449" t="s">
        <v>170</v>
      </c>
      <c r="C1449" t="s">
        <v>139</v>
      </c>
      <c r="D1449">
        <v>2012</v>
      </c>
      <c r="E1449">
        <v>0</v>
      </c>
      <c r="F1449" t="s">
        <v>182</v>
      </c>
    </row>
    <row r="1450" spans="1:6" x14ac:dyDescent="0.25">
      <c r="A1450" t="s">
        <v>192</v>
      </c>
      <c r="B1450" t="s">
        <v>170</v>
      </c>
      <c r="C1450" t="s">
        <v>139</v>
      </c>
      <c r="D1450">
        <v>2011</v>
      </c>
      <c r="E1450">
        <v>0</v>
      </c>
      <c r="F1450" t="s">
        <v>182</v>
      </c>
    </row>
    <row r="1451" spans="1:6" x14ac:dyDescent="0.25">
      <c r="A1451" t="s">
        <v>192</v>
      </c>
      <c r="B1451" t="s">
        <v>170</v>
      </c>
      <c r="C1451" t="s">
        <v>139</v>
      </c>
      <c r="D1451">
        <v>2010</v>
      </c>
      <c r="E1451">
        <v>0</v>
      </c>
      <c r="F1451" t="s">
        <v>182</v>
      </c>
    </row>
    <row r="1452" spans="1:6" x14ac:dyDescent="0.25">
      <c r="A1452" t="s">
        <v>192</v>
      </c>
      <c r="B1452" t="s">
        <v>170</v>
      </c>
      <c r="C1452" t="s">
        <v>165</v>
      </c>
      <c r="D1452">
        <v>2014</v>
      </c>
      <c r="E1452">
        <v>0</v>
      </c>
      <c r="F1452" t="s">
        <v>182</v>
      </c>
    </row>
    <row r="1453" spans="1:6" x14ac:dyDescent="0.25">
      <c r="A1453" t="s">
        <v>192</v>
      </c>
      <c r="B1453" t="s">
        <v>170</v>
      </c>
      <c r="C1453" t="s">
        <v>165</v>
      </c>
      <c r="D1453">
        <v>2013</v>
      </c>
      <c r="E1453">
        <v>0</v>
      </c>
      <c r="F1453" t="s">
        <v>182</v>
      </c>
    </row>
    <row r="1454" spans="1:6" x14ac:dyDescent="0.25">
      <c r="A1454" t="s">
        <v>192</v>
      </c>
      <c r="B1454" t="s">
        <v>170</v>
      </c>
      <c r="C1454" t="s">
        <v>165</v>
      </c>
      <c r="D1454">
        <v>2012</v>
      </c>
      <c r="E1454">
        <v>0</v>
      </c>
      <c r="F1454" t="s">
        <v>182</v>
      </c>
    </row>
    <row r="1455" spans="1:6" x14ac:dyDescent="0.25">
      <c r="A1455" t="s">
        <v>192</v>
      </c>
      <c r="B1455" t="s">
        <v>170</v>
      </c>
      <c r="C1455" t="s">
        <v>165</v>
      </c>
      <c r="D1455">
        <v>2011</v>
      </c>
      <c r="E1455">
        <v>0</v>
      </c>
      <c r="F1455" t="s">
        <v>182</v>
      </c>
    </row>
    <row r="1456" spans="1:6" x14ac:dyDescent="0.25">
      <c r="A1456" t="s">
        <v>192</v>
      </c>
      <c r="B1456" t="s">
        <v>170</v>
      </c>
      <c r="C1456" t="s">
        <v>165</v>
      </c>
      <c r="D1456">
        <v>2010</v>
      </c>
      <c r="E1456">
        <v>0</v>
      </c>
      <c r="F1456" t="s">
        <v>182</v>
      </c>
    </row>
    <row r="1457" spans="1:6" x14ac:dyDescent="0.25">
      <c r="A1457" t="s">
        <v>192</v>
      </c>
      <c r="B1457" t="s">
        <v>170</v>
      </c>
      <c r="C1457" t="s">
        <v>140</v>
      </c>
      <c r="D1457">
        <v>2014</v>
      </c>
      <c r="E1457">
        <v>0.42199999999999999</v>
      </c>
      <c r="F1457" t="s">
        <v>182</v>
      </c>
    </row>
    <row r="1458" spans="1:6" x14ac:dyDescent="0.25">
      <c r="A1458" t="s">
        <v>192</v>
      </c>
      <c r="B1458" t="s">
        <v>170</v>
      </c>
      <c r="C1458" t="s">
        <v>140</v>
      </c>
      <c r="D1458">
        <v>2013</v>
      </c>
      <c r="E1458">
        <v>7.5999999999999998E-2</v>
      </c>
      <c r="F1458" t="s">
        <v>182</v>
      </c>
    </row>
    <row r="1459" spans="1:6" x14ac:dyDescent="0.25">
      <c r="A1459" t="s">
        <v>192</v>
      </c>
      <c r="B1459" t="s">
        <v>170</v>
      </c>
      <c r="C1459" t="s">
        <v>140</v>
      </c>
      <c r="D1459">
        <v>2012</v>
      </c>
      <c r="E1459">
        <v>2.3E-2</v>
      </c>
      <c r="F1459" t="s">
        <v>182</v>
      </c>
    </row>
    <row r="1460" spans="1:6" x14ac:dyDescent="0.25">
      <c r="A1460" t="s">
        <v>192</v>
      </c>
      <c r="B1460" t="s">
        <v>170</v>
      </c>
      <c r="C1460" t="s">
        <v>140</v>
      </c>
      <c r="D1460">
        <v>2011</v>
      </c>
      <c r="E1460">
        <v>5.3220000000000001</v>
      </c>
      <c r="F1460" t="s">
        <v>182</v>
      </c>
    </row>
    <row r="1461" spans="1:6" x14ac:dyDescent="0.25">
      <c r="A1461" t="s">
        <v>192</v>
      </c>
      <c r="B1461" t="s">
        <v>170</v>
      </c>
      <c r="C1461" t="s">
        <v>140</v>
      </c>
      <c r="D1461">
        <v>2010</v>
      </c>
      <c r="E1461">
        <v>5.5229999999999997</v>
      </c>
      <c r="F1461" t="s">
        <v>182</v>
      </c>
    </row>
    <row r="1462" spans="1:6" x14ac:dyDescent="0.25">
      <c r="A1462" t="s">
        <v>192</v>
      </c>
      <c r="B1462" t="s">
        <v>170</v>
      </c>
      <c r="C1462" t="s">
        <v>141</v>
      </c>
      <c r="D1462">
        <v>2014</v>
      </c>
      <c r="E1462">
        <v>8.0402000000000005</v>
      </c>
      <c r="F1462" t="s">
        <v>182</v>
      </c>
    </row>
    <row r="1463" spans="1:6" x14ac:dyDescent="0.25">
      <c r="A1463" t="s">
        <v>192</v>
      </c>
      <c r="B1463" t="s">
        <v>170</v>
      </c>
      <c r="C1463" t="s">
        <v>141</v>
      </c>
      <c r="D1463">
        <v>2013</v>
      </c>
      <c r="E1463">
        <v>7.8196000000000003</v>
      </c>
      <c r="F1463" t="s">
        <v>182</v>
      </c>
    </row>
    <row r="1464" spans="1:6" x14ac:dyDescent="0.25">
      <c r="A1464" t="s">
        <v>192</v>
      </c>
      <c r="B1464" t="s">
        <v>170</v>
      </c>
      <c r="C1464" t="s">
        <v>141</v>
      </c>
      <c r="D1464">
        <v>2012</v>
      </c>
      <c r="E1464">
        <v>7.3109999999999999</v>
      </c>
      <c r="F1464" t="s">
        <v>182</v>
      </c>
    </row>
    <row r="1465" spans="1:6" x14ac:dyDescent="0.25">
      <c r="A1465" t="s">
        <v>192</v>
      </c>
      <c r="B1465" t="s">
        <v>170</v>
      </c>
      <c r="C1465" t="s">
        <v>141</v>
      </c>
      <c r="D1465">
        <v>2011</v>
      </c>
      <c r="E1465">
        <v>6.3419999999999996</v>
      </c>
      <c r="F1465" t="s">
        <v>182</v>
      </c>
    </row>
    <row r="1466" spans="1:6" x14ac:dyDescent="0.25">
      <c r="A1466" t="s">
        <v>192</v>
      </c>
      <c r="B1466" t="s">
        <v>170</v>
      </c>
      <c r="C1466" t="s">
        <v>141</v>
      </c>
      <c r="D1466">
        <v>2010</v>
      </c>
      <c r="E1466">
        <v>6.452</v>
      </c>
      <c r="F1466" t="s">
        <v>182</v>
      </c>
    </row>
    <row r="1467" spans="1:6" x14ac:dyDescent="0.25">
      <c r="A1467" t="s">
        <v>192</v>
      </c>
      <c r="B1467" t="s">
        <v>170</v>
      </c>
      <c r="C1467" t="s">
        <v>142</v>
      </c>
      <c r="D1467">
        <v>2014</v>
      </c>
      <c r="E1467">
        <v>1.742</v>
      </c>
      <c r="F1467" t="s">
        <v>182</v>
      </c>
    </row>
    <row r="1468" spans="1:6" x14ac:dyDescent="0.25">
      <c r="A1468" t="s">
        <v>192</v>
      </c>
      <c r="B1468" t="s">
        <v>170</v>
      </c>
      <c r="C1468" t="s">
        <v>142</v>
      </c>
      <c r="D1468">
        <v>2013</v>
      </c>
      <c r="E1468">
        <v>2.0099999999999998</v>
      </c>
      <c r="F1468" t="s">
        <v>182</v>
      </c>
    </row>
    <row r="1469" spans="1:6" x14ac:dyDescent="0.25">
      <c r="A1469" t="s">
        <v>192</v>
      </c>
      <c r="B1469" t="s">
        <v>170</v>
      </c>
      <c r="C1469" t="s">
        <v>142</v>
      </c>
      <c r="D1469">
        <v>2012</v>
      </c>
      <c r="E1469">
        <v>1.7</v>
      </c>
      <c r="F1469" t="s">
        <v>182</v>
      </c>
    </row>
    <row r="1470" spans="1:6" x14ac:dyDescent="0.25">
      <c r="A1470" t="s">
        <v>192</v>
      </c>
      <c r="B1470" t="s">
        <v>170</v>
      </c>
      <c r="C1470" t="s">
        <v>142</v>
      </c>
      <c r="D1470">
        <v>2011</v>
      </c>
      <c r="E1470">
        <v>1.788</v>
      </c>
      <c r="F1470" t="s">
        <v>182</v>
      </c>
    </row>
    <row r="1471" spans="1:6" x14ac:dyDescent="0.25">
      <c r="A1471" t="s">
        <v>192</v>
      </c>
      <c r="B1471" t="s">
        <v>170</v>
      </c>
      <c r="C1471" t="s">
        <v>142</v>
      </c>
      <c r="D1471">
        <v>2010</v>
      </c>
      <c r="E1471">
        <v>1.893</v>
      </c>
      <c r="F1471" t="s">
        <v>182</v>
      </c>
    </row>
    <row r="1472" spans="1:6" x14ac:dyDescent="0.25">
      <c r="A1472" t="s">
        <v>192</v>
      </c>
      <c r="B1472" t="s">
        <v>170</v>
      </c>
      <c r="C1472" t="s">
        <v>166</v>
      </c>
      <c r="D1472">
        <v>2014</v>
      </c>
      <c r="E1472">
        <v>0</v>
      </c>
      <c r="F1472" t="s">
        <v>182</v>
      </c>
    </row>
    <row r="1473" spans="1:6" x14ac:dyDescent="0.25">
      <c r="A1473" t="s">
        <v>192</v>
      </c>
      <c r="B1473" t="s">
        <v>170</v>
      </c>
      <c r="C1473" t="s">
        <v>166</v>
      </c>
      <c r="D1473">
        <v>2013</v>
      </c>
      <c r="E1473">
        <v>0</v>
      </c>
      <c r="F1473" t="s">
        <v>182</v>
      </c>
    </row>
    <row r="1474" spans="1:6" x14ac:dyDescent="0.25">
      <c r="A1474" t="s">
        <v>192</v>
      </c>
      <c r="B1474" t="s">
        <v>170</v>
      </c>
      <c r="C1474" t="s">
        <v>166</v>
      </c>
      <c r="D1474">
        <v>2012</v>
      </c>
      <c r="E1474">
        <v>0</v>
      </c>
      <c r="F1474" t="s">
        <v>182</v>
      </c>
    </row>
    <row r="1475" spans="1:6" x14ac:dyDescent="0.25">
      <c r="A1475" t="s">
        <v>192</v>
      </c>
      <c r="B1475" t="s">
        <v>170</v>
      </c>
      <c r="C1475" t="s">
        <v>166</v>
      </c>
      <c r="D1475">
        <v>2011</v>
      </c>
      <c r="E1475">
        <v>0</v>
      </c>
      <c r="F1475" t="s">
        <v>182</v>
      </c>
    </row>
    <row r="1476" spans="1:6" x14ac:dyDescent="0.25">
      <c r="A1476" t="s">
        <v>192</v>
      </c>
      <c r="B1476" t="s">
        <v>170</v>
      </c>
      <c r="C1476" t="s">
        <v>166</v>
      </c>
      <c r="D1476">
        <v>2010</v>
      </c>
      <c r="E1476">
        <v>0</v>
      </c>
      <c r="F1476" t="s">
        <v>182</v>
      </c>
    </row>
    <row r="1477" spans="1:6" x14ac:dyDescent="0.25">
      <c r="A1477" t="s">
        <v>192</v>
      </c>
      <c r="B1477" t="s">
        <v>170</v>
      </c>
      <c r="C1477" t="s">
        <v>143</v>
      </c>
      <c r="D1477">
        <v>2014</v>
      </c>
      <c r="E1477">
        <v>2.0550000000000002</v>
      </c>
      <c r="F1477" t="s">
        <v>182</v>
      </c>
    </row>
    <row r="1478" spans="1:6" x14ac:dyDescent="0.25">
      <c r="A1478" t="s">
        <v>192</v>
      </c>
      <c r="B1478" t="s">
        <v>170</v>
      </c>
      <c r="C1478" t="s">
        <v>143</v>
      </c>
      <c r="D1478">
        <v>2013</v>
      </c>
      <c r="E1478">
        <v>1.728</v>
      </c>
      <c r="F1478" t="s">
        <v>182</v>
      </c>
    </row>
    <row r="1479" spans="1:6" x14ac:dyDescent="0.25">
      <c r="A1479" t="s">
        <v>192</v>
      </c>
      <c r="B1479" t="s">
        <v>170</v>
      </c>
      <c r="C1479" t="s">
        <v>143</v>
      </c>
      <c r="D1479">
        <v>2012</v>
      </c>
      <c r="E1479">
        <v>1.976</v>
      </c>
      <c r="F1479" t="s">
        <v>182</v>
      </c>
    </row>
    <row r="1480" spans="1:6" x14ac:dyDescent="0.25">
      <c r="A1480" t="s">
        <v>192</v>
      </c>
      <c r="B1480" t="s">
        <v>170</v>
      </c>
      <c r="C1480" t="s">
        <v>143</v>
      </c>
      <c r="D1480">
        <v>2011</v>
      </c>
      <c r="E1480">
        <v>2.8839999999999999</v>
      </c>
      <c r="F1480" t="s">
        <v>182</v>
      </c>
    </row>
    <row r="1481" spans="1:6" x14ac:dyDescent="0.25">
      <c r="A1481" t="s">
        <v>192</v>
      </c>
      <c r="B1481" t="s">
        <v>170</v>
      </c>
      <c r="C1481" t="s">
        <v>143</v>
      </c>
      <c r="D1481">
        <v>2010</v>
      </c>
      <c r="E1481">
        <v>1.7789999999999999</v>
      </c>
      <c r="F1481" t="s">
        <v>182</v>
      </c>
    </row>
    <row r="1482" spans="1:6" x14ac:dyDescent="0.25">
      <c r="A1482" t="s">
        <v>192</v>
      </c>
      <c r="B1482" t="s">
        <v>170</v>
      </c>
      <c r="C1482" t="s">
        <v>144</v>
      </c>
      <c r="D1482">
        <v>2014</v>
      </c>
      <c r="E1482">
        <v>0.09</v>
      </c>
      <c r="F1482" t="s">
        <v>182</v>
      </c>
    </row>
    <row r="1483" spans="1:6" x14ac:dyDescent="0.25">
      <c r="A1483" t="s">
        <v>192</v>
      </c>
      <c r="B1483" t="s">
        <v>170</v>
      </c>
      <c r="C1483" t="s">
        <v>144</v>
      </c>
      <c r="D1483">
        <v>2013</v>
      </c>
      <c r="E1483">
        <v>7.9000000000000001E-2</v>
      </c>
      <c r="F1483" t="s">
        <v>182</v>
      </c>
    </row>
    <row r="1484" spans="1:6" x14ac:dyDescent="0.25">
      <c r="A1484" t="s">
        <v>192</v>
      </c>
      <c r="B1484" t="s">
        <v>170</v>
      </c>
      <c r="C1484" t="s">
        <v>144</v>
      </c>
      <c r="D1484">
        <v>2012</v>
      </c>
      <c r="E1484">
        <v>7.2999999999999995E-2</v>
      </c>
      <c r="F1484" t="s">
        <v>182</v>
      </c>
    </row>
    <row r="1485" spans="1:6" x14ac:dyDescent="0.25">
      <c r="A1485" t="s">
        <v>192</v>
      </c>
      <c r="B1485" t="s">
        <v>170</v>
      </c>
      <c r="C1485" t="s">
        <v>144</v>
      </c>
      <c r="D1485">
        <v>2011</v>
      </c>
      <c r="E1485">
        <v>0.09</v>
      </c>
      <c r="F1485" t="s">
        <v>182</v>
      </c>
    </row>
    <row r="1486" spans="1:6" x14ac:dyDescent="0.25">
      <c r="A1486" t="s">
        <v>192</v>
      </c>
      <c r="B1486" t="s">
        <v>170</v>
      </c>
      <c r="C1486" t="s">
        <v>144</v>
      </c>
      <c r="D1486">
        <v>2010</v>
      </c>
      <c r="E1486">
        <v>8.4000000000000005E-2</v>
      </c>
      <c r="F1486" t="s">
        <v>182</v>
      </c>
    </row>
    <row r="1487" spans="1:6" x14ac:dyDescent="0.25">
      <c r="A1487" t="s">
        <v>192</v>
      </c>
      <c r="B1487" t="s">
        <v>170</v>
      </c>
      <c r="C1487" t="s">
        <v>145</v>
      </c>
      <c r="D1487">
        <v>2014</v>
      </c>
      <c r="E1487">
        <v>38.71</v>
      </c>
      <c r="F1487" t="s">
        <v>182</v>
      </c>
    </row>
    <row r="1488" spans="1:6" x14ac:dyDescent="0.25">
      <c r="A1488" t="s">
        <v>192</v>
      </c>
      <c r="B1488" t="s">
        <v>170</v>
      </c>
      <c r="C1488" t="s">
        <v>145</v>
      </c>
      <c r="D1488">
        <v>2013</v>
      </c>
      <c r="E1488">
        <v>42.128</v>
      </c>
      <c r="F1488" t="s">
        <v>182</v>
      </c>
    </row>
    <row r="1489" spans="1:6" x14ac:dyDescent="0.25">
      <c r="A1489" t="s">
        <v>192</v>
      </c>
      <c r="B1489" t="s">
        <v>170</v>
      </c>
      <c r="C1489" t="s">
        <v>145</v>
      </c>
      <c r="D1489">
        <v>2012</v>
      </c>
      <c r="E1489">
        <v>46.206200000000003</v>
      </c>
      <c r="F1489" t="s">
        <v>182</v>
      </c>
    </row>
    <row r="1490" spans="1:6" x14ac:dyDescent="0.25">
      <c r="A1490" t="s">
        <v>192</v>
      </c>
      <c r="B1490" t="s">
        <v>170</v>
      </c>
      <c r="C1490" t="s">
        <v>145</v>
      </c>
      <c r="D1490">
        <v>2011</v>
      </c>
      <c r="E1490">
        <v>49.485999999999997</v>
      </c>
      <c r="F1490" t="s">
        <v>182</v>
      </c>
    </row>
    <row r="1491" spans="1:6" x14ac:dyDescent="0.25">
      <c r="A1491" t="s">
        <v>192</v>
      </c>
      <c r="B1491" t="s">
        <v>170</v>
      </c>
      <c r="C1491" t="s">
        <v>145</v>
      </c>
      <c r="D1491">
        <v>2010</v>
      </c>
      <c r="E1491">
        <v>52.1004</v>
      </c>
      <c r="F1491" t="s">
        <v>182</v>
      </c>
    </row>
    <row r="1492" spans="1:6" x14ac:dyDescent="0.25">
      <c r="A1492" t="s">
        <v>192</v>
      </c>
      <c r="B1492" t="s">
        <v>170</v>
      </c>
      <c r="C1492" t="s">
        <v>146</v>
      </c>
      <c r="D1492">
        <v>2014</v>
      </c>
      <c r="E1492">
        <v>0.34899999999999998</v>
      </c>
      <c r="F1492" t="s">
        <v>182</v>
      </c>
    </row>
    <row r="1493" spans="1:6" x14ac:dyDescent="0.25">
      <c r="A1493" t="s">
        <v>192</v>
      </c>
      <c r="B1493" t="s">
        <v>170</v>
      </c>
      <c r="C1493" t="s">
        <v>146</v>
      </c>
      <c r="D1493">
        <v>2013</v>
      </c>
      <c r="E1493">
        <v>0.46100000000000002</v>
      </c>
      <c r="F1493" t="s">
        <v>182</v>
      </c>
    </row>
    <row r="1494" spans="1:6" x14ac:dyDescent="0.25">
      <c r="A1494" t="s">
        <v>192</v>
      </c>
      <c r="B1494" t="s">
        <v>170</v>
      </c>
      <c r="C1494" t="s">
        <v>146</v>
      </c>
      <c r="D1494">
        <v>2012</v>
      </c>
      <c r="E1494">
        <v>0.5</v>
      </c>
      <c r="F1494" t="s">
        <v>182</v>
      </c>
    </row>
    <row r="1495" spans="1:6" x14ac:dyDescent="0.25">
      <c r="A1495" t="s">
        <v>192</v>
      </c>
      <c r="B1495" t="s">
        <v>170</v>
      </c>
      <c r="C1495" t="s">
        <v>146</v>
      </c>
      <c r="D1495">
        <v>2011</v>
      </c>
      <c r="E1495">
        <v>0.41899999999999998</v>
      </c>
      <c r="F1495" t="s">
        <v>182</v>
      </c>
    </row>
    <row r="1496" spans="1:6" x14ac:dyDescent="0.25">
      <c r="A1496" t="s">
        <v>192</v>
      </c>
      <c r="B1496" t="s">
        <v>170</v>
      </c>
      <c r="C1496" t="s">
        <v>146</v>
      </c>
      <c r="D1496">
        <v>2010</v>
      </c>
      <c r="E1496">
        <v>0.35199999999999998</v>
      </c>
      <c r="F1496" t="s">
        <v>182</v>
      </c>
    </row>
    <row r="1497" spans="1:6" x14ac:dyDescent="0.25">
      <c r="A1497" t="s">
        <v>192</v>
      </c>
      <c r="B1497" t="s">
        <v>170</v>
      </c>
      <c r="C1497" t="s">
        <v>147</v>
      </c>
      <c r="D1497">
        <v>2014</v>
      </c>
      <c r="E1497">
        <v>2.4409999999999998</v>
      </c>
      <c r="F1497" t="s">
        <v>182</v>
      </c>
    </row>
    <row r="1498" spans="1:6" x14ac:dyDescent="0.25">
      <c r="A1498" t="s">
        <v>192</v>
      </c>
      <c r="B1498" t="s">
        <v>170</v>
      </c>
      <c r="C1498" t="s">
        <v>147</v>
      </c>
      <c r="D1498">
        <v>2013</v>
      </c>
      <c r="E1498">
        <v>3.1949999999999998</v>
      </c>
      <c r="F1498" t="s">
        <v>182</v>
      </c>
    </row>
    <row r="1499" spans="1:6" x14ac:dyDescent="0.25">
      <c r="A1499" t="s">
        <v>192</v>
      </c>
      <c r="B1499" t="s">
        <v>170</v>
      </c>
      <c r="C1499" t="s">
        <v>147</v>
      </c>
      <c r="D1499">
        <v>2012</v>
      </c>
      <c r="E1499">
        <v>3.1970000000000001</v>
      </c>
      <c r="F1499" t="s">
        <v>182</v>
      </c>
    </row>
    <row r="1500" spans="1:6" x14ac:dyDescent="0.25">
      <c r="A1500" t="s">
        <v>192</v>
      </c>
      <c r="B1500" t="s">
        <v>170</v>
      </c>
      <c r="C1500" t="s">
        <v>147</v>
      </c>
      <c r="D1500">
        <v>2011</v>
      </c>
      <c r="E1500">
        <v>3.028</v>
      </c>
      <c r="F1500" t="s">
        <v>182</v>
      </c>
    </row>
    <row r="1501" spans="1:6" x14ac:dyDescent="0.25">
      <c r="A1501" t="s">
        <v>192</v>
      </c>
      <c r="B1501" t="s">
        <v>170</v>
      </c>
      <c r="C1501" t="s">
        <v>147</v>
      </c>
      <c r="D1501">
        <v>2010</v>
      </c>
      <c r="E1501">
        <v>3.0430000000000001</v>
      </c>
      <c r="F1501" t="s">
        <v>182</v>
      </c>
    </row>
    <row r="1502" spans="1:6" x14ac:dyDescent="0.25">
      <c r="A1502" t="s">
        <v>192</v>
      </c>
      <c r="B1502" t="s">
        <v>170</v>
      </c>
      <c r="C1502" t="s">
        <v>167</v>
      </c>
      <c r="D1502">
        <v>2014</v>
      </c>
      <c r="E1502">
        <v>0</v>
      </c>
      <c r="F1502" t="s">
        <v>182</v>
      </c>
    </row>
    <row r="1503" spans="1:6" x14ac:dyDescent="0.25">
      <c r="A1503" t="s">
        <v>192</v>
      </c>
      <c r="B1503" t="s">
        <v>170</v>
      </c>
      <c r="C1503" t="s">
        <v>167</v>
      </c>
      <c r="D1503">
        <v>2013</v>
      </c>
      <c r="E1503">
        <v>0</v>
      </c>
      <c r="F1503" t="s">
        <v>182</v>
      </c>
    </row>
    <row r="1504" spans="1:6" x14ac:dyDescent="0.25">
      <c r="A1504" t="s">
        <v>192</v>
      </c>
      <c r="B1504" t="s">
        <v>170</v>
      </c>
      <c r="C1504" t="s">
        <v>167</v>
      </c>
      <c r="D1504">
        <v>2012</v>
      </c>
      <c r="E1504">
        <v>0</v>
      </c>
      <c r="F1504" t="s">
        <v>182</v>
      </c>
    </row>
    <row r="1505" spans="1:6" x14ac:dyDescent="0.25">
      <c r="A1505" t="s">
        <v>192</v>
      </c>
      <c r="B1505" t="s">
        <v>170</v>
      </c>
      <c r="C1505" t="s">
        <v>167</v>
      </c>
      <c r="D1505">
        <v>2011</v>
      </c>
      <c r="E1505">
        <v>0</v>
      </c>
      <c r="F1505" t="s">
        <v>182</v>
      </c>
    </row>
    <row r="1506" spans="1:6" x14ac:dyDescent="0.25">
      <c r="A1506" t="s">
        <v>192</v>
      </c>
      <c r="B1506" t="s">
        <v>170</v>
      </c>
      <c r="C1506" t="s">
        <v>167</v>
      </c>
      <c r="D1506">
        <v>2010</v>
      </c>
      <c r="E1506">
        <v>0</v>
      </c>
      <c r="F1506" t="s">
        <v>182</v>
      </c>
    </row>
    <row r="1507" spans="1:6" x14ac:dyDescent="0.25">
      <c r="A1507" t="s">
        <v>192</v>
      </c>
      <c r="B1507" t="s">
        <v>170</v>
      </c>
      <c r="C1507" t="s">
        <v>168</v>
      </c>
      <c r="D1507">
        <v>2014</v>
      </c>
      <c r="E1507">
        <v>1.4259999999999999</v>
      </c>
      <c r="F1507" t="s">
        <v>182</v>
      </c>
    </row>
    <row r="1508" spans="1:6" x14ac:dyDescent="0.25">
      <c r="A1508" t="s">
        <v>192</v>
      </c>
      <c r="B1508" t="s">
        <v>170</v>
      </c>
      <c r="C1508" t="s">
        <v>168</v>
      </c>
      <c r="D1508">
        <v>2013</v>
      </c>
      <c r="E1508">
        <v>3.194</v>
      </c>
      <c r="F1508" t="s">
        <v>182</v>
      </c>
    </row>
    <row r="1509" spans="1:6" x14ac:dyDescent="0.25">
      <c r="A1509" t="s">
        <v>192</v>
      </c>
      <c r="B1509" t="s">
        <v>170</v>
      </c>
      <c r="C1509" t="s">
        <v>168</v>
      </c>
      <c r="D1509">
        <v>2012</v>
      </c>
      <c r="E1509">
        <v>2.109</v>
      </c>
      <c r="F1509" t="s">
        <v>182</v>
      </c>
    </row>
    <row r="1510" spans="1:6" x14ac:dyDescent="0.25">
      <c r="A1510" t="s">
        <v>192</v>
      </c>
      <c r="B1510" t="s">
        <v>170</v>
      </c>
      <c r="C1510" t="s">
        <v>168</v>
      </c>
      <c r="D1510">
        <v>2011</v>
      </c>
      <c r="E1510">
        <v>1.964</v>
      </c>
      <c r="F1510" t="s">
        <v>182</v>
      </c>
    </row>
    <row r="1511" spans="1:6" x14ac:dyDescent="0.25">
      <c r="A1511" t="s">
        <v>192</v>
      </c>
      <c r="B1511" t="s">
        <v>170</v>
      </c>
      <c r="C1511" t="s">
        <v>168</v>
      </c>
      <c r="D1511">
        <v>2010</v>
      </c>
      <c r="E1511">
        <v>2.7549999999999999</v>
      </c>
      <c r="F1511" t="s">
        <v>182</v>
      </c>
    </row>
    <row r="1512" spans="1:6" x14ac:dyDescent="0.25">
      <c r="A1512" t="s">
        <v>192</v>
      </c>
      <c r="B1512" t="s">
        <v>170</v>
      </c>
      <c r="C1512" t="s">
        <v>148</v>
      </c>
      <c r="D1512">
        <v>2014</v>
      </c>
      <c r="E1512">
        <v>1.583</v>
      </c>
      <c r="F1512" t="s">
        <v>182</v>
      </c>
    </row>
    <row r="1513" spans="1:6" x14ac:dyDescent="0.25">
      <c r="A1513" t="s">
        <v>192</v>
      </c>
      <c r="B1513" t="s">
        <v>170</v>
      </c>
      <c r="C1513" t="s">
        <v>148</v>
      </c>
      <c r="D1513">
        <v>2013</v>
      </c>
      <c r="E1513">
        <v>1.4019999999999999</v>
      </c>
      <c r="F1513" t="s">
        <v>182</v>
      </c>
    </row>
    <row r="1514" spans="1:6" x14ac:dyDescent="0.25">
      <c r="A1514" t="s">
        <v>192</v>
      </c>
      <c r="B1514" t="s">
        <v>170</v>
      </c>
      <c r="C1514" t="s">
        <v>148</v>
      </c>
      <c r="D1514">
        <v>2012</v>
      </c>
      <c r="E1514">
        <v>3.5760000000000001</v>
      </c>
      <c r="F1514" t="s">
        <v>182</v>
      </c>
    </row>
    <row r="1515" spans="1:6" x14ac:dyDescent="0.25">
      <c r="A1515" t="s">
        <v>192</v>
      </c>
      <c r="B1515" t="s">
        <v>170</v>
      </c>
      <c r="C1515" t="s">
        <v>148</v>
      </c>
      <c r="D1515">
        <v>2011</v>
      </c>
      <c r="E1515">
        <v>2.8039999999999998</v>
      </c>
      <c r="F1515" t="s">
        <v>182</v>
      </c>
    </row>
    <row r="1516" spans="1:6" x14ac:dyDescent="0.25">
      <c r="A1516" t="s">
        <v>192</v>
      </c>
      <c r="B1516" t="s">
        <v>170</v>
      </c>
      <c r="C1516" t="s">
        <v>148</v>
      </c>
      <c r="D1516">
        <v>2010</v>
      </c>
      <c r="E1516">
        <v>1.0069999999999999</v>
      </c>
      <c r="F1516" t="s">
        <v>182</v>
      </c>
    </row>
    <row r="1517" spans="1:6" x14ac:dyDescent="0.25">
      <c r="A1517" t="s">
        <v>192</v>
      </c>
      <c r="B1517" t="s">
        <v>170</v>
      </c>
      <c r="C1517" t="s">
        <v>149</v>
      </c>
      <c r="D1517">
        <v>2014</v>
      </c>
      <c r="E1517">
        <v>0</v>
      </c>
      <c r="F1517" t="s">
        <v>182</v>
      </c>
    </row>
    <row r="1518" spans="1:6" x14ac:dyDescent="0.25">
      <c r="A1518" t="s">
        <v>192</v>
      </c>
      <c r="B1518" t="s">
        <v>170</v>
      </c>
      <c r="C1518" t="s">
        <v>149</v>
      </c>
      <c r="D1518">
        <v>2013</v>
      </c>
      <c r="E1518">
        <v>0</v>
      </c>
      <c r="F1518" t="s">
        <v>182</v>
      </c>
    </row>
    <row r="1519" spans="1:6" x14ac:dyDescent="0.25">
      <c r="A1519" t="s">
        <v>192</v>
      </c>
      <c r="B1519" t="s">
        <v>170</v>
      </c>
      <c r="C1519" t="s">
        <v>149</v>
      </c>
      <c r="D1519">
        <v>2012</v>
      </c>
      <c r="E1519">
        <v>0</v>
      </c>
      <c r="F1519" t="s">
        <v>182</v>
      </c>
    </row>
    <row r="1520" spans="1:6" x14ac:dyDescent="0.25">
      <c r="A1520" t="s">
        <v>192</v>
      </c>
      <c r="B1520" t="s">
        <v>170</v>
      </c>
      <c r="C1520" t="s">
        <v>149</v>
      </c>
      <c r="D1520">
        <v>2011</v>
      </c>
      <c r="E1520">
        <v>0</v>
      </c>
      <c r="F1520" t="s">
        <v>182</v>
      </c>
    </row>
    <row r="1521" spans="1:6" x14ac:dyDescent="0.25">
      <c r="A1521" t="s">
        <v>192</v>
      </c>
      <c r="B1521" t="s">
        <v>170</v>
      </c>
      <c r="C1521" t="s">
        <v>149</v>
      </c>
      <c r="D1521">
        <v>2010</v>
      </c>
      <c r="E1521">
        <v>0</v>
      </c>
      <c r="F1521" t="s">
        <v>182</v>
      </c>
    </row>
    <row r="1522" spans="1:6" x14ac:dyDescent="0.25">
      <c r="A1522" t="s">
        <v>192</v>
      </c>
      <c r="B1522" t="s">
        <v>170</v>
      </c>
      <c r="C1522" t="s">
        <v>121</v>
      </c>
      <c r="D1522">
        <v>2014</v>
      </c>
      <c r="E1522">
        <v>0</v>
      </c>
      <c r="F1522" t="s">
        <v>180</v>
      </c>
    </row>
    <row r="1523" spans="1:6" x14ac:dyDescent="0.25">
      <c r="A1523" t="s">
        <v>192</v>
      </c>
      <c r="B1523" t="s">
        <v>170</v>
      </c>
      <c r="C1523" t="s">
        <v>121</v>
      </c>
      <c r="D1523">
        <v>2013</v>
      </c>
      <c r="E1523">
        <v>0</v>
      </c>
      <c r="F1523" t="s">
        <v>180</v>
      </c>
    </row>
    <row r="1524" spans="1:6" x14ac:dyDescent="0.25">
      <c r="A1524" t="s">
        <v>192</v>
      </c>
      <c r="B1524" t="s">
        <v>170</v>
      </c>
      <c r="C1524" t="s">
        <v>121</v>
      </c>
      <c r="D1524">
        <v>2012</v>
      </c>
      <c r="E1524">
        <v>0</v>
      </c>
      <c r="F1524" t="s">
        <v>180</v>
      </c>
    </row>
    <row r="1525" spans="1:6" x14ac:dyDescent="0.25">
      <c r="A1525" t="s">
        <v>192</v>
      </c>
      <c r="B1525" t="s">
        <v>170</v>
      </c>
      <c r="C1525" t="s">
        <v>121</v>
      </c>
      <c r="D1525">
        <v>2011</v>
      </c>
      <c r="E1525">
        <v>0</v>
      </c>
      <c r="F1525" t="s">
        <v>180</v>
      </c>
    </row>
    <row r="1526" spans="1:6" x14ac:dyDescent="0.25">
      <c r="A1526" t="s">
        <v>192</v>
      </c>
      <c r="B1526" t="s">
        <v>170</v>
      </c>
      <c r="C1526" t="s">
        <v>121</v>
      </c>
      <c r="D1526">
        <v>2010</v>
      </c>
      <c r="E1526">
        <v>0</v>
      </c>
      <c r="F1526" t="s">
        <v>180</v>
      </c>
    </row>
    <row r="1527" spans="1:6" x14ac:dyDescent="0.25">
      <c r="A1527" t="s">
        <v>192</v>
      </c>
      <c r="B1527" t="s">
        <v>170</v>
      </c>
      <c r="C1527" t="s">
        <v>122</v>
      </c>
      <c r="D1527">
        <v>2014</v>
      </c>
      <c r="E1527">
        <v>6.8000000000000005E-2</v>
      </c>
      <c r="F1527" t="s">
        <v>180</v>
      </c>
    </row>
    <row r="1528" spans="1:6" x14ac:dyDescent="0.25">
      <c r="A1528" t="s">
        <v>192</v>
      </c>
      <c r="B1528" t="s">
        <v>170</v>
      </c>
      <c r="C1528" t="s">
        <v>122</v>
      </c>
      <c r="D1528">
        <v>2013</v>
      </c>
      <c r="E1528">
        <v>6.3E-2</v>
      </c>
      <c r="F1528" t="s">
        <v>180</v>
      </c>
    </row>
    <row r="1529" spans="1:6" x14ac:dyDescent="0.25">
      <c r="A1529" t="s">
        <v>192</v>
      </c>
      <c r="B1529" t="s">
        <v>170</v>
      </c>
      <c r="C1529" t="s">
        <v>122</v>
      </c>
      <c r="D1529">
        <v>2012</v>
      </c>
      <c r="E1529">
        <v>6.3E-2</v>
      </c>
      <c r="F1529" t="s">
        <v>180</v>
      </c>
    </row>
    <row r="1530" spans="1:6" x14ac:dyDescent="0.25">
      <c r="A1530" t="s">
        <v>192</v>
      </c>
      <c r="B1530" t="s">
        <v>170</v>
      </c>
      <c r="C1530" t="s">
        <v>122</v>
      </c>
      <c r="D1530">
        <v>2011</v>
      </c>
      <c r="E1530">
        <v>5.7000000000000002E-2</v>
      </c>
      <c r="F1530" t="s">
        <v>180</v>
      </c>
    </row>
    <row r="1531" spans="1:6" x14ac:dyDescent="0.25">
      <c r="A1531" t="s">
        <v>192</v>
      </c>
      <c r="B1531" t="s">
        <v>170</v>
      </c>
      <c r="C1531" t="s">
        <v>122</v>
      </c>
      <c r="D1531">
        <v>2010</v>
      </c>
      <c r="E1531">
        <v>4.8000000000000001E-2</v>
      </c>
      <c r="F1531" t="s">
        <v>180</v>
      </c>
    </row>
    <row r="1532" spans="1:6" x14ac:dyDescent="0.25">
      <c r="A1532" t="s">
        <v>192</v>
      </c>
      <c r="B1532" t="s">
        <v>170</v>
      </c>
      <c r="C1532" t="s">
        <v>123</v>
      </c>
      <c r="D1532">
        <v>2014</v>
      </c>
      <c r="E1532">
        <v>0</v>
      </c>
      <c r="F1532" t="s">
        <v>180</v>
      </c>
    </row>
    <row r="1533" spans="1:6" x14ac:dyDescent="0.25">
      <c r="A1533" t="s">
        <v>192</v>
      </c>
      <c r="B1533" t="s">
        <v>170</v>
      </c>
      <c r="C1533" t="s">
        <v>123</v>
      </c>
      <c r="D1533">
        <v>2013</v>
      </c>
      <c r="E1533">
        <v>0</v>
      </c>
      <c r="F1533" t="s">
        <v>180</v>
      </c>
    </row>
    <row r="1534" spans="1:6" x14ac:dyDescent="0.25">
      <c r="A1534" t="s">
        <v>192</v>
      </c>
      <c r="B1534" t="s">
        <v>170</v>
      </c>
      <c r="C1534" t="s">
        <v>123</v>
      </c>
      <c r="D1534">
        <v>2012</v>
      </c>
      <c r="E1534">
        <v>0</v>
      </c>
      <c r="F1534" t="s">
        <v>180</v>
      </c>
    </row>
    <row r="1535" spans="1:6" x14ac:dyDescent="0.25">
      <c r="A1535" t="s">
        <v>192</v>
      </c>
      <c r="B1535" t="s">
        <v>170</v>
      </c>
      <c r="C1535" t="s">
        <v>123</v>
      </c>
      <c r="D1535">
        <v>2011</v>
      </c>
      <c r="E1535">
        <v>0</v>
      </c>
      <c r="F1535" t="s">
        <v>180</v>
      </c>
    </row>
    <row r="1536" spans="1:6" x14ac:dyDescent="0.25">
      <c r="A1536" t="s">
        <v>192</v>
      </c>
      <c r="B1536" t="s">
        <v>170</v>
      </c>
      <c r="C1536" t="s">
        <v>123</v>
      </c>
      <c r="D1536">
        <v>2010</v>
      </c>
      <c r="E1536">
        <v>0</v>
      </c>
      <c r="F1536" t="s">
        <v>180</v>
      </c>
    </row>
    <row r="1537" spans="1:6" x14ac:dyDescent="0.25">
      <c r="A1537" t="s">
        <v>192</v>
      </c>
      <c r="B1537" t="s">
        <v>170</v>
      </c>
      <c r="C1537" t="s">
        <v>124</v>
      </c>
      <c r="D1537">
        <v>2014</v>
      </c>
      <c r="E1537">
        <v>0</v>
      </c>
      <c r="F1537" t="s">
        <v>180</v>
      </c>
    </row>
    <row r="1538" spans="1:6" x14ac:dyDescent="0.25">
      <c r="A1538" t="s">
        <v>192</v>
      </c>
      <c r="B1538" t="s">
        <v>170</v>
      </c>
      <c r="C1538" t="s">
        <v>124</v>
      </c>
      <c r="D1538">
        <v>2013</v>
      </c>
      <c r="E1538">
        <v>0</v>
      </c>
      <c r="F1538" t="s">
        <v>180</v>
      </c>
    </row>
    <row r="1539" spans="1:6" x14ac:dyDescent="0.25">
      <c r="A1539" t="s">
        <v>192</v>
      </c>
      <c r="B1539" t="s">
        <v>170</v>
      </c>
      <c r="C1539" t="s">
        <v>124</v>
      </c>
      <c r="D1539">
        <v>2012</v>
      </c>
      <c r="E1539">
        <v>0</v>
      </c>
      <c r="F1539" t="s">
        <v>180</v>
      </c>
    </row>
    <row r="1540" spans="1:6" x14ac:dyDescent="0.25">
      <c r="A1540" t="s">
        <v>192</v>
      </c>
      <c r="B1540" t="s">
        <v>170</v>
      </c>
      <c r="C1540" t="s">
        <v>124</v>
      </c>
      <c r="D1540">
        <v>2011</v>
      </c>
      <c r="E1540">
        <v>0</v>
      </c>
      <c r="F1540" t="s">
        <v>180</v>
      </c>
    </row>
    <row r="1541" spans="1:6" x14ac:dyDescent="0.25">
      <c r="A1541" t="s">
        <v>192</v>
      </c>
      <c r="B1541" t="s">
        <v>170</v>
      </c>
      <c r="C1541" t="s">
        <v>124</v>
      </c>
      <c r="D1541">
        <v>2010</v>
      </c>
      <c r="E1541">
        <v>0</v>
      </c>
      <c r="F1541" t="s">
        <v>180</v>
      </c>
    </row>
    <row r="1542" spans="1:6" x14ac:dyDescent="0.25">
      <c r="A1542" t="s">
        <v>192</v>
      </c>
      <c r="B1542" t="s">
        <v>170</v>
      </c>
      <c r="C1542" t="s">
        <v>160</v>
      </c>
      <c r="D1542">
        <v>2014</v>
      </c>
      <c r="E1542">
        <v>0</v>
      </c>
      <c r="F1542" t="s">
        <v>180</v>
      </c>
    </row>
    <row r="1543" spans="1:6" x14ac:dyDescent="0.25">
      <c r="A1543" t="s">
        <v>192</v>
      </c>
      <c r="B1543" t="s">
        <v>170</v>
      </c>
      <c r="C1543" t="s">
        <v>160</v>
      </c>
      <c r="D1543">
        <v>2013</v>
      </c>
      <c r="E1543">
        <v>0</v>
      </c>
      <c r="F1543" t="s">
        <v>180</v>
      </c>
    </row>
    <row r="1544" spans="1:6" x14ac:dyDescent="0.25">
      <c r="A1544" t="s">
        <v>192</v>
      </c>
      <c r="B1544" t="s">
        <v>170</v>
      </c>
      <c r="C1544" t="s">
        <v>160</v>
      </c>
      <c r="D1544">
        <v>2012</v>
      </c>
      <c r="E1544">
        <v>0</v>
      </c>
      <c r="F1544" t="s">
        <v>180</v>
      </c>
    </row>
    <row r="1545" spans="1:6" x14ac:dyDescent="0.25">
      <c r="A1545" t="s">
        <v>192</v>
      </c>
      <c r="B1545" t="s">
        <v>170</v>
      </c>
      <c r="C1545" t="s">
        <v>160</v>
      </c>
      <c r="D1545">
        <v>2011</v>
      </c>
      <c r="E1545">
        <v>0</v>
      </c>
      <c r="F1545" t="s">
        <v>180</v>
      </c>
    </row>
    <row r="1546" spans="1:6" x14ac:dyDescent="0.25">
      <c r="A1546" t="s">
        <v>192</v>
      </c>
      <c r="B1546" t="s">
        <v>170</v>
      </c>
      <c r="C1546" t="s">
        <v>160</v>
      </c>
      <c r="D1546">
        <v>2010</v>
      </c>
      <c r="E1546">
        <v>0</v>
      </c>
      <c r="F1546" t="s">
        <v>180</v>
      </c>
    </row>
    <row r="1547" spans="1:6" x14ac:dyDescent="0.25">
      <c r="A1547" t="s">
        <v>192</v>
      </c>
      <c r="B1547" t="s">
        <v>170</v>
      </c>
      <c r="C1547" t="s">
        <v>125</v>
      </c>
      <c r="D1547">
        <v>2014</v>
      </c>
      <c r="E1547">
        <v>0</v>
      </c>
      <c r="F1547" t="s">
        <v>180</v>
      </c>
    </row>
    <row r="1548" spans="1:6" x14ac:dyDescent="0.25">
      <c r="A1548" t="s">
        <v>192</v>
      </c>
      <c r="B1548" t="s">
        <v>170</v>
      </c>
      <c r="C1548" t="s">
        <v>125</v>
      </c>
      <c r="D1548">
        <v>2013</v>
      </c>
      <c r="E1548">
        <v>0</v>
      </c>
      <c r="F1548" t="s">
        <v>180</v>
      </c>
    </row>
    <row r="1549" spans="1:6" x14ac:dyDescent="0.25">
      <c r="A1549" t="s">
        <v>192</v>
      </c>
      <c r="B1549" t="s">
        <v>170</v>
      </c>
      <c r="C1549" t="s">
        <v>125</v>
      </c>
      <c r="D1549">
        <v>2012</v>
      </c>
      <c r="E1549">
        <v>0</v>
      </c>
      <c r="F1549" t="s">
        <v>180</v>
      </c>
    </row>
    <row r="1550" spans="1:6" x14ac:dyDescent="0.25">
      <c r="A1550" t="s">
        <v>192</v>
      </c>
      <c r="B1550" t="s">
        <v>170</v>
      </c>
      <c r="C1550" t="s">
        <v>125</v>
      </c>
      <c r="D1550">
        <v>2011</v>
      </c>
      <c r="E1550">
        <v>0</v>
      </c>
      <c r="F1550" t="s">
        <v>180</v>
      </c>
    </row>
    <row r="1551" spans="1:6" x14ac:dyDescent="0.25">
      <c r="A1551" t="s">
        <v>192</v>
      </c>
      <c r="B1551" t="s">
        <v>170</v>
      </c>
      <c r="C1551" t="s">
        <v>125</v>
      </c>
      <c r="D1551">
        <v>2010</v>
      </c>
      <c r="E1551">
        <v>0</v>
      </c>
      <c r="F1551" t="s">
        <v>180</v>
      </c>
    </row>
    <row r="1552" spans="1:6" x14ac:dyDescent="0.25">
      <c r="A1552" t="s">
        <v>192</v>
      </c>
      <c r="B1552" t="s">
        <v>170</v>
      </c>
      <c r="C1552" t="s">
        <v>126</v>
      </c>
      <c r="D1552">
        <v>2014</v>
      </c>
      <c r="E1552">
        <v>1.0999999999999999E-2</v>
      </c>
      <c r="F1552" t="s">
        <v>180</v>
      </c>
    </row>
    <row r="1553" spans="1:6" x14ac:dyDescent="0.25">
      <c r="A1553" t="s">
        <v>192</v>
      </c>
      <c r="B1553" t="s">
        <v>170</v>
      </c>
      <c r="C1553" t="s">
        <v>126</v>
      </c>
      <c r="D1553">
        <v>2013</v>
      </c>
      <c r="E1553">
        <v>1E-3</v>
      </c>
      <c r="F1553" t="s">
        <v>180</v>
      </c>
    </row>
    <row r="1554" spans="1:6" x14ac:dyDescent="0.25">
      <c r="A1554" t="s">
        <v>192</v>
      </c>
      <c r="B1554" t="s">
        <v>170</v>
      </c>
      <c r="C1554" t="s">
        <v>126</v>
      </c>
      <c r="D1554">
        <v>2012</v>
      </c>
      <c r="E1554">
        <v>1.0999999999999999E-2</v>
      </c>
      <c r="F1554" t="s">
        <v>180</v>
      </c>
    </row>
    <row r="1555" spans="1:6" x14ac:dyDescent="0.25">
      <c r="A1555" t="s">
        <v>192</v>
      </c>
      <c r="B1555" t="s">
        <v>170</v>
      </c>
      <c r="C1555" t="s">
        <v>126</v>
      </c>
      <c r="D1555">
        <v>2011</v>
      </c>
      <c r="E1555">
        <v>0</v>
      </c>
      <c r="F1555" t="s">
        <v>180</v>
      </c>
    </row>
    <row r="1556" spans="1:6" x14ac:dyDescent="0.25">
      <c r="A1556" t="s">
        <v>192</v>
      </c>
      <c r="B1556" t="s">
        <v>170</v>
      </c>
      <c r="C1556" t="s">
        <v>126</v>
      </c>
      <c r="D1556">
        <v>2010</v>
      </c>
      <c r="E1556">
        <v>0</v>
      </c>
      <c r="F1556" t="s">
        <v>180</v>
      </c>
    </row>
    <row r="1557" spans="1:6" x14ac:dyDescent="0.25">
      <c r="A1557" t="s">
        <v>192</v>
      </c>
      <c r="B1557" t="s">
        <v>170</v>
      </c>
      <c r="C1557" t="s">
        <v>127</v>
      </c>
      <c r="D1557">
        <v>2014</v>
      </c>
      <c r="E1557">
        <v>0.66200000000000003</v>
      </c>
      <c r="F1557" t="s">
        <v>180</v>
      </c>
    </row>
    <row r="1558" spans="1:6" x14ac:dyDescent="0.25">
      <c r="A1558" t="s">
        <v>192</v>
      </c>
      <c r="B1558" t="s">
        <v>170</v>
      </c>
      <c r="C1558" t="s">
        <v>127</v>
      </c>
      <c r="D1558">
        <v>2013</v>
      </c>
      <c r="E1558">
        <v>0.47499999999999998</v>
      </c>
      <c r="F1558" t="s">
        <v>180</v>
      </c>
    </row>
    <row r="1559" spans="1:6" x14ac:dyDescent="0.25">
      <c r="A1559" t="s">
        <v>192</v>
      </c>
      <c r="B1559" t="s">
        <v>170</v>
      </c>
      <c r="C1559" t="s">
        <v>127</v>
      </c>
      <c r="D1559">
        <v>2012</v>
      </c>
      <c r="E1559">
        <v>0.34499999999999997</v>
      </c>
      <c r="F1559" t="s">
        <v>180</v>
      </c>
    </row>
    <row r="1560" spans="1:6" x14ac:dyDescent="0.25">
      <c r="A1560" t="s">
        <v>192</v>
      </c>
      <c r="B1560" t="s">
        <v>170</v>
      </c>
      <c r="C1560" t="s">
        <v>127</v>
      </c>
      <c r="D1560">
        <v>2011</v>
      </c>
      <c r="E1560">
        <v>0.217</v>
      </c>
      <c r="F1560" t="s">
        <v>180</v>
      </c>
    </row>
    <row r="1561" spans="1:6" x14ac:dyDescent="0.25">
      <c r="A1561" t="s">
        <v>192</v>
      </c>
      <c r="B1561" t="s">
        <v>170</v>
      </c>
      <c r="C1561" t="s">
        <v>127</v>
      </c>
      <c r="D1561">
        <v>2010</v>
      </c>
      <c r="E1561">
        <v>0.14299999999999999</v>
      </c>
      <c r="F1561" t="s">
        <v>180</v>
      </c>
    </row>
    <row r="1562" spans="1:6" x14ac:dyDescent="0.25">
      <c r="A1562" t="s">
        <v>192</v>
      </c>
      <c r="B1562" t="s">
        <v>170</v>
      </c>
      <c r="C1562" t="s">
        <v>128</v>
      </c>
      <c r="D1562">
        <v>2014</v>
      </c>
      <c r="E1562">
        <v>0</v>
      </c>
      <c r="F1562" t="s">
        <v>180</v>
      </c>
    </row>
    <row r="1563" spans="1:6" x14ac:dyDescent="0.25">
      <c r="A1563" t="s">
        <v>192</v>
      </c>
      <c r="B1563" t="s">
        <v>170</v>
      </c>
      <c r="C1563" t="s">
        <v>128</v>
      </c>
      <c r="D1563">
        <v>2013</v>
      </c>
      <c r="E1563">
        <v>0</v>
      </c>
      <c r="F1563" t="s">
        <v>180</v>
      </c>
    </row>
    <row r="1564" spans="1:6" x14ac:dyDescent="0.25">
      <c r="A1564" t="s">
        <v>192</v>
      </c>
      <c r="B1564" t="s">
        <v>170</v>
      </c>
      <c r="C1564" t="s">
        <v>128</v>
      </c>
      <c r="D1564">
        <v>2012</v>
      </c>
      <c r="E1564">
        <v>0</v>
      </c>
      <c r="F1564" t="s">
        <v>180</v>
      </c>
    </row>
    <row r="1565" spans="1:6" x14ac:dyDescent="0.25">
      <c r="A1565" t="s">
        <v>192</v>
      </c>
      <c r="B1565" t="s">
        <v>170</v>
      </c>
      <c r="C1565" t="s">
        <v>128</v>
      </c>
      <c r="D1565">
        <v>2011</v>
      </c>
      <c r="E1565">
        <v>0</v>
      </c>
      <c r="F1565" t="s">
        <v>180</v>
      </c>
    </row>
    <row r="1566" spans="1:6" x14ac:dyDescent="0.25">
      <c r="A1566" t="s">
        <v>192</v>
      </c>
      <c r="B1566" t="s">
        <v>170</v>
      </c>
      <c r="C1566" t="s">
        <v>128</v>
      </c>
      <c r="D1566">
        <v>2010</v>
      </c>
      <c r="E1566">
        <v>0</v>
      </c>
      <c r="F1566" t="s">
        <v>180</v>
      </c>
    </row>
    <row r="1567" spans="1:6" x14ac:dyDescent="0.25">
      <c r="A1567" t="s">
        <v>192</v>
      </c>
      <c r="B1567" t="s">
        <v>170</v>
      </c>
      <c r="C1567" t="s">
        <v>161</v>
      </c>
      <c r="D1567">
        <v>2014</v>
      </c>
      <c r="E1567">
        <v>0</v>
      </c>
      <c r="F1567" t="s">
        <v>180</v>
      </c>
    </row>
    <row r="1568" spans="1:6" x14ac:dyDescent="0.25">
      <c r="A1568" t="s">
        <v>192</v>
      </c>
      <c r="B1568" t="s">
        <v>170</v>
      </c>
      <c r="C1568" t="s">
        <v>161</v>
      </c>
      <c r="D1568">
        <v>2013</v>
      </c>
      <c r="E1568">
        <v>0</v>
      </c>
      <c r="F1568" t="s">
        <v>180</v>
      </c>
    </row>
    <row r="1569" spans="1:6" x14ac:dyDescent="0.25">
      <c r="A1569" t="s">
        <v>192</v>
      </c>
      <c r="B1569" t="s">
        <v>170</v>
      </c>
      <c r="C1569" t="s">
        <v>161</v>
      </c>
      <c r="D1569">
        <v>2012</v>
      </c>
      <c r="E1569">
        <v>0</v>
      </c>
      <c r="F1569" t="s">
        <v>180</v>
      </c>
    </row>
    <row r="1570" spans="1:6" x14ac:dyDescent="0.25">
      <c r="A1570" t="s">
        <v>192</v>
      </c>
      <c r="B1570" t="s">
        <v>170</v>
      </c>
      <c r="C1570" t="s">
        <v>161</v>
      </c>
      <c r="D1570">
        <v>2011</v>
      </c>
      <c r="E1570">
        <v>0</v>
      </c>
      <c r="F1570" t="s">
        <v>180</v>
      </c>
    </row>
    <row r="1571" spans="1:6" x14ac:dyDescent="0.25">
      <c r="A1571" t="s">
        <v>192</v>
      </c>
      <c r="B1571" t="s">
        <v>170</v>
      </c>
      <c r="C1571" t="s">
        <v>161</v>
      </c>
      <c r="D1571">
        <v>2010</v>
      </c>
      <c r="E1571">
        <v>0</v>
      </c>
      <c r="F1571" t="s">
        <v>180</v>
      </c>
    </row>
    <row r="1572" spans="1:6" x14ac:dyDescent="0.25">
      <c r="A1572" t="s">
        <v>192</v>
      </c>
      <c r="B1572" t="s">
        <v>170</v>
      </c>
      <c r="C1572" t="s">
        <v>162</v>
      </c>
      <c r="D1572">
        <v>2014</v>
      </c>
      <c r="E1572">
        <v>0</v>
      </c>
      <c r="F1572" t="s">
        <v>180</v>
      </c>
    </row>
    <row r="1573" spans="1:6" x14ac:dyDescent="0.25">
      <c r="A1573" t="s">
        <v>192</v>
      </c>
      <c r="B1573" t="s">
        <v>170</v>
      </c>
      <c r="C1573" t="s">
        <v>162</v>
      </c>
      <c r="D1573">
        <v>2013</v>
      </c>
      <c r="E1573">
        <v>0</v>
      </c>
      <c r="F1573" t="s">
        <v>180</v>
      </c>
    </row>
    <row r="1574" spans="1:6" x14ac:dyDescent="0.25">
      <c r="A1574" t="s">
        <v>192</v>
      </c>
      <c r="B1574" t="s">
        <v>170</v>
      </c>
      <c r="C1574" t="s">
        <v>162</v>
      </c>
      <c r="D1574">
        <v>2012</v>
      </c>
      <c r="E1574">
        <v>0</v>
      </c>
      <c r="F1574" t="s">
        <v>180</v>
      </c>
    </row>
    <row r="1575" spans="1:6" x14ac:dyDescent="0.25">
      <c r="A1575" t="s">
        <v>192</v>
      </c>
      <c r="B1575" t="s">
        <v>170</v>
      </c>
      <c r="C1575" t="s">
        <v>162</v>
      </c>
      <c r="D1575">
        <v>2011</v>
      </c>
      <c r="E1575">
        <v>0</v>
      </c>
      <c r="F1575" t="s">
        <v>180</v>
      </c>
    </row>
    <row r="1576" spans="1:6" x14ac:dyDescent="0.25">
      <c r="A1576" t="s">
        <v>192</v>
      </c>
      <c r="B1576" t="s">
        <v>170</v>
      </c>
      <c r="C1576" t="s">
        <v>162</v>
      </c>
      <c r="D1576">
        <v>2010</v>
      </c>
      <c r="E1576">
        <v>0</v>
      </c>
      <c r="F1576" t="s">
        <v>180</v>
      </c>
    </row>
    <row r="1577" spans="1:6" x14ac:dyDescent="0.25">
      <c r="A1577" t="s">
        <v>192</v>
      </c>
      <c r="B1577" t="s">
        <v>170</v>
      </c>
      <c r="C1577" t="s">
        <v>129</v>
      </c>
      <c r="D1577">
        <v>2014</v>
      </c>
      <c r="E1577">
        <v>0</v>
      </c>
      <c r="F1577" t="s">
        <v>180</v>
      </c>
    </row>
    <row r="1578" spans="1:6" x14ac:dyDescent="0.25">
      <c r="A1578" t="s">
        <v>192</v>
      </c>
      <c r="B1578" t="s">
        <v>170</v>
      </c>
      <c r="C1578" t="s">
        <v>129</v>
      </c>
      <c r="D1578">
        <v>2013</v>
      </c>
      <c r="E1578">
        <v>0</v>
      </c>
      <c r="F1578" t="s">
        <v>180</v>
      </c>
    </row>
    <row r="1579" spans="1:6" x14ac:dyDescent="0.25">
      <c r="A1579" t="s">
        <v>192</v>
      </c>
      <c r="B1579" t="s">
        <v>170</v>
      </c>
      <c r="C1579" t="s">
        <v>129</v>
      </c>
      <c r="D1579">
        <v>2012</v>
      </c>
      <c r="E1579">
        <v>0</v>
      </c>
      <c r="F1579" t="s">
        <v>180</v>
      </c>
    </row>
    <row r="1580" spans="1:6" x14ac:dyDescent="0.25">
      <c r="A1580" t="s">
        <v>192</v>
      </c>
      <c r="B1580" t="s">
        <v>170</v>
      </c>
      <c r="C1580" t="s">
        <v>129</v>
      </c>
      <c r="D1580">
        <v>2011</v>
      </c>
      <c r="E1580">
        <v>0</v>
      </c>
      <c r="F1580" t="s">
        <v>180</v>
      </c>
    </row>
    <row r="1581" spans="1:6" x14ac:dyDescent="0.25">
      <c r="A1581" t="s">
        <v>192</v>
      </c>
      <c r="B1581" t="s">
        <v>170</v>
      </c>
      <c r="C1581" t="s">
        <v>129</v>
      </c>
      <c r="D1581">
        <v>2010</v>
      </c>
      <c r="E1581">
        <v>0</v>
      </c>
      <c r="F1581" t="s">
        <v>180</v>
      </c>
    </row>
    <row r="1582" spans="1:6" x14ac:dyDescent="0.25">
      <c r="A1582" t="s">
        <v>192</v>
      </c>
      <c r="B1582" t="s">
        <v>170</v>
      </c>
      <c r="C1582" t="s">
        <v>130</v>
      </c>
      <c r="D1582">
        <v>2014</v>
      </c>
      <c r="E1582">
        <v>0</v>
      </c>
      <c r="F1582" t="s">
        <v>180</v>
      </c>
    </row>
    <row r="1583" spans="1:6" x14ac:dyDescent="0.25">
      <c r="A1583" t="s">
        <v>192</v>
      </c>
      <c r="B1583" t="s">
        <v>170</v>
      </c>
      <c r="C1583" t="s">
        <v>130</v>
      </c>
      <c r="D1583">
        <v>2013</v>
      </c>
      <c r="E1583">
        <v>0</v>
      </c>
      <c r="F1583" t="s">
        <v>180</v>
      </c>
    </row>
    <row r="1584" spans="1:6" x14ac:dyDescent="0.25">
      <c r="A1584" t="s">
        <v>192</v>
      </c>
      <c r="B1584" t="s">
        <v>170</v>
      </c>
      <c r="C1584" t="s">
        <v>130</v>
      </c>
      <c r="D1584">
        <v>2012</v>
      </c>
      <c r="E1584">
        <v>0</v>
      </c>
      <c r="F1584" t="s">
        <v>180</v>
      </c>
    </row>
    <row r="1585" spans="1:6" x14ac:dyDescent="0.25">
      <c r="A1585" t="s">
        <v>192</v>
      </c>
      <c r="B1585" t="s">
        <v>170</v>
      </c>
      <c r="C1585" t="s">
        <v>130</v>
      </c>
      <c r="D1585">
        <v>2011</v>
      </c>
      <c r="E1585">
        <v>0</v>
      </c>
      <c r="F1585" t="s">
        <v>180</v>
      </c>
    </row>
    <row r="1586" spans="1:6" x14ac:dyDescent="0.25">
      <c r="A1586" t="s">
        <v>192</v>
      </c>
      <c r="B1586" t="s">
        <v>170</v>
      </c>
      <c r="C1586" t="s">
        <v>130</v>
      </c>
      <c r="D1586">
        <v>2010</v>
      </c>
      <c r="E1586">
        <v>0</v>
      </c>
      <c r="F1586" t="s">
        <v>180</v>
      </c>
    </row>
    <row r="1587" spans="1:6" x14ac:dyDescent="0.25">
      <c r="A1587" t="s">
        <v>192</v>
      </c>
      <c r="B1587" t="s">
        <v>170</v>
      </c>
      <c r="C1587" t="s">
        <v>131</v>
      </c>
      <c r="D1587">
        <v>2014</v>
      </c>
      <c r="E1587">
        <v>0</v>
      </c>
      <c r="F1587" t="s">
        <v>180</v>
      </c>
    </row>
    <row r="1588" spans="1:6" x14ac:dyDescent="0.25">
      <c r="A1588" t="s">
        <v>192</v>
      </c>
      <c r="B1588" t="s">
        <v>170</v>
      </c>
      <c r="C1588" t="s">
        <v>131</v>
      </c>
      <c r="D1588">
        <v>2013</v>
      </c>
      <c r="E1588">
        <v>0</v>
      </c>
      <c r="F1588" t="s">
        <v>180</v>
      </c>
    </row>
    <row r="1589" spans="1:6" x14ac:dyDescent="0.25">
      <c r="A1589" t="s">
        <v>192</v>
      </c>
      <c r="B1589" t="s">
        <v>170</v>
      </c>
      <c r="C1589" t="s">
        <v>131</v>
      </c>
      <c r="D1589">
        <v>2012</v>
      </c>
      <c r="E1589">
        <v>0</v>
      </c>
      <c r="F1589" t="s">
        <v>180</v>
      </c>
    </row>
    <row r="1590" spans="1:6" x14ac:dyDescent="0.25">
      <c r="A1590" t="s">
        <v>192</v>
      </c>
      <c r="B1590" t="s">
        <v>170</v>
      </c>
      <c r="C1590" t="s">
        <v>131</v>
      </c>
      <c r="D1590">
        <v>2011</v>
      </c>
      <c r="E1590">
        <v>0</v>
      </c>
      <c r="F1590" t="s">
        <v>180</v>
      </c>
    </row>
    <row r="1591" spans="1:6" x14ac:dyDescent="0.25">
      <c r="A1591" t="s">
        <v>192</v>
      </c>
      <c r="B1591" t="s">
        <v>170</v>
      </c>
      <c r="C1591" t="s">
        <v>131</v>
      </c>
      <c r="D1591">
        <v>2010</v>
      </c>
      <c r="E1591">
        <v>0</v>
      </c>
      <c r="F1591" t="s">
        <v>180</v>
      </c>
    </row>
    <row r="1592" spans="1:6" x14ac:dyDescent="0.25">
      <c r="A1592" t="s">
        <v>192</v>
      </c>
      <c r="B1592" t="s">
        <v>170</v>
      </c>
      <c r="C1592" t="s">
        <v>132</v>
      </c>
      <c r="D1592">
        <v>2014</v>
      </c>
      <c r="E1592">
        <v>0</v>
      </c>
      <c r="F1592" t="s">
        <v>180</v>
      </c>
    </row>
    <row r="1593" spans="1:6" x14ac:dyDescent="0.25">
      <c r="A1593" t="s">
        <v>192</v>
      </c>
      <c r="B1593" t="s">
        <v>170</v>
      </c>
      <c r="C1593" t="s">
        <v>132</v>
      </c>
      <c r="D1593">
        <v>2013</v>
      </c>
      <c r="E1593">
        <v>0</v>
      </c>
      <c r="F1593" t="s">
        <v>180</v>
      </c>
    </row>
    <row r="1594" spans="1:6" x14ac:dyDescent="0.25">
      <c r="A1594" t="s">
        <v>192</v>
      </c>
      <c r="B1594" t="s">
        <v>170</v>
      </c>
      <c r="C1594" t="s">
        <v>132</v>
      </c>
      <c r="D1594">
        <v>2012</v>
      </c>
      <c r="E1594">
        <v>5.0000000000000001E-3</v>
      </c>
      <c r="F1594" t="s">
        <v>180</v>
      </c>
    </row>
    <row r="1595" spans="1:6" x14ac:dyDescent="0.25">
      <c r="A1595" t="s">
        <v>192</v>
      </c>
      <c r="B1595" t="s">
        <v>170</v>
      </c>
      <c r="C1595" t="s">
        <v>132</v>
      </c>
      <c r="D1595">
        <v>2011</v>
      </c>
      <c r="E1595">
        <v>5.0000000000000001E-3</v>
      </c>
      <c r="F1595" t="s">
        <v>180</v>
      </c>
    </row>
    <row r="1596" spans="1:6" x14ac:dyDescent="0.25">
      <c r="A1596" t="s">
        <v>192</v>
      </c>
      <c r="B1596" t="s">
        <v>170</v>
      </c>
      <c r="C1596" t="s">
        <v>132</v>
      </c>
      <c r="D1596">
        <v>2010</v>
      </c>
      <c r="E1596">
        <v>5.0000000000000001E-3</v>
      </c>
      <c r="F1596" t="s">
        <v>180</v>
      </c>
    </row>
    <row r="1597" spans="1:6" x14ac:dyDescent="0.25">
      <c r="A1597" t="s">
        <v>192</v>
      </c>
      <c r="B1597" t="s">
        <v>170</v>
      </c>
      <c r="C1597" t="s">
        <v>163</v>
      </c>
      <c r="D1597">
        <v>2014</v>
      </c>
      <c r="E1597">
        <v>0</v>
      </c>
      <c r="F1597" t="s">
        <v>180</v>
      </c>
    </row>
    <row r="1598" spans="1:6" x14ac:dyDescent="0.25">
      <c r="A1598" t="s">
        <v>192</v>
      </c>
      <c r="B1598" t="s">
        <v>170</v>
      </c>
      <c r="C1598" t="s">
        <v>163</v>
      </c>
      <c r="D1598">
        <v>2013</v>
      </c>
      <c r="E1598">
        <v>0</v>
      </c>
      <c r="F1598" t="s">
        <v>180</v>
      </c>
    </row>
    <row r="1599" spans="1:6" x14ac:dyDescent="0.25">
      <c r="A1599" t="s">
        <v>192</v>
      </c>
      <c r="B1599" t="s">
        <v>170</v>
      </c>
      <c r="C1599" t="s">
        <v>163</v>
      </c>
      <c r="D1599">
        <v>2012</v>
      </c>
      <c r="E1599">
        <v>0</v>
      </c>
      <c r="F1599" t="s">
        <v>180</v>
      </c>
    </row>
    <row r="1600" spans="1:6" x14ac:dyDescent="0.25">
      <c r="A1600" t="s">
        <v>192</v>
      </c>
      <c r="B1600" t="s">
        <v>170</v>
      </c>
      <c r="C1600" t="s">
        <v>163</v>
      </c>
      <c r="D1600">
        <v>2011</v>
      </c>
      <c r="E1600">
        <v>0</v>
      </c>
      <c r="F1600" t="s">
        <v>180</v>
      </c>
    </row>
    <row r="1601" spans="1:6" x14ac:dyDescent="0.25">
      <c r="A1601" t="s">
        <v>192</v>
      </c>
      <c r="B1601" t="s">
        <v>170</v>
      </c>
      <c r="C1601" t="s">
        <v>163</v>
      </c>
      <c r="D1601">
        <v>2010</v>
      </c>
      <c r="E1601">
        <v>0</v>
      </c>
      <c r="F1601" t="s">
        <v>180</v>
      </c>
    </row>
    <row r="1602" spans="1:6" x14ac:dyDescent="0.25">
      <c r="A1602" t="s">
        <v>192</v>
      </c>
      <c r="B1602" t="s">
        <v>170</v>
      </c>
      <c r="C1602" t="s">
        <v>133</v>
      </c>
      <c r="D1602">
        <v>2014</v>
      </c>
      <c r="E1602">
        <v>0</v>
      </c>
      <c r="F1602" t="s">
        <v>180</v>
      </c>
    </row>
    <row r="1603" spans="1:6" x14ac:dyDescent="0.25">
      <c r="A1603" t="s">
        <v>192</v>
      </c>
      <c r="B1603" t="s">
        <v>170</v>
      </c>
      <c r="C1603" t="s">
        <v>133</v>
      </c>
      <c r="D1603">
        <v>2013</v>
      </c>
      <c r="E1603">
        <v>0</v>
      </c>
      <c r="F1603" t="s">
        <v>180</v>
      </c>
    </row>
    <row r="1604" spans="1:6" x14ac:dyDescent="0.25">
      <c r="A1604" t="s">
        <v>192</v>
      </c>
      <c r="B1604" t="s">
        <v>170</v>
      </c>
      <c r="C1604" t="s">
        <v>133</v>
      </c>
      <c r="D1604">
        <v>2012</v>
      </c>
      <c r="E1604">
        <v>0</v>
      </c>
      <c r="F1604" t="s">
        <v>180</v>
      </c>
    </row>
    <row r="1605" spans="1:6" x14ac:dyDescent="0.25">
      <c r="A1605" t="s">
        <v>192</v>
      </c>
      <c r="B1605" t="s">
        <v>170</v>
      </c>
      <c r="C1605" t="s">
        <v>133</v>
      </c>
      <c r="D1605">
        <v>2011</v>
      </c>
      <c r="E1605">
        <v>0</v>
      </c>
      <c r="F1605" t="s">
        <v>180</v>
      </c>
    </row>
    <row r="1606" spans="1:6" x14ac:dyDescent="0.25">
      <c r="A1606" t="s">
        <v>192</v>
      </c>
      <c r="B1606" t="s">
        <v>170</v>
      </c>
      <c r="C1606" t="s">
        <v>133</v>
      </c>
      <c r="D1606">
        <v>2010</v>
      </c>
      <c r="E1606">
        <v>0</v>
      </c>
      <c r="F1606" t="s">
        <v>180</v>
      </c>
    </row>
    <row r="1607" spans="1:6" x14ac:dyDescent="0.25">
      <c r="A1607" t="s">
        <v>192</v>
      </c>
      <c r="B1607" t="s">
        <v>170</v>
      </c>
      <c r="C1607" t="s">
        <v>134</v>
      </c>
      <c r="D1607">
        <v>2014</v>
      </c>
      <c r="E1607">
        <v>2E-3</v>
      </c>
      <c r="F1607" t="s">
        <v>180</v>
      </c>
    </row>
    <row r="1608" spans="1:6" x14ac:dyDescent="0.25">
      <c r="A1608" t="s">
        <v>192</v>
      </c>
      <c r="B1608" t="s">
        <v>170</v>
      </c>
      <c r="C1608" t="s">
        <v>134</v>
      </c>
      <c r="D1608">
        <v>2013</v>
      </c>
      <c r="E1608">
        <v>2E-3</v>
      </c>
      <c r="F1608" t="s">
        <v>180</v>
      </c>
    </row>
    <row r="1609" spans="1:6" x14ac:dyDescent="0.25">
      <c r="A1609" t="s">
        <v>192</v>
      </c>
      <c r="B1609" t="s">
        <v>170</v>
      </c>
      <c r="C1609" t="s">
        <v>134</v>
      </c>
      <c r="D1609">
        <v>2012</v>
      </c>
      <c r="E1609">
        <v>1E-3</v>
      </c>
      <c r="F1609" t="s">
        <v>180</v>
      </c>
    </row>
    <row r="1610" spans="1:6" x14ac:dyDescent="0.25">
      <c r="A1610" t="s">
        <v>192</v>
      </c>
      <c r="B1610" t="s">
        <v>170</v>
      </c>
      <c r="C1610" t="s">
        <v>134</v>
      </c>
      <c r="D1610">
        <v>2011</v>
      </c>
      <c r="E1610">
        <v>1E-3</v>
      </c>
      <c r="F1610" t="s">
        <v>180</v>
      </c>
    </row>
    <row r="1611" spans="1:6" x14ac:dyDescent="0.25">
      <c r="A1611" t="s">
        <v>192</v>
      </c>
      <c r="B1611" t="s">
        <v>170</v>
      </c>
      <c r="C1611" t="s">
        <v>134</v>
      </c>
      <c r="D1611">
        <v>2010</v>
      </c>
      <c r="E1611">
        <v>0</v>
      </c>
      <c r="F1611" t="s">
        <v>180</v>
      </c>
    </row>
    <row r="1612" spans="1:6" x14ac:dyDescent="0.25">
      <c r="A1612" t="s">
        <v>192</v>
      </c>
      <c r="B1612" t="s">
        <v>170</v>
      </c>
      <c r="C1612" t="s">
        <v>135</v>
      </c>
      <c r="D1612">
        <v>2014</v>
      </c>
      <c r="E1612">
        <v>0</v>
      </c>
      <c r="F1612" t="s">
        <v>180</v>
      </c>
    </row>
    <row r="1613" spans="1:6" x14ac:dyDescent="0.25">
      <c r="A1613" t="s">
        <v>192</v>
      </c>
      <c r="B1613" t="s">
        <v>170</v>
      </c>
      <c r="C1613" t="s">
        <v>135</v>
      </c>
      <c r="D1613">
        <v>2013</v>
      </c>
      <c r="E1613">
        <v>0</v>
      </c>
      <c r="F1613" t="s">
        <v>180</v>
      </c>
    </row>
    <row r="1614" spans="1:6" x14ac:dyDescent="0.25">
      <c r="A1614" t="s">
        <v>192</v>
      </c>
      <c r="B1614" t="s">
        <v>170</v>
      </c>
      <c r="C1614" t="s">
        <v>135</v>
      </c>
      <c r="D1614">
        <v>2012</v>
      </c>
      <c r="E1614">
        <v>0</v>
      </c>
      <c r="F1614" t="s">
        <v>180</v>
      </c>
    </row>
    <row r="1615" spans="1:6" x14ac:dyDescent="0.25">
      <c r="A1615" t="s">
        <v>192</v>
      </c>
      <c r="B1615" t="s">
        <v>170</v>
      </c>
      <c r="C1615" t="s">
        <v>135</v>
      </c>
      <c r="D1615">
        <v>2011</v>
      </c>
      <c r="E1615">
        <v>0</v>
      </c>
      <c r="F1615" t="s">
        <v>180</v>
      </c>
    </row>
    <row r="1616" spans="1:6" x14ac:dyDescent="0.25">
      <c r="A1616" t="s">
        <v>192</v>
      </c>
      <c r="B1616" t="s">
        <v>170</v>
      </c>
      <c r="C1616" t="s">
        <v>135</v>
      </c>
      <c r="D1616">
        <v>2010</v>
      </c>
      <c r="E1616">
        <v>0</v>
      </c>
      <c r="F1616" t="s">
        <v>180</v>
      </c>
    </row>
    <row r="1617" spans="1:6" x14ac:dyDescent="0.25">
      <c r="A1617" t="s">
        <v>192</v>
      </c>
      <c r="B1617" t="s">
        <v>170</v>
      </c>
      <c r="C1617" t="s">
        <v>136</v>
      </c>
      <c r="D1617">
        <v>2014</v>
      </c>
      <c r="E1617">
        <v>0</v>
      </c>
      <c r="F1617" t="s">
        <v>180</v>
      </c>
    </row>
    <row r="1618" spans="1:6" x14ac:dyDescent="0.25">
      <c r="A1618" t="s">
        <v>192</v>
      </c>
      <c r="B1618" t="s">
        <v>170</v>
      </c>
      <c r="C1618" t="s">
        <v>136</v>
      </c>
      <c r="D1618">
        <v>2013</v>
      </c>
      <c r="E1618">
        <v>0</v>
      </c>
      <c r="F1618" t="s">
        <v>180</v>
      </c>
    </row>
    <row r="1619" spans="1:6" x14ac:dyDescent="0.25">
      <c r="A1619" t="s">
        <v>192</v>
      </c>
      <c r="B1619" t="s">
        <v>170</v>
      </c>
      <c r="C1619" t="s">
        <v>136</v>
      </c>
      <c r="D1619">
        <v>2012</v>
      </c>
      <c r="E1619">
        <v>0</v>
      </c>
      <c r="F1619" t="s">
        <v>180</v>
      </c>
    </row>
    <row r="1620" spans="1:6" x14ac:dyDescent="0.25">
      <c r="A1620" t="s">
        <v>192</v>
      </c>
      <c r="B1620" t="s">
        <v>170</v>
      </c>
      <c r="C1620" t="s">
        <v>136</v>
      </c>
      <c r="D1620">
        <v>2011</v>
      </c>
      <c r="E1620">
        <v>0</v>
      </c>
      <c r="F1620" t="s">
        <v>180</v>
      </c>
    </row>
    <row r="1621" spans="1:6" x14ac:dyDescent="0.25">
      <c r="A1621" t="s">
        <v>192</v>
      </c>
      <c r="B1621" t="s">
        <v>170</v>
      </c>
      <c r="C1621" t="s">
        <v>136</v>
      </c>
      <c r="D1621">
        <v>2010</v>
      </c>
      <c r="E1621">
        <v>0</v>
      </c>
      <c r="F1621" t="s">
        <v>180</v>
      </c>
    </row>
    <row r="1622" spans="1:6" x14ac:dyDescent="0.25">
      <c r="A1622" t="s">
        <v>192</v>
      </c>
      <c r="B1622" t="s">
        <v>170</v>
      </c>
      <c r="C1622" t="s">
        <v>137</v>
      </c>
      <c r="D1622">
        <v>2014</v>
      </c>
      <c r="E1622">
        <v>0</v>
      </c>
      <c r="F1622" t="s">
        <v>180</v>
      </c>
    </row>
    <row r="1623" spans="1:6" x14ac:dyDescent="0.25">
      <c r="A1623" t="s">
        <v>192</v>
      </c>
      <c r="B1623" t="s">
        <v>170</v>
      </c>
      <c r="C1623" t="s">
        <v>137</v>
      </c>
      <c r="D1623">
        <v>2013</v>
      </c>
      <c r="E1623">
        <v>0</v>
      </c>
      <c r="F1623" t="s">
        <v>180</v>
      </c>
    </row>
    <row r="1624" spans="1:6" x14ac:dyDescent="0.25">
      <c r="A1624" t="s">
        <v>192</v>
      </c>
      <c r="B1624" t="s">
        <v>170</v>
      </c>
      <c r="C1624" t="s">
        <v>137</v>
      </c>
      <c r="D1624">
        <v>2012</v>
      </c>
      <c r="E1624">
        <v>0</v>
      </c>
      <c r="F1624" t="s">
        <v>180</v>
      </c>
    </row>
    <row r="1625" spans="1:6" x14ac:dyDescent="0.25">
      <c r="A1625" t="s">
        <v>192</v>
      </c>
      <c r="B1625" t="s">
        <v>170</v>
      </c>
      <c r="C1625" t="s">
        <v>137</v>
      </c>
      <c r="D1625">
        <v>2011</v>
      </c>
      <c r="E1625">
        <v>0</v>
      </c>
      <c r="F1625" t="s">
        <v>180</v>
      </c>
    </row>
    <row r="1626" spans="1:6" x14ac:dyDescent="0.25">
      <c r="A1626" t="s">
        <v>192</v>
      </c>
      <c r="B1626" t="s">
        <v>170</v>
      </c>
      <c r="C1626" t="s">
        <v>137</v>
      </c>
      <c r="D1626">
        <v>2010</v>
      </c>
      <c r="E1626">
        <v>0</v>
      </c>
      <c r="F1626" t="s">
        <v>180</v>
      </c>
    </row>
    <row r="1627" spans="1:6" x14ac:dyDescent="0.25">
      <c r="A1627" t="s">
        <v>192</v>
      </c>
      <c r="B1627" t="s">
        <v>170</v>
      </c>
      <c r="C1627" t="s">
        <v>138</v>
      </c>
      <c r="D1627">
        <v>2014</v>
      </c>
      <c r="E1627">
        <v>0</v>
      </c>
      <c r="F1627" t="s">
        <v>180</v>
      </c>
    </row>
    <row r="1628" spans="1:6" x14ac:dyDescent="0.25">
      <c r="A1628" t="s">
        <v>192</v>
      </c>
      <c r="B1628" t="s">
        <v>170</v>
      </c>
      <c r="C1628" t="s">
        <v>138</v>
      </c>
      <c r="D1628">
        <v>2013</v>
      </c>
      <c r="E1628">
        <v>0</v>
      </c>
      <c r="F1628" t="s">
        <v>180</v>
      </c>
    </row>
    <row r="1629" spans="1:6" x14ac:dyDescent="0.25">
      <c r="A1629" t="s">
        <v>192</v>
      </c>
      <c r="B1629" t="s">
        <v>170</v>
      </c>
      <c r="C1629" t="s">
        <v>138</v>
      </c>
      <c r="D1629">
        <v>2012</v>
      </c>
      <c r="E1629">
        <v>0</v>
      </c>
      <c r="F1629" t="s">
        <v>180</v>
      </c>
    </row>
    <row r="1630" spans="1:6" x14ac:dyDescent="0.25">
      <c r="A1630" t="s">
        <v>192</v>
      </c>
      <c r="B1630" t="s">
        <v>170</v>
      </c>
      <c r="C1630" t="s">
        <v>138</v>
      </c>
      <c r="D1630">
        <v>2011</v>
      </c>
      <c r="E1630">
        <v>0</v>
      </c>
      <c r="F1630" t="s">
        <v>180</v>
      </c>
    </row>
    <row r="1631" spans="1:6" x14ac:dyDescent="0.25">
      <c r="A1631" t="s">
        <v>192</v>
      </c>
      <c r="B1631" t="s">
        <v>170</v>
      </c>
      <c r="C1631" t="s">
        <v>138</v>
      </c>
      <c r="D1631">
        <v>2010</v>
      </c>
      <c r="E1631">
        <v>0</v>
      </c>
      <c r="F1631" t="s">
        <v>180</v>
      </c>
    </row>
    <row r="1632" spans="1:6" x14ac:dyDescent="0.25">
      <c r="A1632" t="s">
        <v>192</v>
      </c>
      <c r="B1632" t="s">
        <v>170</v>
      </c>
      <c r="C1632" t="s">
        <v>164</v>
      </c>
      <c r="D1632">
        <v>2014</v>
      </c>
      <c r="E1632">
        <v>0</v>
      </c>
      <c r="F1632" t="s">
        <v>180</v>
      </c>
    </row>
    <row r="1633" spans="1:6" x14ac:dyDescent="0.25">
      <c r="A1633" t="s">
        <v>192</v>
      </c>
      <c r="B1633" t="s">
        <v>170</v>
      </c>
      <c r="C1633" t="s">
        <v>164</v>
      </c>
      <c r="D1633">
        <v>2013</v>
      </c>
      <c r="E1633">
        <v>0</v>
      </c>
      <c r="F1633" t="s">
        <v>180</v>
      </c>
    </row>
    <row r="1634" spans="1:6" x14ac:dyDescent="0.25">
      <c r="A1634" t="s">
        <v>192</v>
      </c>
      <c r="B1634" t="s">
        <v>170</v>
      </c>
      <c r="C1634" t="s">
        <v>164</v>
      </c>
      <c r="D1634">
        <v>2012</v>
      </c>
      <c r="E1634">
        <v>0</v>
      </c>
      <c r="F1634" t="s">
        <v>180</v>
      </c>
    </row>
    <row r="1635" spans="1:6" x14ac:dyDescent="0.25">
      <c r="A1635" t="s">
        <v>192</v>
      </c>
      <c r="B1635" t="s">
        <v>170</v>
      </c>
      <c r="C1635" t="s">
        <v>164</v>
      </c>
      <c r="D1635">
        <v>2011</v>
      </c>
      <c r="E1635">
        <v>0</v>
      </c>
      <c r="F1635" t="s">
        <v>180</v>
      </c>
    </row>
    <row r="1636" spans="1:6" x14ac:dyDescent="0.25">
      <c r="A1636" t="s">
        <v>192</v>
      </c>
      <c r="B1636" t="s">
        <v>170</v>
      </c>
      <c r="C1636" t="s">
        <v>164</v>
      </c>
      <c r="D1636">
        <v>2010</v>
      </c>
      <c r="E1636">
        <v>0</v>
      </c>
      <c r="F1636" t="s">
        <v>180</v>
      </c>
    </row>
    <row r="1637" spans="1:6" x14ac:dyDescent="0.25">
      <c r="A1637" t="s">
        <v>192</v>
      </c>
      <c r="B1637" t="s">
        <v>170</v>
      </c>
      <c r="C1637" t="s">
        <v>139</v>
      </c>
      <c r="D1637">
        <v>2014</v>
      </c>
      <c r="E1637">
        <v>0</v>
      </c>
      <c r="F1637" t="s">
        <v>180</v>
      </c>
    </row>
    <row r="1638" spans="1:6" x14ac:dyDescent="0.25">
      <c r="A1638" t="s">
        <v>192</v>
      </c>
      <c r="B1638" t="s">
        <v>170</v>
      </c>
      <c r="C1638" t="s">
        <v>139</v>
      </c>
      <c r="D1638">
        <v>2013</v>
      </c>
      <c r="E1638">
        <v>0</v>
      </c>
      <c r="F1638" t="s">
        <v>180</v>
      </c>
    </row>
    <row r="1639" spans="1:6" x14ac:dyDescent="0.25">
      <c r="A1639" t="s">
        <v>192</v>
      </c>
      <c r="B1639" t="s">
        <v>170</v>
      </c>
      <c r="C1639" t="s">
        <v>139</v>
      </c>
      <c r="D1639">
        <v>2012</v>
      </c>
      <c r="E1639">
        <v>0</v>
      </c>
      <c r="F1639" t="s">
        <v>180</v>
      </c>
    </row>
    <row r="1640" spans="1:6" x14ac:dyDescent="0.25">
      <c r="A1640" t="s">
        <v>192</v>
      </c>
      <c r="B1640" t="s">
        <v>170</v>
      </c>
      <c r="C1640" t="s">
        <v>139</v>
      </c>
      <c r="D1640">
        <v>2011</v>
      </c>
      <c r="E1640">
        <v>0</v>
      </c>
      <c r="F1640" t="s">
        <v>180</v>
      </c>
    </row>
    <row r="1641" spans="1:6" x14ac:dyDescent="0.25">
      <c r="A1641" t="s">
        <v>192</v>
      </c>
      <c r="B1641" t="s">
        <v>170</v>
      </c>
      <c r="C1641" t="s">
        <v>139</v>
      </c>
      <c r="D1641">
        <v>2010</v>
      </c>
      <c r="E1641">
        <v>0</v>
      </c>
      <c r="F1641" t="s">
        <v>180</v>
      </c>
    </row>
    <row r="1642" spans="1:6" x14ac:dyDescent="0.25">
      <c r="A1642" t="s">
        <v>192</v>
      </c>
      <c r="B1642" t="s">
        <v>170</v>
      </c>
      <c r="C1642" t="s">
        <v>165</v>
      </c>
      <c r="D1642">
        <v>2014</v>
      </c>
      <c r="E1642">
        <v>0</v>
      </c>
      <c r="F1642" t="s">
        <v>180</v>
      </c>
    </row>
    <row r="1643" spans="1:6" x14ac:dyDescent="0.25">
      <c r="A1643" t="s">
        <v>192</v>
      </c>
      <c r="B1643" t="s">
        <v>170</v>
      </c>
      <c r="C1643" t="s">
        <v>165</v>
      </c>
      <c r="D1643">
        <v>2013</v>
      </c>
      <c r="E1643">
        <v>0</v>
      </c>
      <c r="F1643" t="s">
        <v>180</v>
      </c>
    </row>
    <row r="1644" spans="1:6" x14ac:dyDescent="0.25">
      <c r="A1644" t="s">
        <v>192</v>
      </c>
      <c r="B1644" t="s">
        <v>170</v>
      </c>
      <c r="C1644" t="s">
        <v>165</v>
      </c>
      <c r="D1644">
        <v>2012</v>
      </c>
      <c r="E1644">
        <v>0</v>
      </c>
      <c r="F1644" t="s">
        <v>180</v>
      </c>
    </row>
    <row r="1645" spans="1:6" x14ac:dyDescent="0.25">
      <c r="A1645" t="s">
        <v>192</v>
      </c>
      <c r="B1645" t="s">
        <v>170</v>
      </c>
      <c r="C1645" t="s">
        <v>165</v>
      </c>
      <c r="D1645">
        <v>2011</v>
      </c>
      <c r="E1645">
        <v>0</v>
      </c>
      <c r="F1645" t="s">
        <v>180</v>
      </c>
    </row>
    <row r="1646" spans="1:6" x14ac:dyDescent="0.25">
      <c r="A1646" t="s">
        <v>192</v>
      </c>
      <c r="B1646" t="s">
        <v>170</v>
      </c>
      <c r="C1646" t="s">
        <v>165</v>
      </c>
      <c r="D1646">
        <v>2010</v>
      </c>
      <c r="E1646">
        <v>0</v>
      </c>
      <c r="F1646" t="s">
        <v>180</v>
      </c>
    </row>
    <row r="1647" spans="1:6" x14ac:dyDescent="0.25">
      <c r="A1647" t="s">
        <v>192</v>
      </c>
      <c r="B1647" t="s">
        <v>170</v>
      </c>
      <c r="C1647" t="s">
        <v>140</v>
      </c>
      <c r="D1647">
        <v>2014</v>
      </c>
      <c r="E1647">
        <v>0</v>
      </c>
      <c r="F1647" t="s">
        <v>180</v>
      </c>
    </row>
    <row r="1648" spans="1:6" x14ac:dyDescent="0.25">
      <c r="A1648" t="s">
        <v>192</v>
      </c>
      <c r="B1648" t="s">
        <v>170</v>
      </c>
      <c r="C1648" t="s">
        <v>140</v>
      </c>
      <c r="D1648">
        <v>2013</v>
      </c>
      <c r="E1648">
        <v>0</v>
      </c>
      <c r="F1648" t="s">
        <v>180</v>
      </c>
    </row>
    <row r="1649" spans="1:6" x14ac:dyDescent="0.25">
      <c r="A1649" t="s">
        <v>192</v>
      </c>
      <c r="B1649" t="s">
        <v>170</v>
      </c>
      <c r="C1649" t="s">
        <v>140</v>
      </c>
      <c r="D1649">
        <v>2012</v>
      </c>
      <c r="E1649">
        <v>0</v>
      </c>
      <c r="F1649" t="s">
        <v>180</v>
      </c>
    </row>
    <row r="1650" spans="1:6" x14ac:dyDescent="0.25">
      <c r="A1650" t="s">
        <v>192</v>
      </c>
      <c r="B1650" t="s">
        <v>170</v>
      </c>
      <c r="C1650" t="s">
        <v>140</v>
      </c>
      <c r="D1650">
        <v>2011</v>
      </c>
      <c r="E1650">
        <v>0</v>
      </c>
      <c r="F1650" t="s">
        <v>180</v>
      </c>
    </row>
    <row r="1651" spans="1:6" x14ac:dyDescent="0.25">
      <c r="A1651" t="s">
        <v>192</v>
      </c>
      <c r="B1651" t="s">
        <v>170</v>
      </c>
      <c r="C1651" t="s">
        <v>140</v>
      </c>
      <c r="D1651">
        <v>2010</v>
      </c>
      <c r="E1651">
        <v>0</v>
      </c>
      <c r="F1651" t="s">
        <v>180</v>
      </c>
    </row>
    <row r="1652" spans="1:6" x14ac:dyDescent="0.25">
      <c r="A1652" t="s">
        <v>192</v>
      </c>
      <c r="B1652" t="s">
        <v>170</v>
      </c>
      <c r="C1652" t="s">
        <v>141</v>
      </c>
      <c r="D1652">
        <v>2014</v>
      </c>
      <c r="E1652">
        <v>0</v>
      </c>
      <c r="F1652" t="s">
        <v>180</v>
      </c>
    </row>
    <row r="1653" spans="1:6" x14ac:dyDescent="0.25">
      <c r="A1653" t="s">
        <v>192</v>
      </c>
      <c r="B1653" t="s">
        <v>170</v>
      </c>
      <c r="C1653" t="s">
        <v>141</v>
      </c>
      <c r="D1653">
        <v>2013</v>
      </c>
      <c r="E1653">
        <v>0</v>
      </c>
      <c r="F1653" t="s">
        <v>180</v>
      </c>
    </row>
    <row r="1654" spans="1:6" x14ac:dyDescent="0.25">
      <c r="A1654" t="s">
        <v>192</v>
      </c>
      <c r="B1654" t="s">
        <v>170</v>
      </c>
      <c r="C1654" t="s">
        <v>141</v>
      </c>
      <c r="D1654">
        <v>2012</v>
      </c>
      <c r="E1654">
        <v>0</v>
      </c>
      <c r="F1654" t="s">
        <v>180</v>
      </c>
    </row>
    <row r="1655" spans="1:6" x14ac:dyDescent="0.25">
      <c r="A1655" t="s">
        <v>192</v>
      </c>
      <c r="B1655" t="s">
        <v>170</v>
      </c>
      <c r="C1655" t="s">
        <v>141</v>
      </c>
      <c r="D1655">
        <v>2011</v>
      </c>
      <c r="E1655">
        <v>0</v>
      </c>
      <c r="F1655" t="s">
        <v>180</v>
      </c>
    </row>
    <row r="1656" spans="1:6" x14ac:dyDescent="0.25">
      <c r="A1656" t="s">
        <v>192</v>
      </c>
      <c r="B1656" t="s">
        <v>170</v>
      </c>
      <c r="C1656" t="s">
        <v>141</v>
      </c>
      <c r="D1656">
        <v>2010</v>
      </c>
      <c r="E1656">
        <v>0</v>
      </c>
      <c r="F1656" t="s">
        <v>180</v>
      </c>
    </row>
    <row r="1657" spans="1:6" x14ac:dyDescent="0.25">
      <c r="A1657" t="s">
        <v>192</v>
      </c>
      <c r="B1657" t="s">
        <v>170</v>
      </c>
      <c r="C1657" t="s">
        <v>142</v>
      </c>
      <c r="D1657">
        <v>2014</v>
      </c>
      <c r="E1657">
        <v>0</v>
      </c>
      <c r="F1657" t="s">
        <v>180</v>
      </c>
    </row>
    <row r="1658" spans="1:6" x14ac:dyDescent="0.25">
      <c r="A1658" t="s">
        <v>192</v>
      </c>
      <c r="B1658" t="s">
        <v>170</v>
      </c>
      <c r="C1658" t="s">
        <v>142</v>
      </c>
      <c r="D1658">
        <v>2013</v>
      </c>
      <c r="E1658">
        <v>0</v>
      </c>
      <c r="F1658" t="s">
        <v>180</v>
      </c>
    </row>
    <row r="1659" spans="1:6" x14ac:dyDescent="0.25">
      <c r="A1659" t="s">
        <v>192</v>
      </c>
      <c r="B1659" t="s">
        <v>170</v>
      </c>
      <c r="C1659" t="s">
        <v>142</v>
      </c>
      <c r="D1659">
        <v>2012</v>
      </c>
      <c r="E1659">
        <v>0</v>
      </c>
      <c r="F1659" t="s">
        <v>180</v>
      </c>
    </row>
    <row r="1660" spans="1:6" x14ac:dyDescent="0.25">
      <c r="A1660" t="s">
        <v>192</v>
      </c>
      <c r="B1660" t="s">
        <v>170</v>
      </c>
      <c r="C1660" t="s">
        <v>142</v>
      </c>
      <c r="D1660">
        <v>2011</v>
      </c>
      <c r="E1660">
        <v>0</v>
      </c>
      <c r="F1660" t="s">
        <v>180</v>
      </c>
    </row>
    <row r="1661" spans="1:6" x14ac:dyDescent="0.25">
      <c r="A1661" t="s">
        <v>192</v>
      </c>
      <c r="B1661" t="s">
        <v>170</v>
      </c>
      <c r="C1661" t="s">
        <v>142</v>
      </c>
      <c r="D1661">
        <v>2010</v>
      </c>
      <c r="E1661">
        <v>0</v>
      </c>
      <c r="F1661" t="s">
        <v>180</v>
      </c>
    </row>
    <row r="1662" spans="1:6" x14ac:dyDescent="0.25">
      <c r="A1662" t="s">
        <v>192</v>
      </c>
      <c r="B1662" t="s">
        <v>170</v>
      </c>
      <c r="C1662" t="s">
        <v>166</v>
      </c>
      <c r="D1662">
        <v>2014</v>
      </c>
      <c r="E1662">
        <v>0</v>
      </c>
      <c r="F1662" t="s">
        <v>180</v>
      </c>
    </row>
    <row r="1663" spans="1:6" x14ac:dyDescent="0.25">
      <c r="A1663" t="s">
        <v>192</v>
      </c>
      <c r="B1663" t="s">
        <v>170</v>
      </c>
      <c r="C1663" t="s">
        <v>166</v>
      </c>
      <c r="D1663">
        <v>2013</v>
      </c>
      <c r="E1663">
        <v>0</v>
      </c>
      <c r="F1663" t="s">
        <v>180</v>
      </c>
    </row>
    <row r="1664" spans="1:6" x14ac:dyDescent="0.25">
      <c r="A1664" t="s">
        <v>192</v>
      </c>
      <c r="B1664" t="s">
        <v>170</v>
      </c>
      <c r="C1664" t="s">
        <v>166</v>
      </c>
      <c r="D1664">
        <v>2012</v>
      </c>
      <c r="E1664">
        <v>0</v>
      </c>
      <c r="F1664" t="s">
        <v>180</v>
      </c>
    </row>
    <row r="1665" spans="1:6" x14ac:dyDescent="0.25">
      <c r="A1665" t="s">
        <v>192</v>
      </c>
      <c r="B1665" t="s">
        <v>170</v>
      </c>
      <c r="C1665" t="s">
        <v>166</v>
      </c>
      <c r="D1665">
        <v>2011</v>
      </c>
      <c r="E1665">
        <v>0</v>
      </c>
      <c r="F1665" t="s">
        <v>180</v>
      </c>
    </row>
    <row r="1666" spans="1:6" x14ac:dyDescent="0.25">
      <c r="A1666" t="s">
        <v>192</v>
      </c>
      <c r="B1666" t="s">
        <v>170</v>
      </c>
      <c r="C1666" t="s">
        <v>166</v>
      </c>
      <c r="D1666">
        <v>2010</v>
      </c>
      <c r="E1666">
        <v>0</v>
      </c>
      <c r="F1666" t="s">
        <v>180</v>
      </c>
    </row>
    <row r="1667" spans="1:6" x14ac:dyDescent="0.25">
      <c r="A1667" t="s">
        <v>192</v>
      </c>
      <c r="B1667" t="s">
        <v>170</v>
      </c>
      <c r="C1667" t="s">
        <v>143</v>
      </c>
      <c r="D1667">
        <v>2014</v>
      </c>
      <c r="E1667">
        <v>0</v>
      </c>
      <c r="F1667" t="s">
        <v>180</v>
      </c>
    </row>
    <row r="1668" spans="1:6" x14ac:dyDescent="0.25">
      <c r="A1668" t="s">
        <v>192</v>
      </c>
      <c r="B1668" t="s">
        <v>170</v>
      </c>
      <c r="C1668" t="s">
        <v>143</v>
      </c>
      <c r="D1668">
        <v>2013</v>
      </c>
      <c r="E1668">
        <v>0</v>
      </c>
      <c r="F1668" t="s">
        <v>180</v>
      </c>
    </row>
    <row r="1669" spans="1:6" x14ac:dyDescent="0.25">
      <c r="A1669" t="s">
        <v>192</v>
      </c>
      <c r="B1669" t="s">
        <v>170</v>
      </c>
      <c r="C1669" t="s">
        <v>143</v>
      </c>
      <c r="D1669">
        <v>2012</v>
      </c>
      <c r="E1669">
        <v>0</v>
      </c>
      <c r="F1669" t="s">
        <v>180</v>
      </c>
    </row>
    <row r="1670" spans="1:6" x14ac:dyDescent="0.25">
      <c r="A1670" t="s">
        <v>192</v>
      </c>
      <c r="B1670" t="s">
        <v>170</v>
      </c>
      <c r="C1670" t="s">
        <v>143</v>
      </c>
      <c r="D1670">
        <v>2011</v>
      </c>
      <c r="E1670">
        <v>0</v>
      </c>
      <c r="F1670" t="s">
        <v>180</v>
      </c>
    </row>
    <row r="1671" spans="1:6" x14ac:dyDescent="0.25">
      <c r="A1671" t="s">
        <v>192</v>
      </c>
      <c r="B1671" t="s">
        <v>170</v>
      </c>
      <c r="C1671" t="s">
        <v>143</v>
      </c>
      <c r="D1671">
        <v>2010</v>
      </c>
      <c r="E1671">
        <v>0</v>
      </c>
      <c r="F1671" t="s">
        <v>180</v>
      </c>
    </row>
    <row r="1672" spans="1:6" x14ac:dyDescent="0.25">
      <c r="A1672" t="s">
        <v>192</v>
      </c>
      <c r="B1672" t="s">
        <v>170</v>
      </c>
      <c r="C1672" t="s">
        <v>144</v>
      </c>
      <c r="D1672">
        <v>2014</v>
      </c>
      <c r="E1672">
        <v>0</v>
      </c>
      <c r="F1672" t="s">
        <v>180</v>
      </c>
    </row>
    <row r="1673" spans="1:6" x14ac:dyDescent="0.25">
      <c r="A1673" t="s">
        <v>192</v>
      </c>
      <c r="B1673" t="s">
        <v>170</v>
      </c>
      <c r="C1673" t="s">
        <v>144</v>
      </c>
      <c r="D1673">
        <v>2013</v>
      </c>
      <c r="E1673">
        <v>0</v>
      </c>
      <c r="F1673" t="s">
        <v>180</v>
      </c>
    </row>
    <row r="1674" spans="1:6" x14ac:dyDescent="0.25">
      <c r="A1674" t="s">
        <v>192</v>
      </c>
      <c r="B1674" t="s">
        <v>170</v>
      </c>
      <c r="C1674" t="s">
        <v>144</v>
      </c>
      <c r="D1674">
        <v>2012</v>
      </c>
      <c r="E1674">
        <v>0</v>
      </c>
      <c r="F1674" t="s">
        <v>180</v>
      </c>
    </row>
    <row r="1675" spans="1:6" x14ac:dyDescent="0.25">
      <c r="A1675" t="s">
        <v>192</v>
      </c>
      <c r="B1675" t="s">
        <v>170</v>
      </c>
      <c r="C1675" t="s">
        <v>144</v>
      </c>
      <c r="D1675">
        <v>2011</v>
      </c>
      <c r="E1675">
        <v>0</v>
      </c>
      <c r="F1675" t="s">
        <v>180</v>
      </c>
    </row>
    <row r="1676" spans="1:6" x14ac:dyDescent="0.25">
      <c r="A1676" t="s">
        <v>192</v>
      </c>
      <c r="B1676" t="s">
        <v>170</v>
      </c>
      <c r="C1676" t="s">
        <v>144</v>
      </c>
      <c r="D1676">
        <v>2010</v>
      </c>
      <c r="E1676">
        <v>0</v>
      </c>
      <c r="F1676" t="s">
        <v>180</v>
      </c>
    </row>
    <row r="1677" spans="1:6" x14ac:dyDescent="0.25">
      <c r="A1677" t="s">
        <v>192</v>
      </c>
      <c r="B1677" t="s">
        <v>170</v>
      </c>
      <c r="C1677" t="s">
        <v>145</v>
      </c>
      <c r="D1677">
        <v>2014</v>
      </c>
      <c r="E1677">
        <v>0</v>
      </c>
      <c r="F1677" t="s">
        <v>180</v>
      </c>
    </row>
    <row r="1678" spans="1:6" x14ac:dyDescent="0.25">
      <c r="A1678" t="s">
        <v>192</v>
      </c>
      <c r="B1678" t="s">
        <v>170</v>
      </c>
      <c r="C1678" t="s">
        <v>145</v>
      </c>
      <c r="D1678">
        <v>2013</v>
      </c>
      <c r="E1678">
        <v>0</v>
      </c>
      <c r="F1678" t="s">
        <v>180</v>
      </c>
    </row>
    <row r="1679" spans="1:6" x14ac:dyDescent="0.25">
      <c r="A1679" t="s">
        <v>192</v>
      </c>
      <c r="B1679" t="s">
        <v>170</v>
      </c>
      <c r="C1679" t="s">
        <v>145</v>
      </c>
      <c r="D1679">
        <v>2012</v>
      </c>
      <c r="E1679">
        <v>0</v>
      </c>
      <c r="F1679" t="s">
        <v>180</v>
      </c>
    </row>
    <row r="1680" spans="1:6" x14ac:dyDescent="0.25">
      <c r="A1680" t="s">
        <v>192</v>
      </c>
      <c r="B1680" t="s">
        <v>170</v>
      </c>
      <c r="C1680" t="s">
        <v>145</v>
      </c>
      <c r="D1680">
        <v>2011</v>
      </c>
      <c r="E1680">
        <v>0</v>
      </c>
      <c r="F1680" t="s">
        <v>180</v>
      </c>
    </row>
    <row r="1681" spans="1:6" x14ac:dyDescent="0.25">
      <c r="A1681" t="s">
        <v>192</v>
      </c>
      <c r="B1681" t="s">
        <v>170</v>
      </c>
      <c r="C1681" t="s">
        <v>145</v>
      </c>
      <c r="D1681">
        <v>2010</v>
      </c>
      <c r="E1681">
        <v>0</v>
      </c>
      <c r="F1681" t="s">
        <v>180</v>
      </c>
    </row>
    <row r="1682" spans="1:6" x14ac:dyDescent="0.25">
      <c r="A1682" t="s">
        <v>192</v>
      </c>
      <c r="B1682" t="s">
        <v>170</v>
      </c>
      <c r="C1682" t="s">
        <v>146</v>
      </c>
      <c r="D1682">
        <v>2014</v>
      </c>
      <c r="E1682">
        <v>0</v>
      </c>
      <c r="F1682" t="s">
        <v>180</v>
      </c>
    </row>
    <row r="1683" spans="1:6" x14ac:dyDescent="0.25">
      <c r="A1683" t="s">
        <v>192</v>
      </c>
      <c r="B1683" t="s">
        <v>170</v>
      </c>
      <c r="C1683" t="s">
        <v>146</v>
      </c>
      <c r="D1683">
        <v>2013</v>
      </c>
      <c r="E1683">
        <v>0</v>
      </c>
      <c r="F1683" t="s">
        <v>180</v>
      </c>
    </row>
    <row r="1684" spans="1:6" x14ac:dyDescent="0.25">
      <c r="A1684" t="s">
        <v>192</v>
      </c>
      <c r="B1684" t="s">
        <v>170</v>
      </c>
      <c r="C1684" t="s">
        <v>146</v>
      </c>
      <c r="D1684">
        <v>2012</v>
      </c>
      <c r="E1684">
        <v>0</v>
      </c>
      <c r="F1684" t="s">
        <v>180</v>
      </c>
    </row>
    <row r="1685" spans="1:6" x14ac:dyDescent="0.25">
      <c r="A1685" t="s">
        <v>192</v>
      </c>
      <c r="B1685" t="s">
        <v>170</v>
      </c>
      <c r="C1685" t="s">
        <v>146</v>
      </c>
      <c r="D1685">
        <v>2011</v>
      </c>
      <c r="E1685">
        <v>0</v>
      </c>
      <c r="F1685" t="s">
        <v>180</v>
      </c>
    </row>
    <row r="1686" spans="1:6" x14ac:dyDescent="0.25">
      <c r="A1686" t="s">
        <v>192</v>
      </c>
      <c r="B1686" t="s">
        <v>170</v>
      </c>
      <c r="C1686" t="s">
        <v>146</v>
      </c>
      <c r="D1686">
        <v>2010</v>
      </c>
      <c r="E1686">
        <v>0</v>
      </c>
      <c r="F1686" t="s">
        <v>180</v>
      </c>
    </row>
    <row r="1687" spans="1:6" x14ac:dyDescent="0.25">
      <c r="A1687" t="s">
        <v>192</v>
      </c>
      <c r="B1687" t="s">
        <v>170</v>
      </c>
      <c r="C1687" t="s">
        <v>147</v>
      </c>
      <c r="D1687">
        <v>2014</v>
      </c>
      <c r="E1687">
        <v>1E-3</v>
      </c>
      <c r="F1687" t="s">
        <v>180</v>
      </c>
    </row>
    <row r="1688" spans="1:6" x14ac:dyDescent="0.25">
      <c r="A1688" t="s">
        <v>192</v>
      </c>
      <c r="B1688" t="s">
        <v>170</v>
      </c>
      <c r="C1688" t="s">
        <v>147</v>
      </c>
      <c r="D1688">
        <v>2013</v>
      </c>
      <c r="E1688">
        <v>1E-3</v>
      </c>
      <c r="F1688" t="s">
        <v>180</v>
      </c>
    </row>
    <row r="1689" spans="1:6" x14ac:dyDescent="0.25">
      <c r="A1689" t="s">
        <v>192</v>
      </c>
      <c r="B1689" t="s">
        <v>170</v>
      </c>
      <c r="C1689" t="s">
        <v>147</v>
      </c>
      <c r="D1689">
        <v>2012</v>
      </c>
      <c r="E1689">
        <v>2E-3</v>
      </c>
      <c r="F1689" t="s">
        <v>180</v>
      </c>
    </row>
    <row r="1690" spans="1:6" x14ac:dyDescent="0.25">
      <c r="A1690" t="s">
        <v>192</v>
      </c>
      <c r="B1690" t="s">
        <v>170</v>
      </c>
      <c r="C1690" t="s">
        <v>147</v>
      </c>
      <c r="D1690">
        <v>2011</v>
      </c>
      <c r="E1690">
        <v>2E-3</v>
      </c>
      <c r="F1690" t="s">
        <v>180</v>
      </c>
    </row>
    <row r="1691" spans="1:6" x14ac:dyDescent="0.25">
      <c r="A1691" t="s">
        <v>192</v>
      </c>
      <c r="B1691" t="s">
        <v>170</v>
      </c>
      <c r="C1691" t="s">
        <v>147</v>
      </c>
      <c r="D1691">
        <v>2010</v>
      </c>
      <c r="E1691">
        <v>1E-3</v>
      </c>
      <c r="F1691" t="s">
        <v>180</v>
      </c>
    </row>
    <row r="1692" spans="1:6" x14ac:dyDescent="0.25">
      <c r="A1692" t="s">
        <v>192</v>
      </c>
      <c r="B1692" t="s">
        <v>170</v>
      </c>
      <c r="C1692" t="s">
        <v>167</v>
      </c>
      <c r="D1692">
        <v>2014</v>
      </c>
      <c r="E1692">
        <v>0</v>
      </c>
      <c r="F1692" t="s">
        <v>180</v>
      </c>
    </row>
    <row r="1693" spans="1:6" x14ac:dyDescent="0.25">
      <c r="A1693" t="s">
        <v>192</v>
      </c>
      <c r="B1693" t="s">
        <v>170</v>
      </c>
      <c r="C1693" t="s">
        <v>167</v>
      </c>
      <c r="D1693">
        <v>2013</v>
      </c>
      <c r="E1693">
        <v>0</v>
      </c>
      <c r="F1693" t="s">
        <v>180</v>
      </c>
    </row>
    <row r="1694" spans="1:6" x14ac:dyDescent="0.25">
      <c r="A1694" t="s">
        <v>192</v>
      </c>
      <c r="B1694" t="s">
        <v>170</v>
      </c>
      <c r="C1694" t="s">
        <v>167</v>
      </c>
      <c r="D1694">
        <v>2012</v>
      </c>
      <c r="E1694">
        <v>0</v>
      </c>
      <c r="F1694" t="s">
        <v>180</v>
      </c>
    </row>
    <row r="1695" spans="1:6" x14ac:dyDescent="0.25">
      <c r="A1695" t="s">
        <v>192</v>
      </c>
      <c r="B1695" t="s">
        <v>170</v>
      </c>
      <c r="C1695" t="s">
        <v>167</v>
      </c>
      <c r="D1695">
        <v>2011</v>
      </c>
      <c r="E1695">
        <v>0</v>
      </c>
      <c r="F1695" t="s">
        <v>180</v>
      </c>
    </row>
    <row r="1696" spans="1:6" x14ac:dyDescent="0.25">
      <c r="A1696" t="s">
        <v>192</v>
      </c>
      <c r="B1696" t="s">
        <v>170</v>
      </c>
      <c r="C1696" t="s">
        <v>167</v>
      </c>
      <c r="D1696">
        <v>2010</v>
      </c>
      <c r="E1696">
        <v>0</v>
      </c>
      <c r="F1696" t="s">
        <v>180</v>
      </c>
    </row>
    <row r="1697" spans="1:6" x14ac:dyDescent="0.25">
      <c r="A1697" t="s">
        <v>192</v>
      </c>
      <c r="B1697" t="s">
        <v>170</v>
      </c>
      <c r="C1697" t="s">
        <v>168</v>
      </c>
      <c r="D1697">
        <v>2014</v>
      </c>
      <c r="E1697">
        <v>0</v>
      </c>
      <c r="F1697" t="s">
        <v>180</v>
      </c>
    </row>
    <row r="1698" spans="1:6" x14ac:dyDescent="0.25">
      <c r="A1698" t="s">
        <v>192</v>
      </c>
      <c r="B1698" t="s">
        <v>170</v>
      </c>
      <c r="C1698" t="s">
        <v>168</v>
      </c>
      <c r="D1698">
        <v>2013</v>
      </c>
      <c r="E1698">
        <v>0</v>
      </c>
      <c r="F1698" t="s">
        <v>180</v>
      </c>
    </row>
    <row r="1699" spans="1:6" x14ac:dyDescent="0.25">
      <c r="A1699" t="s">
        <v>192</v>
      </c>
      <c r="B1699" t="s">
        <v>170</v>
      </c>
      <c r="C1699" t="s">
        <v>168</v>
      </c>
      <c r="D1699">
        <v>2012</v>
      </c>
      <c r="E1699">
        <v>0</v>
      </c>
      <c r="F1699" t="s">
        <v>180</v>
      </c>
    </row>
    <row r="1700" spans="1:6" x14ac:dyDescent="0.25">
      <c r="A1700" t="s">
        <v>192</v>
      </c>
      <c r="B1700" t="s">
        <v>170</v>
      </c>
      <c r="C1700" t="s">
        <v>168</v>
      </c>
      <c r="D1700">
        <v>2011</v>
      </c>
      <c r="E1700">
        <v>0</v>
      </c>
      <c r="F1700" t="s">
        <v>180</v>
      </c>
    </row>
    <row r="1701" spans="1:6" x14ac:dyDescent="0.25">
      <c r="A1701" t="s">
        <v>192</v>
      </c>
      <c r="B1701" t="s">
        <v>170</v>
      </c>
      <c r="C1701" t="s">
        <v>168</v>
      </c>
      <c r="D1701">
        <v>2010</v>
      </c>
      <c r="E1701">
        <v>0</v>
      </c>
      <c r="F1701" t="s">
        <v>180</v>
      </c>
    </row>
    <row r="1702" spans="1:6" x14ac:dyDescent="0.25">
      <c r="A1702" t="s">
        <v>192</v>
      </c>
      <c r="B1702" t="s">
        <v>170</v>
      </c>
      <c r="C1702" t="s">
        <v>148</v>
      </c>
      <c r="D1702">
        <v>2014</v>
      </c>
      <c r="E1702">
        <v>0</v>
      </c>
      <c r="F1702" t="s">
        <v>180</v>
      </c>
    </row>
    <row r="1703" spans="1:6" x14ac:dyDescent="0.25">
      <c r="A1703" t="s">
        <v>192</v>
      </c>
      <c r="B1703" t="s">
        <v>170</v>
      </c>
      <c r="C1703" t="s">
        <v>148</v>
      </c>
      <c r="D1703">
        <v>2013</v>
      </c>
      <c r="E1703">
        <v>0</v>
      </c>
      <c r="F1703" t="s">
        <v>180</v>
      </c>
    </row>
    <row r="1704" spans="1:6" x14ac:dyDescent="0.25">
      <c r="A1704" t="s">
        <v>192</v>
      </c>
      <c r="B1704" t="s">
        <v>170</v>
      </c>
      <c r="C1704" t="s">
        <v>148</v>
      </c>
      <c r="D1704">
        <v>2012</v>
      </c>
      <c r="E1704">
        <v>0</v>
      </c>
      <c r="F1704" t="s">
        <v>180</v>
      </c>
    </row>
    <row r="1705" spans="1:6" x14ac:dyDescent="0.25">
      <c r="A1705" t="s">
        <v>192</v>
      </c>
      <c r="B1705" t="s">
        <v>170</v>
      </c>
      <c r="C1705" t="s">
        <v>148</v>
      </c>
      <c r="D1705">
        <v>2011</v>
      </c>
      <c r="E1705">
        <v>0</v>
      </c>
      <c r="F1705" t="s">
        <v>180</v>
      </c>
    </row>
    <row r="1706" spans="1:6" x14ac:dyDescent="0.25">
      <c r="A1706" t="s">
        <v>192</v>
      </c>
      <c r="B1706" t="s">
        <v>170</v>
      </c>
      <c r="C1706" t="s">
        <v>148</v>
      </c>
      <c r="D1706">
        <v>2010</v>
      </c>
      <c r="E1706">
        <v>0</v>
      </c>
      <c r="F1706" t="s">
        <v>180</v>
      </c>
    </row>
    <row r="1707" spans="1:6" x14ac:dyDescent="0.25">
      <c r="A1707" t="s">
        <v>192</v>
      </c>
      <c r="B1707" t="s">
        <v>170</v>
      </c>
      <c r="C1707" t="s">
        <v>149</v>
      </c>
      <c r="D1707">
        <v>2014</v>
      </c>
      <c r="E1707">
        <v>0</v>
      </c>
      <c r="F1707" t="s">
        <v>180</v>
      </c>
    </row>
    <row r="1708" spans="1:6" x14ac:dyDescent="0.25">
      <c r="A1708" t="s">
        <v>192</v>
      </c>
      <c r="B1708" t="s">
        <v>170</v>
      </c>
      <c r="C1708" t="s">
        <v>149</v>
      </c>
      <c r="D1708">
        <v>2013</v>
      </c>
      <c r="E1708">
        <v>0</v>
      </c>
      <c r="F1708" t="s">
        <v>180</v>
      </c>
    </row>
    <row r="1709" spans="1:6" x14ac:dyDescent="0.25">
      <c r="A1709" t="s">
        <v>192</v>
      </c>
      <c r="B1709" t="s">
        <v>170</v>
      </c>
      <c r="C1709" t="s">
        <v>149</v>
      </c>
      <c r="D1709">
        <v>2012</v>
      </c>
      <c r="E1709">
        <v>0</v>
      </c>
      <c r="F1709" t="s">
        <v>180</v>
      </c>
    </row>
    <row r="1710" spans="1:6" x14ac:dyDescent="0.25">
      <c r="A1710" t="s">
        <v>192</v>
      </c>
      <c r="B1710" t="s">
        <v>170</v>
      </c>
      <c r="C1710" t="s">
        <v>149</v>
      </c>
      <c r="D1710">
        <v>2011</v>
      </c>
      <c r="E1710">
        <v>0</v>
      </c>
      <c r="F1710" t="s">
        <v>180</v>
      </c>
    </row>
    <row r="1711" spans="1:6" x14ac:dyDescent="0.25">
      <c r="A1711" t="s">
        <v>192</v>
      </c>
      <c r="B1711" t="s">
        <v>170</v>
      </c>
      <c r="C1711" t="s">
        <v>149</v>
      </c>
      <c r="D1711">
        <v>2010</v>
      </c>
      <c r="E1711">
        <v>0</v>
      </c>
      <c r="F1711" t="s">
        <v>180</v>
      </c>
    </row>
    <row r="1712" spans="1:6" x14ac:dyDescent="0.25">
      <c r="A1712" t="s">
        <v>192</v>
      </c>
      <c r="B1712" t="s">
        <v>170</v>
      </c>
      <c r="C1712" t="s">
        <v>121</v>
      </c>
      <c r="D1712">
        <v>2014</v>
      </c>
      <c r="E1712">
        <v>0</v>
      </c>
      <c r="F1712" t="s">
        <v>178</v>
      </c>
    </row>
    <row r="1713" spans="1:6" x14ac:dyDescent="0.25">
      <c r="A1713" t="s">
        <v>192</v>
      </c>
      <c r="B1713" t="s">
        <v>170</v>
      </c>
      <c r="C1713" t="s">
        <v>121</v>
      </c>
      <c r="D1713">
        <v>2013</v>
      </c>
      <c r="E1713">
        <v>0</v>
      </c>
      <c r="F1713" t="s">
        <v>178</v>
      </c>
    </row>
    <row r="1714" spans="1:6" x14ac:dyDescent="0.25">
      <c r="A1714" t="s">
        <v>192</v>
      </c>
      <c r="B1714" t="s">
        <v>170</v>
      </c>
      <c r="C1714" t="s">
        <v>121</v>
      </c>
      <c r="D1714">
        <v>2012</v>
      </c>
      <c r="E1714">
        <v>0</v>
      </c>
      <c r="F1714" t="s">
        <v>178</v>
      </c>
    </row>
    <row r="1715" spans="1:6" x14ac:dyDescent="0.25">
      <c r="A1715" t="s">
        <v>192</v>
      </c>
      <c r="B1715" t="s">
        <v>170</v>
      </c>
      <c r="C1715" t="s">
        <v>121</v>
      </c>
      <c r="D1715">
        <v>2011</v>
      </c>
      <c r="E1715">
        <v>0</v>
      </c>
      <c r="F1715" t="s">
        <v>178</v>
      </c>
    </row>
    <row r="1716" spans="1:6" x14ac:dyDescent="0.25">
      <c r="A1716" t="s">
        <v>192</v>
      </c>
      <c r="B1716" t="s">
        <v>170</v>
      </c>
      <c r="C1716" t="s">
        <v>121</v>
      </c>
      <c r="D1716">
        <v>2010</v>
      </c>
      <c r="E1716">
        <v>0</v>
      </c>
      <c r="F1716" t="s">
        <v>178</v>
      </c>
    </row>
    <row r="1717" spans="1:6" x14ac:dyDescent="0.25">
      <c r="A1717" t="s">
        <v>192</v>
      </c>
      <c r="B1717" t="s">
        <v>170</v>
      </c>
      <c r="C1717" t="s">
        <v>122</v>
      </c>
      <c r="D1717">
        <v>2014</v>
      </c>
      <c r="E1717">
        <v>24.2438</v>
      </c>
      <c r="F1717" t="s">
        <v>178</v>
      </c>
    </row>
    <row r="1718" spans="1:6" x14ac:dyDescent="0.25">
      <c r="A1718" t="s">
        <v>192</v>
      </c>
      <c r="B1718" t="s">
        <v>170</v>
      </c>
      <c r="C1718" t="s">
        <v>122</v>
      </c>
      <c r="D1718">
        <v>2013</v>
      </c>
      <c r="E1718">
        <v>23.565799999999999</v>
      </c>
      <c r="F1718" t="s">
        <v>178</v>
      </c>
    </row>
    <row r="1719" spans="1:6" x14ac:dyDescent="0.25">
      <c r="A1719" t="s">
        <v>192</v>
      </c>
      <c r="B1719" t="s">
        <v>170</v>
      </c>
      <c r="C1719" t="s">
        <v>122</v>
      </c>
      <c r="D1719">
        <v>2012</v>
      </c>
      <c r="E1719">
        <v>22.495999999999999</v>
      </c>
      <c r="F1719" t="s">
        <v>178</v>
      </c>
    </row>
    <row r="1720" spans="1:6" x14ac:dyDescent="0.25">
      <c r="A1720" t="s">
        <v>192</v>
      </c>
      <c r="B1720" t="s">
        <v>170</v>
      </c>
      <c r="C1720" t="s">
        <v>122</v>
      </c>
      <c r="D1720">
        <v>2011</v>
      </c>
      <c r="E1720">
        <v>19.436</v>
      </c>
      <c r="F1720" t="s">
        <v>178</v>
      </c>
    </row>
    <row r="1721" spans="1:6" x14ac:dyDescent="0.25">
      <c r="A1721" t="s">
        <v>192</v>
      </c>
      <c r="B1721" t="s">
        <v>170</v>
      </c>
      <c r="C1721" t="s">
        <v>122</v>
      </c>
      <c r="D1721">
        <v>2010</v>
      </c>
      <c r="E1721">
        <v>23.696100000000001</v>
      </c>
      <c r="F1721" t="s">
        <v>178</v>
      </c>
    </row>
    <row r="1722" spans="1:6" x14ac:dyDescent="0.25">
      <c r="A1722" t="s">
        <v>192</v>
      </c>
      <c r="B1722" t="s">
        <v>170</v>
      </c>
      <c r="C1722" t="s">
        <v>123</v>
      </c>
      <c r="D1722">
        <v>2014</v>
      </c>
      <c r="E1722">
        <v>0.17199999999999999</v>
      </c>
      <c r="F1722" t="s">
        <v>178</v>
      </c>
    </row>
    <row r="1723" spans="1:6" x14ac:dyDescent="0.25">
      <c r="A1723" t="s">
        <v>192</v>
      </c>
      <c r="B1723" t="s">
        <v>170</v>
      </c>
      <c r="C1723" t="s">
        <v>123</v>
      </c>
      <c r="D1723">
        <v>2013</v>
      </c>
      <c r="E1723">
        <v>0.17699999999999999</v>
      </c>
      <c r="F1723" t="s">
        <v>178</v>
      </c>
    </row>
    <row r="1724" spans="1:6" x14ac:dyDescent="0.25">
      <c r="A1724" t="s">
        <v>192</v>
      </c>
      <c r="B1724" t="s">
        <v>170</v>
      </c>
      <c r="C1724" t="s">
        <v>123</v>
      </c>
      <c r="D1724">
        <v>2012</v>
      </c>
      <c r="E1724">
        <v>0.17699999999999999</v>
      </c>
      <c r="F1724" t="s">
        <v>178</v>
      </c>
    </row>
    <row r="1725" spans="1:6" x14ac:dyDescent="0.25">
      <c r="A1725" t="s">
        <v>192</v>
      </c>
      <c r="B1725" t="s">
        <v>170</v>
      </c>
      <c r="C1725" t="s">
        <v>123</v>
      </c>
      <c r="D1725">
        <v>2011</v>
      </c>
      <c r="E1725">
        <v>0</v>
      </c>
      <c r="F1725" t="s">
        <v>178</v>
      </c>
    </row>
    <row r="1726" spans="1:6" x14ac:dyDescent="0.25">
      <c r="A1726" t="s">
        <v>192</v>
      </c>
      <c r="B1726" t="s">
        <v>170</v>
      </c>
      <c r="C1726" t="s">
        <v>123</v>
      </c>
      <c r="D1726">
        <v>2010</v>
      </c>
      <c r="E1726">
        <v>0</v>
      </c>
      <c r="F1726" t="s">
        <v>178</v>
      </c>
    </row>
    <row r="1727" spans="1:6" x14ac:dyDescent="0.25">
      <c r="A1727" t="s">
        <v>192</v>
      </c>
      <c r="B1727" t="s">
        <v>170</v>
      </c>
      <c r="C1727" t="s">
        <v>124</v>
      </c>
      <c r="D1727">
        <v>2014</v>
      </c>
      <c r="E1727">
        <v>0.23699999999999999</v>
      </c>
      <c r="F1727" t="s">
        <v>178</v>
      </c>
    </row>
    <row r="1728" spans="1:6" x14ac:dyDescent="0.25">
      <c r="A1728" t="s">
        <v>192</v>
      </c>
      <c r="B1728" t="s">
        <v>170</v>
      </c>
      <c r="C1728" t="s">
        <v>124</v>
      </c>
      <c r="D1728">
        <v>2013</v>
      </c>
      <c r="E1728">
        <v>5.2999999999999999E-2</v>
      </c>
      <c r="F1728" t="s">
        <v>178</v>
      </c>
    </row>
    <row r="1729" spans="1:6" x14ac:dyDescent="0.25">
      <c r="A1729" t="s">
        <v>192</v>
      </c>
      <c r="B1729" t="s">
        <v>170</v>
      </c>
      <c r="C1729" t="s">
        <v>124</v>
      </c>
      <c r="D1729">
        <v>2012</v>
      </c>
      <c r="E1729">
        <v>0.125</v>
      </c>
      <c r="F1729" t="s">
        <v>178</v>
      </c>
    </row>
    <row r="1730" spans="1:6" x14ac:dyDescent="0.25">
      <c r="A1730" t="s">
        <v>192</v>
      </c>
      <c r="B1730" t="s">
        <v>170</v>
      </c>
      <c r="C1730" t="s">
        <v>124</v>
      </c>
      <c r="D1730">
        <v>2011</v>
      </c>
      <c r="E1730">
        <v>9.0999999999999998E-2</v>
      </c>
      <c r="F1730" t="s">
        <v>178</v>
      </c>
    </row>
    <row r="1731" spans="1:6" x14ac:dyDescent="0.25">
      <c r="A1731" t="s">
        <v>192</v>
      </c>
      <c r="B1731" t="s">
        <v>170</v>
      </c>
      <c r="C1731" t="s">
        <v>124</v>
      </c>
      <c r="D1731">
        <v>2010</v>
      </c>
      <c r="E1731">
        <v>0.09</v>
      </c>
      <c r="F1731" t="s">
        <v>178</v>
      </c>
    </row>
    <row r="1732" spans="1:6" x14ac:dyDescent="0.25">
      <c r="A1732" t="s">
        <v>192</v>
      </c>
      <c r="B1732" t="s">
        <v>170</v>
      </c>
      <c r="C1732" t="s">
        <v>160</v>
      </c>
      <c r="D1732">
        <v>2014</v>
      </c>
      <c r="E1732">
        <v>0</v>
      </c>
      <c r="F1732" t="s">
        <v>178</v>
      </c>
    </row>
    <row r="1733" spans="1:6" x14ac:dyDescent="0.25">
      <c r="A1733" t="s">
        <v>192</v>
      </c>
      <c r="B1733" t="s">
        <v>170</v>
      </c>
      <c r="C1733" t="s">
        <v>160</v>
      </c>
      <c r="D1733">
        <v>2013</v>
      </c>
      <c r="E1733">
        <v>0</v>
      </c>
      <c r="F1733" t="s">
        <v>178</v>
      </c>
    </row>
    <row r="1734" spans="1:6" x14ac:dyDescent="0.25">
      <c r="A1734" t="s">
        <v>192</v>
      </c>
      <c r="B1734" t="s">
        <v>170</v>
      </c>
      <c r="C1734" t="s">
        <v>160</v>
      </c>
      <c r="D1734">
        <v>2012</v>
      </c>
      <c r="E1734">
        <v>0</v>
      </c>
      <c r="F1734" t="s">
        <v>178</v>
      </c>
    </row>
    <row r="1735" spans="1:6" x14ac:dyDescent="0.25">
      <c r="A1735" t="s">
        <v>192</v>
      </c>
      <c r="B1735" t="s">
        <v>170</v>
      </c>
      <c r="C1735" t="s">
        <v>160</v>
      </c>
      <c r="D1735">
        <v>2011</v>
      </c>
      <c r="E1735">
        <v>0</v>
      </c>
      <c r="F1735" t="s">
        <v>178</v>
      </c>
    </row>
    <row r="1736" spans="1:6" x14ac:dyDescent="0.25">
      <c r="A1736" t="s">
        <v>192</v>
      </c>
      <c r="B1736" t="s">
        <v>170</v>
      </c>
      <c r="C1736" t="s">
        <v>160</v>
      </c>
      <c r="D1736">
        <v>2010</v>
      </c>
      <c r="E1736">
        <v>0</v>
      </c>
      <c r="F1736" t="s">
        <v>178</v>
      </c>
    </row>
    <row r="1737" spans="1:6" x14ac:dyDescent="0.25">
      <c r="A1737" t="s">
        <v>192</v>
      </c>
      <c r="B1737" t="s">
        <v>170</v>
      </c>
      <c r="C1737" t="s">
        <v>125</v>
      </c>
      <c r="D1737">
        <v>2014</v>
      </c>
      <c r="E1737">
        <v>1.151</v>
      </c>
      <c r="F1737" t="s">
        <v>178</v>
      </c>
    </row>
    <row r="1738" spans="1:6" x14ac:dyDescent="0.25">
      <c r="A1738" t="s">
        <v>192</v>
      </c>
      <c r="B1738" t="s">
        <v>170</v>
      </c>
      <c r="C1738" t="s">
        <v>125</v>
      </c>
      <c r="D1738">
        <v>2013</v>
      </c>
      <c r="E1738">
        <v>1.2869999999999999</v>
      </c>
      <c r="F1738" t="s">
        <v>178</v>
      </c>
    </row>
    <row r="1739" spans="1:6" x14ac:dyDescent="0.25">
      <c r="A1739" t="s">
        <v>192</v>
      </c>
      <c r="B1739" t="s">
        <v>170</v>
      </c>
      <c r="C1739" t="s">
        <v>125</v>
      </c>
      <c r="D1739">
        <v>2012</v>
      </c>
      <c r="E1739">
        <v>1.1779999999999999</v>
      </c>
      <c r="F1739" t="s">
        <v>178</v>
      </c>
    </row>
    <row r="1740" spans="1:6" x14ac:dyDescent="0.25">
      <c r="A1740" t="s">
        <v>192</v>
      </c>
      <c r="B1740" t="s">
        <v>170</v>
      </c>
      <c r="C1740" t="s">
        <v>125</v>
      </c>
      <c r="D1740">
        <v>2011</v>
      </c>
      <c r="E1740">
        <v>1.4630000000000001</v>
      </c>
      <c r="F1740" t="s">
        <v>178</v>
      </c>
    </row>
    <row r="1741" spans="1:6" x14ac:dyDescent="0.25">
      <c r="A1741" t="s">
        <v>192</v>
      </c>
      <c r="B1741" t="s">
        <v>170</v>
      </c>
      <c r="C1741" t="s">
        <v>125</v>
      </c>
      <c r="D1741">
        <v>2010</v>
      </c>
      <c r="E1741">
        <v>1.1359999999999999</v>
      </c>
      <c r="F1741" t="s">
        <v>178</v>
      </c>
    </row>
    <row r="1742" spans="1:6" x14ac:dyDescent="0.25">
      <c r="A1742" t="s">
        <v>192</v>
      </c>
      <c r="B1742" t="s">
        <v>170</v>
      </c>
      <c r="C1742" t="s">
        <v>126</v>
      </c>
      <c r="D1742">
        <v>2014</v>
      </c>
      <c r="E1742">
        <v>34.992100000000001</v>
      </c>
      <c r="F1742" t="s">
        <v>178</v>
      </c>
    </row>
    <row r="1743" spans="1:6" x14ac:dyDescent="0.25">
      <c r="A1743" t="s">
        <v>192</v>
      </c>
      <c r="B1743" t="s">
        <v>170</v>
      </c>
      <c r="C1743" t="s">
        <v>126</v>
      </c>
      <c r="D1743">
        <v>2013</v>
      </c>
      <c r="E1743">
        <v>33.248100000000001</v>
      </c>
      <c r="F1743" t="s">
        <v>178</v>
      </c>
    </row>
    <row r="1744" spans="1:6" x14ac:dyDescent="0.25">
      <c r="A1744" t="s">
        <v>192</v>
      </c>
      <c r="B1744" t="s">
        <v>170</v>
      </c>
      <c r="C1744" t="s">
        <v>126</v>
      </c>
      <c r="D1744">
        <v>2012</v>
      </c>
      <c r="E1744">
        <v>39.251600000000003</v>
      </c>
      <c r="F1744" t="s">
        <v>178</v>
      </c>
    </row>
    <row r="1745" spans="1:6" x14ac:dyDescent="0.25">
      <c r="A1745" t="s">
        <v>192</v>
      </c>
      <c r="B1745" t="s">
        <v>170</v>
      </c>
      <c r="C1745" t="s">
        <v>126</v>
      </c>
      <c r="D1745">
        <v>2011</v>
      </c>
      <c r="E1745">
        <v>30.428699999999999</v>
      </c>
      <c r="F1745" t="s">
        <v>178</v>
      </c>
    </row>
    <row r="1746" spans="1:6" x14ac:dyDescent="0.25">
      <c r="A1746" t="s">
        <v>192</v>
      </c>
      <c r="B1746" t="s">
        <v>170</v>
      </c>
      <c r="C1746" t="s">
        <v>126</v>
      </c>
      <c r="D1746">
        <v>2010</v>
      </c>
      <c r="E1746">
        <v>29.165199999999999</v>
      </c>
      <c r="F1746" t="s">
        <v>178</v>
      </c>
    </row>
    <row r="1747" spans="1:6" x14ac:dyDescent="0.25">
      <c r="A1747" t="s">
        <v>192</v>
      </c>
      <c r="B1747" t="s">
        <v>170</v>
      </c>
      <c r="C1747" t="s">
        <v>127</v>
      </c>
      <c r="D1747">
        <v>2014</v>
      </c>
      <c r="E1747">
        <v>19.873000000000001</v>
      </c>
      <c r="F1747" t="s">
        <v>178</v>
      </c>
    </row>
    <row r="1748" spans="1:6" x14ac:dyDescent="0.25">
      <c r="A1748" t="s">
        <v>192</v>
      </c>
      <c r="B1748" t="s">
        <v>170</v>
      </c>
      <c r="C1748" t="s">
        <v>127</v>
      </c>
      <c r="D1748">
        <v>2013</v>
      </c>
      <c r="E1748">
        <v>20.406400000000001</v>
      </c>
      <c r="F1748" t="s">
        <v>178</v>
      </c>
    </row>
    <row r="1749" spans="1:6" x14ac:dyDescent="0.25">
      <c r="A1749" t="s">
        <v>192</v>
      </c>
      <c r="B1749" t="s">
        <v>170</v>
      </c>
      <c r="C1749" t="s">
        <v>127</v>
      </c>
      <c r="D1749">
        <v>2012</v>
      </c>
      <c r="E1749">
        <v>20.675000000000001</v>
      </c>
      <c r="F1749" t="s">
        <v>178</v>
      </c>
    </row>
    <row r="1750" spans="1:6" x14ac:dyDescent="0.25">
      <c r="A1750" t="s">
        <v>192</v>
      </c>
      <c r="B1750" t="s">
        <v>170</v>
      </c>
      <c r="C1750" t="s">
        <v>127</v>
      </c>
      <c r="D1750">
        <v>2011</v>
      </c>
      <c r="E1750">
        <v>19.0623</v>
      </c>
      <c r="F1750" t="s">
        <v>178</v>
      </c>
    </row>
    <row r="1751" spans="1:6" x14ac:dyDescent="0.25">
      <c r="A1751" t="s">
        <v>192</v>
      </c>
      <c r="B1751" t="s">
        <v>170</v>
      </c>
      <c r="C1751" t="s">
        <v>127</v>
      </c>
      <c r="D1751">
        <v>2010</v>
      </c>
      <c r="E1751">
        <v>21.097999999999999</v>
      </c>
      <c r="F1751" t="s">
        <v>178</v>
      </c>
    </row>
    <row r="1752" spans="1:6" x14ac:dyDescent="0.25">
      <c r="A1752" t="s">
        <v>192</v>
      </c>
      <c r="B1752" t="s">
        <v>170</v>
      </c>
      <c r="C1752" t="s">
        <v>128</v>
      </c>
      <c r="D1752">
        <v>2014</v>
      </c>
      <c r="E1752">
        <v>3.27</v>
      </c>
      <c r="F1752" t="s">
        <v>178</v>
      </c>
    </row>
    <row r="1753" spans="1:6" x14ac:dyDescent="0.25">
      <c r="A1753" t="s">
        <v>192</v>
      </c>
      <c r="B1753" t="s">
        <v>170</v>
      </c>
      <c r="C1753" t="s">
        <v>128</v>
      </c>
      <c r="D1753">
        <v>2013</v>
      </c>
      <c r="E1753">
        <v>4.2539999999999996</v>
      </c>
      <c r="F1753" t="s">
        <v>178</v>
      </c>
    </row>
    <row r="1754" spans="1:6" x14ac:dyDescent="0.25">
      <c r="A1754" t="s">
        <v>192</v>
      </c>
      <c r="B1754" t="s">
        <v>170</v>
      </c>
      <c r="C1754" t="s">
        <v>128</v>
      </c>
      <c r="D1754">
        <v>2012</v>
      </c>
      <c r="E1754">
        <v>4.0279999999999996</v>
      </c>
      <c r="F1754" t="s">
        <v>178</v>
      </c>
    </row>
    <row r="1755" spans="1:6" x14ac:dyDescent="0.25">
      <c r="A1755" t="s">
        <v>192</v>
      </c>
      <c r="B1755" t="s">
        <v>170</v>
      </c>
      <c r="C1755" t="s">
        <v>128</v>
      </c>
      <c r="D1755">
        <v>2011</v>
      </c>
      <c r="E1755">
        <v>5.0030000000000001</v>
      </c>
      <c r="F1755" t="s">
        <v>178</v>
      </c>
    </row>
    <row r="1756" spans="1:6" x14ac:dyDescent="0.25">
      <c r="A1756" t="s">
        <v>192</v>
      </c>
      <c r="B1756" t="s">
        <v>170</v>
      </c>
      <c r="C1756" t="s">
        <v>128</v>
      </c>
      <c r="D1756">
        <v>2010</v>
      </c>
      <c r="E1756">
        <v>3.8069999999999999</v>
      </c>
      <c r="F1756" t="s">
        <v>178</v>
      </c>
    </row>
    <row r="1757" spans="1:6" x14ac:dyDescent="0.25">
      <c r="A1757" t="s">
        <v>192</v>
      </c>
      <c r="B1757" t="s">
        <v>170</v>
      </c>
      <c r="C1757" t="s">
        <v>161</v>
      </c>
      <c r="D1757">
        <v>2014</v>
      </c>
      <c r="E1757">
        <v>0</v>
      </c>
      <c r="F1757" t="s">
        <v>178</v>
      </c>
    </row>
    <row r="1758" spans="1:6" x14ac:dyDescent="0.25">
      <c r="A1758" t="s">
        <v>192</v>
      </c>
      <c r="B1758" t="s">
        <v>170</v>
      </c>
      <c r="C1758" t="s">
        <v>161</v>
      </c>
      <c r="D1758">
        <v>2013</v>
      </c>
      <c r="E1758">
        <v>0</v>
      </c>
      <c r="F1758" t="s">
        <v>178</v>
      </c>
    </row>
    <row r="1759" spans="1:6" x14ac:dyDescent="0.25">
      <c r="A1759" t="s">
        <v>192</v>
      </c>
      <c r="B1759" t="s">
        <v>170</v>
      </c>
      <c r="C1759" t="s">
        <v>161</v>
      </c>
      <c r="D1759">
        <v>2012</v>
      </c>
      <c r="E1759">
        <v>0</v>
      </c>
      <c r="F1759" t="s">
        <v>178</v>
      </c>
    </row>
    <row r="1760" spans="1:6" x14ac:dyDescent="0.25">
      <c r="A1760" t="s">
        <v>192</v>
      </c>
      <c r="B1760" t="s">
        <v>170</v>
      </c>
      <c r="C1760" t="s">
        <v>161</v>
      </c>
      <c r="D1760">
        <v>2011</v>
      </c>
      <c r="E1760">
        <v>0</v>
      </c>
      <c r="F1760" t="s">
        <v>178</v>
      </c>
    </row>
    <row r="1761" spans="1:6" x14ac:dyDescent="0.25">
      <c r="A1761" t="s">
        <v>192</v>
      </c>
      <c r="B1761" t="s">
        <v>170</v>
      </c>
      <c r="C1761" t="s">
        <v>161</v>
      </c>
      <c r="D1761">
        <v>2010</v>
      </c>
      <c r="E1761">
        <v>0</v>
      </c>
      <c r="F1761" t="s">
        <v>178</v>
      </c>
    </row>
    <row r="1762" spans="1:6" x14ac:dyDescent="0.25">
      <c r="A1762" t="s">
        <v>192</v>
      </c>
      <c r="B1762" t="s">
        <v>170</v>
      </c>
      <c r="C1762" t="s">
        <v>162</v>
      </c>
      <c r="D1762">
        <v>2014</v>
      </c>
      <c r="E1762">
        <v>0</v>
      </c>
      <c r="F1762" t="s">
        <v>178</v>
      </c>
    </row>
    <row r="1763" spans="1:6" x14ac:dyDescent="0.25">
      <c r="A1763" t="s">
        <v>192</v>
      </c>
      <c r="B1763" t="s">
        <v>170</v>
      </c>
      <c r="C1763" t="s">
        <v>162</v>
      </c>
      <c r="D1763">
        <v>2013</v>
      </c>
      <c r="E1763">
        <v>0</v>
      </c>
      <c r="F1763" t="s">
        <v>178</v>
      </c>
    </row>
    <row r="1764" spans="1:6" x14ac:dyDescent="0.25">
      <c r="A1764" t="s">
        <v>192</v>
      </c>
      <c r="B1764" t="s">
        <v>170</v>
      </c>
      <c r="C1764" t="s">
        <v>162</v>
      </c>
      <c r="D1764">
        <v>2012</v>
      </c>
      <c r="E1764">
        <v>0</v>
      </c>
      <c r="F1764" t="s">
        <v>178</v>
      </c>
    </row>
    <row r="1765" spans="1:6" x14ac:dyDescent="0.25">
      <c r="A1765" t="s">
        <v>192</v>
      </c>
      <c r="B1765" t="s">
        <v>170</v>
      </c>
      <c r="C1765" t="s">
        <v>162</v>
      </c>
      <c r="D1765">
        <v>2011</v>
      </c>
      <c r="E1765">
        <v>0</v>
      </c>
      <c r="F1765" t="s">
        <v>178</v>
      </c>
    </row>
    <row r="1766" spans="1:6" x14ac:dyDescent="0.25">
      <c r="A1766" t="s">
        <v>192</v>
      </c>
      <c r="B1766" t="s">
        <v>170</v>
      </c>
      <c r="C1766" t="s">
        <v>162</v>
      </c>
      <c r="D1766">
        <v>2010</v>
      </c>
      <c r="E1766">
        <v>0</v>
      </c>
      <c r="F1766" t="s">
        <v>178</v>
      </c>
    </row>
    <row r="1767" spans="1:6" x14ac:dyDescent="0.25">
      <c r="A1767" t="s">
        <v>192</v>
      </c>
      <c r="B1767" t="s">
        <v>170</v>
      </c>
      <c r="C1767" t="s">
        <v>129</v>
      </c>
      <c r="D1767">
        <v>2014</v>
      </c>
      <c r="E1767">
        <v>29.7014</v>
      </c>
      <c r="F1767" t="s">
        <v>178</v>
      </c>
    </row>
    <row r="1768" spans="1:6" x14ac:dyDescent="0.25">
      <c r="A1768" t="s">
        <v>192</v>
      </c>
      <c r="B1768" t="s">
        <v>170</v>
      </c>
      <c r="C1768" t="s">
        <v>129</v>
      </c>
      <c r="D1768">
        <v>2013</v>
      </c>
      <c r="E1768">
        <v>27.144300000000001</v>
      </c>
      <c r="F1768" t="s">
        <v>178</v>
      </c>
    </row>
    <row r="1769" spans="1:6" x14ac:dyDescent="0.25">
      <c r="A1769" t="s">
        <v>192</v>
      </c>
      <c r="B1769" t="s">
        <v>170</v>
      </c>
      <c r="C1769" t="s">
        <v>129</v>
      </c>
      <c r="D1769">
        <v>2012</v>
      </c>
      <c r="E1769">
        <v>26.725000000000001</v>
      </c>
      <c r="F1769" t="s">
        <v>178</v>
      </c>
    </row>
    <row r="1770" spans="1:6" x14ac:dyDescent="0.25">
      <c r="A1770" t="s">
        <v>192</v>
      </c>
      <c r="B1770" t="s">
        <v>170</v>
      </c>
      <c r="C1770" t="s">
        <v>129</v>
      </c>
      <c r="D1770">
        <v>2011</v>
      </c>
      <c r="E1770">
        <v>22.792999999999999</v>
      </c>
      <c r="F1770" t="s">
        <v>178</v>
      </c>
    </row>
    <row r="1771" spans="1:6" x14ac:dyDescent="0.25">
      <c r="A1771" t="s">
        <v>192</v>
      </c>
      <c r="B1771" t="s">
        <v>170</v>
      </c>
      <c r="C1771" t="s">
        <v>129</v>
      </c>
      <c r="D1771">
        <v>2010</v>
      </c>
      <c r="E1771">
        <v>24.087</v>
      </c>
      <c r="F1771" t="s">
        <v>178</v>
      </c>
    </row>
    <row r="1772" spans="1:6" x14ac:dyDescent="0.25">
      <c r="A1772" t="s">
        <v>192</v>
      </c>
      <c r="B1772" t="s">
        <v>170</v>
      </c>
      <c r="C1772" t="s">
        <v>130</v>
      </c>
      <c r="D1772">
        <v>2014</v>
      </c>
      <c r="E1772">
        <v>17.271999999999998</v>
      </c>
      <c r="F1772" t="s">
        <v>178</v>
      </c>
    </row>
    <row r="1773" spans="1:6" x14ac:dyDescent="0.25">
      <c r="A1773" t="s">
        <v>192</v>
      </c>
      <c r="B1773" t="s">
        <v>170</v>
      </c>
      <c r="C1773" t="s">
        <v>130</v>
      </c>
      <c r="D1773">
        <v>2013</v>
      </c>
      <c r="E1773">
        <v>15.151</v>
      </c>
      <c r="F1773" t="s">
        <v>178</v>
      </c>
    </row>
    <row r="1774" spans="1:6" x14ac:dyDescent="0.25">
      <c r="A1774" t="s">
        <v>192</v>
      </c>
      <c r="B1774" t="s">
        <v>170</v>
      </c>
      <c r="C1774" t="s">
        <v>130</v>
      </c>
      <c r="D1774">
        <v>2012</v>
      </c>
      <c r="E1774">
        <v>13.005000000000001</v>
      </c>
      <c r="F1774" t="s">
        <v>178</v>
      </c>
    </row>
    <row r="1775" spans="1:6" x14ac:dyDescent="0.25">
      <c r="A1775" t="s">
        <v>192</v>
      </c>
      <c r="B1775" t="s">
        <v>170</v>
      </c>
      <c r="C1775" t="s">
        <v>130</v>
      </c>
      <c r="D1775">
        <v>2011</v>
      </c>
      <c r="E1775">
        <v>9.8670000000000009</v>
      </c>
      <c r="F1775" t="s">
        <v>178</v>
      </c>
    </row>
    <row r="1776" spans="1:6" x14ac:dyDescent="0.25">
      <c r="A1776" t="s">
        <v>192</v>
      </c>
      <c r="B1776" t="s">
        <v>170</v>
      </c>
      <c r="C1776" t="s">
        <v>130</v>
      </c>
      <c r="D1776">
        <v>2010</v>
      </c>
      <c r="E1776">
        <v>12.028</v>
      </c>
      <c r="F1776" t="s">
        <v>178</v>
      </c>
    </row>
    <row r="1777" spans="1:6" x14ac:dyDescent="0.25">
      <c r="A1777" t="s">
        <v>192</v>
      </c>
      <c r="B1777" t="s">
        <v>170</v>
      </c>
      <c r="C1777" t="s">
        <v>131</v>
      </c>
      <c r="D1777">
        <v>2014</v>
      </c>
      <c r="E1777">
        <v>0</v>
      </c>
      <c r="F1777" t="s">
        <v>178</v>
      </c>
    </row>
    <row r="1778" spans="1:6" x14ac:dyDescent="0.25">
      <c r="A1778" t="s">
        <v>192</v>
      </c>
      <c r="B1778" t="s">
        <v>170</v>
      </c>
      <c r="C1778" t="s">
        <v>131</v>
      </c>
      <c r="D1778">
        <v>2013</v>
      </c>
      <c r="E1778">
        <v>0</v>
      </c>
      <c r="F1778" t="s">
        <v>178</v>
      </c>
    </row>
    <row r="1779" spans="1:6" x14ac:dyDescent="0.25">
      <c r="A1779" t="s">
        <v>192</v>
      </c>
      <c r="B1779" t="s">
        <v>170</v>
      </c>
      <c r="C1779" t="s">
        <v>131</v>
      </c>
      <c r="D1779">
        <v>2012</v>
      </c>
      <c r="E1779">
        <v>0</v>
      </c>
      <c r="F1779" t="s">
        <v>178</v>
      </c>
    </row>
    <row r="1780" spans="1:6" x14ac:dyDescent="0.25">
      <c r="A1780" t="s">
        <v>192</v>
      </c>
      <c r="B1780" t="s">
        <v>170</v>
      </c>
      <c r="C1780" t="s">
        <v>131</v>
      </c>
      <c r="D1780">
        <v>2011</v>
      </c>
      <c r="E1780">
        <v>0</v>
      </c>
      <c r="F1780" t="s">
        <v>178</v>
      </c>
    </row>
    <row r="1781" spans="1:6" x14ac:dyDescent="0.25">
      <c r="A1781" t="s">
        <v>192</v>
      </c>
      <c r="B1781" t="s">
        <v>170</v>
      </c>
      <c r="C1781" t="s">
        <v>131</v>
      </c>
      <c r="D1781">
        <v>2010</v>
      </c>
      <c r="E1781">
        <v>0</v>
      </c>
      <c r="F1781" t="s">
        <v>178</v>
      </c>
    </row>
    <row r="1782" spans="1:6" x14ac:dyDescent="0.25">
      <c r="A1782" t="s">
        <v>192</v>
      </c>
      <c r="B1782" t="s">
        <v>170</v>
      </c>
      <c r="C1782" t="s">
        <v>132</v>
      </c>
      <c r="D1782">
        <v>2014</v>
      </c>
      <c r="E1782">
        <v>1.55</v>
      </c>
      <c r="F1782" t="s">
        <v>178</v>
      </c>
    </row>
    <row r="1783" spans="1:6" x14ac:dyDescent="0.25">
      <c r="A1783" t="s">
        <v>192</v>
      </c>
      <c r="B1783" t="s">
        <v>170</v>
      </c>
      <c r="C1783" t="s">
        <v>132</v>
      </c>
      <c r="D1783">
        <v>2013</v>
      </c>
      <c r="E1783">
        <v>1.86</v>
      </c>
      <c r="F1783" t="s">
        <v>178</v>
      </c>
    </row>
    <row r="1784" spans="1:6" x14ac:dyDescent="0.25">
      <c r="A1784" t="s">
        <v>192</v>
      </c>
      <c r="B1784" t="s">
        <v>170</v>
      </c>
      <c r="C1784" t="s">
        <v>132</v>
      </c>
      <c r="D1784">
        <v>2012</v>
      </c>
      <c r="E1784">
        <v>0.82899999999999996</v>
      </c>
      <c r="F1784" t="s">
        <v>178</v>
      </c>
    </row>
    <row r="1785" spans="1:6" x14ac:dyDescent="0.25">
      <c r="A1785" t="s">
        <v>192</v>
      </c>
      <c r="B1785" t="s">
        <v>170</v>
      </c>
      <c r="C1785" t="s">
        <v>132</v>
      </c>
      <c r="D1785">
        <v>2011</v>
      </c>
      <c r="E1785">
        <v>0.52300000000000002</v>
      </c>
      <c r="F1785" t="s">
        <v>178</v>
      </c>
    </row>
    <row r="1786" spans="1:6" x14ac:dyDescent="0.25">
      <c r="A1786" t="s">
        <v>192</v>
      </c>
      <c r="B1786" t="s">
        <v>170</v>
      </c>
      <c r="C1786" t="s">
        <v>132</v>
      </c>
      <c r="D1786">
        <v>2010</v>
      </c>
      <c r="E1786">
        <v>0.20799999999999999</v>
      </c>
      <c r="F1786" t="s">
        <v>178</v>
      </c>
    </row>
    <row r="1787" spans="1:6" x14ac:dyDescent="0.25">
      <c r="A1787" t="s">
        <v>192</v>
      </c>
      <c r="B1787" t="s">
        <v>170</v>
      </c>
      <c r="C1787" t="s">
        <v>163</v>
      </c>
      <c r="D1787">
        <v>2014</v>
      </c>
      <c r="E1787">
        <v>0</v>
      </c>
      <c r="F1787" t="s">
        <v>178</v>
      </c>
    </row>
    <row r="1788" spans="1:6" x14ac:dyDescent="0.25">
      <c r="A1788" t="s">
        <v>192</v>
      </c>
      <c r="B1788" t="s">
        <v>170</v>
      </c>
      <c r="C1788" t="s">
        <v>163</v>
      </c>
      <c r="D1788">
        <v>2013</v>
      </c>
      <c r="E1788">
        <v>0</v>
      </c>
      <c r="F1788" t="s">
        <v>178</v>
      </c>
    </row>
    <row r="1789" spans="1:6" x14ac:dyDescent="0.25">
      <c r="A1789" t="s">
        <v>192</v>
      </c>
      <c r="B1789" t="s">
        <v>170</v>
      </c>
      <c r="C1789" t="s">
        <v>163</v>
      </c>
      <c r="D1789">
        <v>2012</v>
      </c>
      <c r="E1789">
        <v>0</v>
      </c>
      <c r="F1789" t="s">
        <v>178</v>
      </c>
    </row>
    <row r="1790" spans="1:6" x14ac:dyDescent="0.25">
      <c r="A1790" t="s">
        <v>192</v>
      </c>
      <c r="B1790" t="s">
        <v>170</v>
      </c>
      <c r="C1790" t="s">
        <v>163</v>
      </c>
      <c r="D1790">
        <v>2011</v>
      </c>
      <c r="E1790">
        <v>0</v>
      </c>
      <c r="F1790" t="s">
        <v>178</v>
      </c>
    </row>
    <row r="1791" spans="1:6" x14ac:dyDescent="0.25">
      <c r="A1791" t="s">
        <v>192</v>
      </c>
      <c r="B1791" t="s">
        <v>170</v>
      </c>
      <c r="C1791" t="s">
        <v>163</v>
      </c>
      <c r="D1791">
        <v>2010</v>
      </c>
      <c r="E1791">
        <v>0</v>
      </c>
      <c r="F1791" t="s">
        <v>178</v>
      </c>
    </row>
    <row r="1792" spans="1:6" x14ac:dyDescent="0.25">
      <c r="A1792" t="s">
        <v>192</v>
      </c>
      <c r="B1792" t="s">
        <v>170</v>
      </c>
      <c r="C1792" t="s">
        <v>133</v>
      </c>
      <c r="D1792">
        <v>2014</v>
      </c>
      <c r="E1792">
        <v>0</v>
      </c>
      <c r="F1792" t="s">
        <v>178</v>
      </c>
    </row>
    <row r="1793" spans="1:6" x14ac:dyDescent="0.25">
      <c r="A1793" t="s">
        <v>192</v>
      </c>
      <c r="B1793" t="s">
        <v>170</v>
      </c>
      <c r="C1793" t="s">
        <v>133</v>
      </c>
      <c r="D1793">
        <v>2013</v>
      </c>
      <c r="E1793">
        <v>0</v>
      </c>
      <c r="F1793" t="s">
        <v>178</v>
      </c>
    </row>
    <row r="1794" spans="1:6" x14ac:dyDescent="0.25">
      <c r="A1794" t="s">
        <v>192</v>
      </c>
      <c r="B1794" t="s">
        <v>170</v>
      </c>
      <c r="C1794" t="s">
        <v>133</v>
      </c>
      <c r="D1794">
        <v>2012</v>
      </c>
      <c r="E1794">
        <v>0</v>
      </c>
      <c r="F1794" t="s">
        <v>178</v>
      </c>
    </row>
    <row r="1795" spans="1:6" x14ac:dyDescent="0.25">
      <c r="A1795" t="s">
        <v>192</v>
      </c>
      <c r="B1795" t="s">
        <v>170</v>
      </c>
      <c r="C1795" t="s">
        <v>133</v>
      </c>
      <c r="D1795">
        <v>2011</v>
      </c>
      <c r="E1795">
        <v>0</v>
      </c>
      <c r="F1795" t="s">
        <v>178</v>
      </c>
    </row>
    <row r="1796" spans="1:6" x14ac:dyDescent="0.25">
      <c r="A1796" t="s">
        <v>192</v>
      </c>
      <c r="B1796" t="s">
        <v>170</v>
      </c>
      <c r="C1796" t="s">
        <v>133</v>
      </c>
      <c r="D1796">
        <v>2010</v>
      </c>
      <c r="E1796">
        <v>1.7999999999999999E-2</v>
      </c>
      <c r="F1796" t="s">
        <v>178</v>
      </c>
    </row>
    <row r="1797" spans="1:6" x14ac:dyDescent="0.25">
      <c r="A1797" t="s">
        <v>192</v>
      </c>
      <c r="B1797" t="s">
        <v>170</v>
      </c>
      <c r="C1797" t="s">
        <v>134</v>
      </c>
      <c r="D1797">
        <v>2014</v>
      </c>
      <c r="E1797">
        <v>3.4807000000000001</v>
      </c>
      <c r="F1797" t="s">
        <v>178</v>
      </c>
    </row>
    <row r="1798" spans="1:6" x14ac:dyDescent="0.25">
      <c r="A1798" t="s">
        <v>192</v>
      </c>
      <c r="B1798" t="s">
        <v>170</v>
      </c>
      <c r="C1798" t="s">
        <v>134</v>
      </c>
      <c r="D1798">
        <v>2013</v>
      </c>
      <c r="E1798">
        <v>4.0077999999999996</v>
      </c>
      <c r="F1798" t="s">
        <v>178</v>
      </c>
    </row>
    <row r="1799" spans="1:6" x14ac:dyDescent="0.25">
      <c r="A1799" t="s">
        <v>192</v>
      </c>
      <c r="B1799" t="s">
        <v>170</v>
      </c>
      <c r="C1799" t="s">
        <v>134</v>
      </c>
      <c r="D1799">
        <v>2012</v>
      </c>
      <c r="E1799">
        <v>3.976</v>
      </c>
      <c r="F1799" t="s">
        <v>178</v>
      </c>
    </row>
    <row r="1800" spans="1:6" x14ac:dyDescent="0.25">
      <c r="A1800" t="s">
        <v>192</v>
      </c>
      <c r="B1800" t="s">
        <v>170</v>
      </c>
      <c r="C1800" t="s">
        <v>134</v>
      </c>
      <c r="D1800">
        <v>2011</v>
      </c>
      <c r="E1800">
        <v>3.6857000000000002</v>
      </c>
      <c r="F1800" t="s">
        <v>178</v>
      </c>
    </row>
    <row r="1801" spans="1:6" x14ac:dyDescent="0.25">
      <c r="A1801" t="s">
        <v>192</v>
      </c>
      <c r="B1801" t="s">
        <v>170</v>
      </c>
      <c r="C1801" t="s">
        <v>134</v>
      </c>
      <c r="D1801">
        <v>2010</v>
      </c>
      <c r="E1801">
        <v>3.4068999999999998</v>
      </c>
      <c r="F1801" t="s">
        <v>178</v>
      </c>
    </row>
    <row r="1802" spans="1:6" x14ac:dyDescent="0.25">
      <c r="A1802" t="s">
        <v>192</v>
      </c>
      <c r="B1802" t="s">
        <v>170</v>
      </c>
      <c r="C1802" t="s">
        <v>135</v>
      </c>
      <c r="D1802">
        <v>2014</v>
      </c>
      <c r="E1802">
        <v>12.691000000000001</v>
      </c>
      <c r="F1802" t="s">
        <v>178</v>
      </c>
    </row>
    <row r="1803" spans="1:6" x14ac:dyDescent="0.25">
      <c r="A1803" t="s">
        <v>192</v>
      </c>
      <c r="B1803" t="s">
        <v>170</v>
      </c>
      <c r="C1803" t="s">
        <v>135</v>
      </c>
      <c r="D1803">
        <v>2013</v>
      </c>
      <c r="E1803">
        <v>8.7780000000000005</v>
      </c>
      <c r="F1803" t="s">
        <v>178</v>
      </c>
    </row>
    <row r="1804" spans="1:6" x14ac:dyDescent="0.25">
      <c r="A1804" t="s">
        <v>192</v>
      </c>
      <c r="B1804" t="s">
        <v>170</v>
      </c>
      <c r="C1804" t="s">
        <v>135</v>
      </c>
      <c r="D1804">
        <v>2012</v>
      </c>
      <c r="E1804">
        <v>9.2360000000000007</v>
      </c>
      <c r="F1804" t="s">
        <v>178</v>
      </c>
    </row>
    <row r="1805" spans="1:6" x14ac:dyDescent="0.25">
      <c r="A1805" t="s">
        <v>192</v>
      </c>
      <c r="B1805" t="s">
        <v>170</v>
      </c>
      <c r="C1805" t="s">
        <v>135</v>
      </c>
      <c r="D1805">
        <v>2011</v>
      </c>
      <c r="E1805">
        <v>7.51</v>
      </c>
      <c r="F1805" t="s">
        <v>178</v>
      </c>
    </row>
    <row r="1806" spans="1:6" x14ac:dyDescent="0.25">
      <c r="A1806" t="s">
        <v>192</v>
      </c>
      <c r="B1806" t="s">
        <v>170</v>
      </c>
      <c r="C1806" t="s">
        <v>135</v>
      </c>
      <c r="D1806">
        <v>2010</v>
      </c>
      <c r="E1806">
        <v>8.0370000000000008</v>
      </c>
      <c r="F1806" t="s">
        <v>178</v>
      </c>
    </row>
    <row r="1807" spans="1:6" x14ac:dyDescent="0.25">
      <c r="A1807" t="s">
        <v>192</v>
      </c>
      <c r="B1807" t="s">
        <v>170</v>
      </c>
      <c r="C1807" t="s">
        <v>136</v>
      </c>
      <c r="D1807">
        <v>2014</v>
      </c>
      <c r="E1807">
        <v>0.123</v>
      </c>
      <c r="F1807" t="s">
        <v>178</v>
      </c>
    </row>
    <row r="1808" spans="1:6" x14ac:dyDescent="0.25">
      <c r="A1808" t="s">
        <v>192</v>
      </c>
      <c r="B1808" t="s">
        <v>170</v>
      </c>
      <c r="C1808" t="s">
        <v>136</v>
      </c>
      <c r="D1808">
        <v>2013</v>
      </c>
      <c r="E1808">
        <v>0.11600000000000001</v>
      </c>
      <c r="F1808" t="s">
        <v>178</v>
      </c>
    </row>
    <row r="1809" spans="1:6" x14ac:dyDescent="0.25">
      <c r="A1809" t="s">
        <v>192</v>
      </c>
      <c r="B1809" t="s">
        <v>170</v>
      </c>
      <c r="C1809" t="s">
        <v>136</v>
      </c>
      <c r="D1809">
        <v>2012</v>
      </c>
      <c r="E1809">
        <v>0.10199999999999999</v>
      </c>
      <c r="F1809" t="s">
        <v>178</v>
      </c>
    </row>
    <row r="1810" spans="1:6" x14ac:dyDescent="0.25">
      <c r="A1810" t="s">
        <v>192</v>
      </c>
      <c r="B1810" t="s">
        <v>170</v>
      </c>
      <c r="C1810" t="s">
        <v>136</v>
      </c>
      <c r="D1810">
        <v>2011</v>
      </c>
      <c r="E1810">
        <v>0.10100000000000001</v>
      </c>
      <c r="F1810" t="s">
        <v>178</v>
      </c>
    </row>
    <row r="1811" spans="1:6" x14ac:dyDescent="0.25">
      <c r="A1811" t="s">
        <v>192</v>
      </c>
      <c r="B1811" t="s">
        <v>170</v>
      </c>
      <c r="C1811" t="s">
        <v>136</v>
      </c>
      <c r="D1811">
        <v>2010</v>
      </c>
      <c r="E1811">
        <v>9.5000000000000001E-2</v>
      </c>
      <c r="F1811" t="s">
        <v>178</v>
      </c>
    </row>
    <row r="1812" spans="1:6" x14ac:dyDescent="0.25">
      <c r="A1812" t="s">
        <v>192</v>
      </c>
      <c r="B1812" t="s">
        <v>170</v>
      </c>
      <c r="C1812" t="s">
        <v>137</v>
      </c>
      <c r="D1812">
        <v>2014</v>
      </c>
      <c r="E1812">
        <v>5.8360000000000003</v>
      </c>
      <c r="F1812" t="s">
        <v>178</v>
      </c>
    </row>
    <row r="1813" spans="1:6" x14ac:dyDescent="0.25">
      <c r="A1813" t="s">
        <v>192</v>
      </c>
      <c r="B1813" t="s">
        <v>170</v>
      </c>
      <c r="C1813" t="s">
        <v>137</v>
      </c>
      <c r="D1813">
        <v>2013</v>
      </c>
      <c r="E1813">
        <v>5.9880000000000004</v>
      </c>
      <c r="F1813" t="s">
        <v>178</v>
      </c>
    </row>
    <row r="1814" spans="1:6" x14ac:dyDescent="0.25">
      <c r="A1814" t="s">
        <v>192</v>
      </c>
      <c r="B1814" t="s">
        <v>170</v>
      </c>
      <c r="C1814" t="s">
        <v>137</v>
      </c>
      <c r="D1814">
        <v>2012</v>
      </c>
      <c r="E1814">
        <v>5.9039999999999999</v>
      </c>
      <c r="F1814" t="s">
        <v>178</v>
      </c>
    </row>
    <row r="1815" spans="1:6" x14ac:dyDescent="0.25">
      <c r="A1815" t="s">
        <v>192</v>
      </c>
      <c r="B1815" t="s">
        <v>170</v>
      </c>
      <c r="C1815" t="s">
        <v>137</v>
      </c>
      <c r="D1815">
        <v>2011</v>
      </c>
      <c r="E1815">
        <v>5.4349999999999996</v>
      </c>
      <c r="F1815" t="s">
        <v>178</v>
      </c>
    </row>
    <row r="1816" spans="1:6" x14ac:dyDescent="0.25">
      <c r="A1816" t="s">
        <v>192</v>
      </c>
      <c r="B1816" t="s">
        <v>170</v>
      </c>
      <c r="C1816" t="s">
        <v>137</v>
      </c>
      <c r="D1816">
        <v>2010</v>
      </c>
      <c r="E1816">
        <v>6.1909999999999998</v>
      </c>
      <c r="F1816" t="s">
        <v>178</v>
      </c>
    </row>
    <row r="1817" spans="1:6" x14ac:dyDescent="0.25">
      <c r="A1817" t="s">
        <v>192</v>
      </c>
      <c r="B1817" t="s">
        <v>170</v>
      </c>
      <c r="C1817" t="s">
        <v>138</v>
      </c>
      <c r="D1817">
        <v>2014</v>
      </c>
      <c r="E1817">
        <v>0.35499999999999998</v>
      </c>
      <c r="F1817" t="s">
        <v>178</v>
      </c>
    </row>
    <row r="1818" spans="1:6" x14ac:dyDescent="0.25">
      <c r="A1818" t="s">
        <v>192</v>
      </c>
      <c r="B1818" t="s">
        <v>170</v>
      </c>
      <c r="C1818" t="s">
        <v>138</v>
      </c>
      <c r="D1818">
        <v>2013</v>
      </c>
      <c r="E1818">
        <v>0.26900000000000002</v>
      </c>
      <c r="F1818" t="s">
        <v>178</v>
      </c>
    </row>
    <row r="1819" spans="1:6" x14ac:dyDescent="0.25">
      <c r="A1819" t="s">
        <v>192</v>
      </c>
      <c r="B1819" t="s">
        <v>170</v>
      </c>
      <c r="C1819" t="s">
        <v>138</v>
      </c>
      <c r="D1819">
        <v>2012</v>
      </c>
      <c r="E1819">
        <v>0.23</v>
      </c>
      <c r="F1819" t="s">
        <v>178</v>
      </c>
    </row>
    <row r="1820" spans="1:6" x14ac:dyDescent="0.25">
      <c r="A1820" t="s">
        <v>192</v>
      </c>
      <c r="B1820" t="s">
        <v>170</v>
      </c>
      <c r="C1820" t="s">
        <v>138</v>
      </c>
      <c r="D1820">
        <v>2011</v>
      </c>
      <c r="E1820">
        <v>0.4</v>
      </c>
      <c r="F1820" t="s">
        <v>178</v>
      </c>
    </row>
    <row r="1821" spans="1:6" x14ac:dyDescent="0.25">
      <c r="A1821" t="s">
        <v>192</v>
      </c>
      <c r="B1821" t="s">
        <v>170</v>
      </c>
      <c r="C1821" t="s">
        <v>138</v>
      </c>
      <c r="D1821">
        <v>2010</v>
      </c>
      <c r="E1821">
        <v>0.51800000000000002</v>
      </c>
      <c r="F1821" t="s">
        <v>178</v>
      </c>
    </row>
    <row r="1822" spans="1:6" x14ac:dyDescent="0.25">
      <c r="A1822" t="s">
        <v>192</v>
      </c>
      <c r="B1822" t="s">
        <v>170</v>
      </c>
      <c r="C1822" t="s">
        <v>164</v>
      </c>
      <c r="D1822">
        <v>2014</v>
      </c>
      <c r="E1822">
        <v>0</v>
      </c>
      <c r="F1822" t="s">
        <v>178</v>
      </c>
    </row>
    <row r="1823" spans="1:6" x14ac:dyDescent="0.25">
      <c r="A1823" t="s">
        <v>192</v>
      </c>
      <c r="B1823" t="s">
        <v>170</v>
      </c>
      <c r="C1823" t="s">
        <v>164</v>
      </c>
      <c r="D1823">
        <v>2013</v>
      </c>
      <c r="E1823">
        <v>0</v>
      </c>
      <c r="F1823" t="s">
        <v>178</v>
      </c>
    </row>
    <row r="1824" spans="1:6" x14ac:dyDescent="0.25">
      <c r="A1824" t="s">
        <v>192</v>
      </c>
      <c r="B1824" t="s">
        <v>170</v>
      </c>
      <c r="C1824" t="s">
        <v>164</v>
      </c>
      <c r="D1824">
        <v>2012</v>
      </c>
      <c r="E1824">
        <v>0</v>
      </c>
      <c r="F1824" t="s">
        <v>178</v>
      </c>
    </row>
    <row r="1825" spans="1:6" x14ac:dyDescent="0.25">
      <c r="A1825" t="s">
        <v>192</v>
      </c>
      <c r="B1825" t="s">
        <v>170</v>
      </c>
      <c r="C1825" t="s">
        <v>164</v>
      </c>
      <c r="D1825">
        <v>2011</v>
      </c>
      <c r="E1825">
        <v>0</v>
      </c>
      <c r="F1825" t="s">
        <v>178</v>
      </c>
    </row>
    <row r="1826" spans="1:6" x14ac:dyDescent="0.25">
      <c r="A1826" t="s">
        <v>192</v>
      </c>
      <c r="B1826" t="s">
        <v>170</v>
      </c>
      <c r="C1826" t="s">
        <v>164</v>
      </c>
      <c r="D1826">
        <v>2010</v>
      </c>
      <c r="E1826">
        <v>0</v>
      </c>
      <c r="F1826" t="s">
        <v>178</v>
      </c>
    </row>
    <row r="1827" spans="1:6" x14ac:dyDescent="0.25">
      <c r="A1827" t="s">
        <v>192</v>
      </c>
      <c r="B1827" t="s">
        <v>170</v>
      </c>
      <c r="C1827" t="s">
        <v>139</v>
      </c>
      <c r="D1827">
        <v>2014</v>
      </c>
      <c r="E1827">
        <v>0</v>
      </c>
      <c r="F1827" t="s">
        <v>178</v>
      </c>
    </row>
    <row r="1828" spans="1:6" x14ac:dyDescent="0.25">
      <c r="A1828" t="s">
        <v>192</v>
      </c>
      <c r="B1828" t="s">
        <v>170</v>
      </c>
      <c r="C1828" t="s">
        <v>139</v>
      </c>
      <c r="D1828">
        <v>2013</v>
      </c>
      <c r="E1828">
        <v>0</v>
      </c>
      <c r="F1828" t="s">
        <v>178</v>
      </c>
    </row>
    <row r="1829" spans="1:6" x14ac:dyDescent="0.25">
      <c r="A1829" t="s">
        <v>192</v>
      </c>
      <c r="B1829" t="s">
        <v>170</v>
      </c>
      <c r="C1829" t="s">
        <v>139</v>
      </c>
      <c r="D1829">
        <v>2012</v>
      </c>
      <c r="E1829">
        <v>0</v>
      </c>
      <c r="F1829" t="s">
        <v>178</v>
      </c>
    </row>
    <row r="1830" spans="1:6" x14ac:dyDescent="0.25">
      <c r="A1830" t="s">
        <v>192</v>
      </c>
      <c r="B1830" t="s">
        <v>170</v>
      </c>
      <c r="C1830" t="s">
        <v>139</v>
      </c>
      <c r="D1830">
        <v>2011</v>
      </c>
      <c r="E1830">
        <v>0</v>
      </c>
      <c r="F1830" t="s">
        <v>178</v>
      </c>
    </row>
    <row r="1831" spans="1:6" x14ac:dyDescent="0.25">
      <c r="A1831" t="s">
        <v>192</v>
      </c>
      <c r="B1831" t="s">
        <v>170</v>
      </c>
      <c r="C1831" t="s">
        <v>139</v>
      </c>
      <c r="D1831">
        <v>2010</v>
      </c>
      <c r="E1831">
        <v>0</v>
      </c>
      <c r="F1831" t="s">
        <v>178</v>
      </c>
    </row>
    <row r="1832" spans="1:6" x14ac:dyDescent="0.25">
      <c r="A1832" t="s">
        <v>192</v>
      </c>
      <c r="B1832" t="s">
        <v>170</v>
      </c>
      <c r="C1832" t="s">
        <v>165</v>
      </c>
      <c r="D1832">
        <v>2014</v>
      </c>
      <c r="E1832">
        <v>0</v>
      </c>
      <c r="F1832" t="s">
        <v>178</v>
      </c>
    </row>
    <row r="1833" spans="1:6" x14ac:dyDescent="0.25">
      <c r="A1833" t="s">
        <v>192</v>
      </c>
      <c r="B1833" t="s">
        <v>170</v>
      </c>
      <c r="C1833" t="s">
        <v>165</v>
      </c>
      <c r="D1833">
        <v>2013</v>
      </c>
      <c r="E1833">
        <v>0</v>
      </c>
      <c r="F1833" t="s">
        <v>178</v>
      </c>
    </row>
    <row r="1834" spans="1:6" x14ac:dyDescent="0.25">
      <c r="A1834" t="s">
        <v>192</v>
      </c>
      <c r="B1834" t="s">
        <v>170</v>
      </c>
      <c r="C1834" t="s">
        <v>165</v>
      </c>
      <c r="D1834">
        <v>2012</v>
      </c>
      <c r="E1834">
        <v>0</v>
      </c>
      <c r="F1834" t="s">
        <v>178</v>
      </c>
    </row>
    <row r="1835" spans="1:6" x14ac:dyDescent="0.25">
      <c r="A1835" t="s">
        <v>192</v>
      </c>
      <c r="B1835" t="s">
        <v>170</v>
      </c>
      <c r="C1835" t="s">
        <v>165</v>
      </c>
      <c r="D1835">
        <v>2011</v>
      </c>
      <c r="E1835">
        <v>0</v>
      </c>
      <c r="F1835" t="s">
        <v>178</v>
      </c>
    </row>
    <row r="1836" spans="1:6" x14ac:dyDescent="0.25">
      <c r="A1836" t="s">
        <v>192</v>
      </c>
      <c r="B1836" t="s">
        <v>170</v>
      </c>
      <c r="C1836" t="s">
        <v>165</v>
      </c>
      <c r="D1836">
        <v>2010</v>
      </c>
      <c r="E1836">
        <v>0</v>
      </c>
      <c r="F1836" t="s">
        <v>178</v>
      </c>
    </row>
    <row r="1837" spans="1:6" x14ac:dyDescent="0.25">
      <c r="A1837" t="s">
        <v>192</v>
      </c>
      <c r="B1837" t="s">
        <v>170</v>
      </c>
      <c r="C1837" t="s">
        <v>140</v>
      </c>
      <c r="D1837">
        <v>2014</v>
      </c>
      <c r="E1837">
        <v>0.42199999999999999</v>
      </c>
      <c r="F1837" t="s">
        <v>178</v>
      </c>
    </row>
    <row r="1838" spans="1:6" x14ac:dyDescent="0.25">
      <c r="A1838" t="s">
        <v>192</v>
      </c>
      <c r="B1838" t="s">
        <v>170</v>
      </c>
      <c r="C1838" t="s">
        <v>140</v>
      </c>
      <c r="D1838">
        <v>2013</v>
      </c>
      <c r="E1838">
        <v>7.5999999999999998E-2</v>
      </c>
      <c r="F1838" t="s">
        <v>178</v>
      </c>
    </row>
    <row r="1839" spans="1:6" x14ac:dyDescent="0.25">
      <c r="A1839" t="s">
        <v>192</v>
      </c>
      <c r="B1839" t="s">
        <v>170</v>
      </c>
      <c r="C1839" t="s">
        <v>140</v>
      </c>
      <c r="D1839">
        <v>2012</v>
      </c>
      <c r="E1839">
        <v>2.3E-2</v>
      </c>
      <c r="F1839" t="s">
        <v>178</v>
      </c>
    </row>
    <row r="1840" spans="1:6" x14ac:dyDescent="0.25">
      <c r="A1840" t="s">
        <v>192</v>
      </c>
      <c r="B1840" t="s">
        <v>170</v>
      </c>
      <c r="C1840" t="s">
        <v>140</v>
      </c>
      <c r="D1840">
        <v>2011</v>
      </c>
      <c r="E1840">
        <v>5.3220000000000001</v>
      </c>
      <c r="F1840" t="s">
        <v>178</v>
      </c>
    </row>
    <row r="1841" spans="1:6" x14ac:dyDescent="0.25">
      <c r="A1841" t="s">
        <v>192</v>
      </c>
      <c r="B1841" t="s">
        <v>170</v>
      </c>
      <c r="C1841" t="s">
        <v>140</v>
      </c>
      <c r="D1841">
        <v>2010</v>
      </c>
      <c r="E1841">
        <v>5.5229999999999997</v>
      </c>
      <c r="F1841" t="s">
        <v>178</v>
      </c>
    </row>
    <row r="1842" spans="1:6" x14ac:dyDescent="0.25">
      <c r="A1842" t="s">
        <v>192</v>
      </c>
      <c r="B1842" t="s">
        <v>170</v>
      </c>
      <c r="C1842" t="s">
        <v>141</v>
      </c>
      <c r="D1842">
        <v>2014</v>
      </c>
      <c r="E1842">
        <v>8.0402000000000005</v>
      </c>
      <c r="F1842" t="s">
        <v>178</v>
      </c>
    </row>
    <row r="1843" spans="1:6" x14ac:dyDescent="0.25">
      <c r="A1843" t="s">
        <v>192</v>
      </c>
      <c r="B1843" t="s">
        <v>170</v>
      </c>
      <c r="C1843" t="s">
        <v>141</v>
      </c>
      <c r="D1843">
        <v>2013</v>
      </c>
      <c r="E1843">
        <v>7.8196000000000003</v>
      </c>
      <c r="F1843" t="s">
        <v>178</v>
      </c>
    </row>
    <row r="1844" spans="1:6" x14ac:dyDescent="0.25">
      <c r="A1844" t="s">
        <v>192</v>
      </c>
      <c r="B1844" t="s">
        <v>170</v>
      </c>
      <c r="C1844" t="s">
        <v>141</v>
      </c>
      <c r="D1844">
        <v>2012</v>
      </c>
      <c r="E1844">
        <v>7.3109999999999999</v>
      </c>
      <c r="F1844" t="s">
        <v>178</v>
      </c>
    </row>
    <row r="1845" spans="1:6" x14ac:dyDescent="0.25">
      <c r="A1845" t="s">
        <v>192</v>
      </c>
      <c r="B1845" t="s">
        <v>170</v>
      </c>
      <c r="C1845" t="s">
        <v>141</v>
      </c>
      <c r="D1845">
        <v>2011</v>
      </c>
      <c r="E1845">
        <v>6.3419999999999996</v>
      </c>
      <c r="F1845" t="s">
        <v>178</v>
      </c>
    </row>
    <row r="1846" spans="1:6" x14ac:dyDescent="0.25">
      <c r="A1846" t="s">
        <v>192</v>
      </c>
      <c r="B1846" t="s">
        <v>170</v>
      </c>
      <c r="C1846" t="s">
        <v>141</v>
      </c>
      <c r="D1846">
        <v>2010</v>
      </c>
      <c r="E1846">
        <v>6.452</v>
      </c>
      <c r="F1846" t="s">
        <v>178</v>
      </c>
    </row>
    <row r="1847" spans="1:6" x14ac:dyDescent="0.25">
      <c r="A1847" t="s">
        <v>192</v>
      </c>
      <c r="B1847" t="s">
        <v>170</v>
      </c>
      <c r="C1847" t="s">
        <v>142</v>
      </c>
      <c r="D1847">
        <v>2014</v>
      </c>
      <c r="E1847">
        <v>1.742</v>
      </c>
      <c r="F1847" t="s">
        <v>178</v>
      </c>
    </row>
    <row r="1848" spans="1:6" x14ac:dyDescent="0.25">
      <c r="A1848" t="s">
        <v>192</v>
      </c>
      <c r="B1848" t="s">
        <v>170</v>
      </c>
      <c r="C1848" t="s">
        <v>142</v>
      </c>
      <c r="D1848">
        <v>2013</v>
      </c>
      <c r="E1848">
        <v>2.0099999999999998</v>
      </c>
      <c r="F1848" t="s">
        <v>178</v>
      </c>
    </row>
    <row r="1849" spans="1:6" x14ac:dyDescent="0.25">
      <c r="A1849" t="s">
        <v>192</v>
      </c>
      <c r="B1849" t="s">
        <v>170</v>
      </c>
      <c r="C1849" t="s">
        <v>142</v>
      </c>
      <c r="D1849">
        <v>2012</v>
      </c>
      <c r="E1849">
        <v>1.7</v>
      </c>
      <c r="F1849" t="s">
        <v>178</v>
      </c>
    </row>
    <row r="1850" spans="1:6" x14ac:dyDescent="0.25">
      <c r="A1850" t="s">
        <v>192</v>
      </c>
      <c r="B1850" t="s">
        <v>170</v>
      </c>
      <c r="C1850" t="s">
        <v>142</v>
      </c>
      <c r="D1850">
        <v>2011</v>
      </c>
      <c r="E1850">
        <v>1.788</v>
      </c>
      <c r="F1850" t="s">
        <v>178</v>
      </c>
    </row>
    <row r="1851" spans="1:6" x14ac:dyDescent="0.25">
      <c r="A1851" t="s">
        <v>192</v>
      </c>
      <c r="B1851" t="s">
        <v>170</v>
      </c>
      <c r="C1851" t="s">
        <v>142</v>
      </c>
      <c r="D1851">
        <v>2010</v>
      </c>
      <c r="E1851">
        <v>1.893</v>
      </c>
      <c r="F1851" t="s">
        <v>178</v>
      </c>
    </row>
    <row r="1852" spans="1:6" x14ac:dyDescent="0.25">
      <c r="A1852" t="s">
        <v>192</v>
      </c>
      <c r="B1852" t="s">
        <v>170</v>
      </c>
      <c r="C1852" t="s">
        <v>166</v>
      </c>
      <c r="D1852">
        <v>2014</v>
      </c>
      <c r="E1852">
        <v>0</v>
      </c>
      <c r="F1852" t="s">
        <v>178</v>
      </c>
    </row>
    <row r="1853" spans="1:6" x14ac:dyDescent="0.25">
      <c r="A1853" t="s">
        <v>192</v>
      </c>
      <c r="B1853" t="s">
        <v>170</v>
      </c>
      <c r="C1853" t="s">
        <v>166</v>
      </c>
      <c r="D1853">
        <v>2013</v>
      </c>
      <c r="E1853">
        <v>0</v>
      </c>
      <c r="F1853" t="s">
        <v>178</v>
      </c>
    </row>
    <row r="1854" spans="1:6" x14ac:dyDescent="0.25">
      <c r="A1854" t="s">
        <v>192</v>
      </c>
      <c r="B1854" t="s">
        <v>170</v>
      </c>
      <c r="C1854" t="s">
        <v>166</v>
      </c>
      <c r="D1854">
        <v>2012</v>
      </c>
      <c r="E1854">
        <v>0</v>
      </c>
      <c r="F1854" t="s">
        <v>178</v>
      </c>
    </row>
    <row r="1855" spans="1:6" x14ac:dyDescent="0.25">
      <c r="A1855" t="s">
        <v>192</v>
      </c>
      <c r="B1855" t="s">
        <v>170</v>
      </c>
      <c r="C1855" t="s">
        <v>166</v>
      </c>
      <c r="D1855">
        <v>2011</v>
      </c>
      <c r="E1855">
        <v>0</v>
      </c>
      <c r="F1855" t="s">
        <v>178</v>
      </c>
    </row>
    <row r="1856" spans="1:6" x14ac:dyDescent="0.25">
      <c r="A1856" t="s">
        <v>192</v>
      </c>
      <c r="B1856" t="s">
        <v>170</v>
      </c>
      <c r="C1856" t="s">
        <v>166</v>
      </c>
      <c r="D1856">
        <v>2010</v>
      </c>
      <c r="E1856">
        <v>0</v>
      </c>
      <c r="F1856" t="s">
        <v>178</v>
      </c>
    </row>
    <row r="1857" spans="1:6" x14ac:dyDescent="0.25">
      <c r="A1857" t="s">
        <v>192</v>
      </c>
      <c r="B1857" t="s">
        <v>170</v>
      </c>
      <c r="C1857" t="s">
        <v>143</v>
      </c>
      <c r="D1857">
        <v>2014</v>
      </c>
      <c r="E1857">
        <v>1.718</v>
      </c>
      <c r="F1857" t="s">
        <v>178</v>
      </c>
    </row>
    <row r="1858" spans="1:6" x14ac:dyDescent="0.25">
      <c r="A1858" t="s">
        <v>192</v>
      </c>
      <c r="B1858" t="s">
        <v>170</v>
      </c>
      <c r="C1858" t="s">
        <v>143</v>
      </c>
      <c r="D1858">
        <v>2013</v>
      </c>
      <c r="E1858">
        <v>1.7110000000000001</v>
      </c>
      <c r="F1858" t="s">
        <v>178</v>
      </c>
    </row>
    <row r="1859" spans="1:6" x14ac:dyDescent="0.25">
      <c r="A1859" t="s">
        <v>192</v>
      </c>
      <c r="B1859" t="s">
        <v>170</v>
      </c>
      <c r="C1859" t="s">
        <v>143</v>
      </c>
      <c r="D1859">
        <v>2012</v>
      </c>
      <c r="E1859">
        <v>1.9690000000000001</v>
      </c>
      <c r="F1859" t="s">
        <v>178</v>
      </c>
    </row>
    <row r="1860" spans="1:6" x14ac:dyDescent="0.25">
      <c r="A1860" t="s">
        <v>192</v>
      </c>
      <c r="B1860" t="s">
        <v>170</v>
      </c>
      <c r="C1860" t="s">
        <v>143</v>
      </c>
      <c r="D1860">
        <v>2011</v>
      </c>
      <c r="E1860">
        <v>2.875</v>
      </c>
      <c r="F1860" t="s">
        <v>178</v>
      </c>
    </row>
    <row r="1861" spans="1:6" x14ac:dyDescent="0.25">
      <c r="A1861" t="s">
        <v>192</v>
      </c>
      <c r="B1861" t="s">
        <v>170</v>
      </c>
      <c r="C1861" t="s">
        <v>143</v>
      </c>
      <c r="D1861">
        <v>2010</v>
      </c>
      <c r="E1861">
        <v>1.768</v>
      </c>
      <c r="F1861" t="s">
        <v>178</v>
      </c>
    </row>
    <row r="1862" spans="1:6" x14ac:dyDescent="0.25">
      <c r="A1862" t="s">
        <v>192</v>
      </c>
      <c r="B1862" t="s">
        <v>170</v>
      </c>
      <c r="C1862" t="s">
        <v>144</v>
      </c>
      <c r="D1862">
        <v>2014</v>
      </c>
      <c r="E1862">
        <v>0.09</v>
      </c>
      <c r="F1862" t="s">
        <v>178</v>
      </c>
    </row>
    <row r="1863" spans="1:6" x14ac:dyDescent="0.25">
      <c r="A1863" t="s">
        <v>192</v>
      </c>
      <c r="B1863" t="s">
        <v>170</v>
      </c>
      <c r="C1863" t="s">
        <v>144</v>
      </c>
      <c r="D1863">
        <v>2013</v>
      </c>
      <c r="E1863">
        <v>7.9000000000000001E-2</v>
      </c>
      <c r="F1863" t="s">
        <v>178</v>
      </c>
    </row>
    <row r="1864" spans="1:6" x14ac:dyDescent="0.25">
      <c r="A1864" t="s">
        <v>192</v>
      </c>
      <c r="B1864" t="s">
        <v>170</v>
      </c>
      <c r="C1864" t="s">
        <v>144</v>
      </c>
      <c r="D1864">
        <v>2012</v>
      </c>
      <c r="E1864">
        <v>7.2999999999999995E-2</v>
      </c>
      <c r="F1864" t="s">
        <v>178</v>
      </c>
    </row>
    <row r="1865" spans="1:6" x14ac:dyDescent="0.25">
      <c r="A1865" t="s">
        <v>192</v>
      </c>
      <c r="B1865" t="s">
        <v>170</v>
      </c>
      <c r="C1865" t="s">
        <v>144</v>
      </c>
      <c r="D1865">
        <v>2011</v>
      </c>
      <c r="E1865">
        <v>0.09</v>
      </c>
      <c r="F1865" t="s">
        <v>178</v>
      </c>
    </row>
    <row r="1866" spans="1:6" x14ac:dyDescent="0.25">
      <c r="A1866" t="s">
        <v>192</v>
      </c>
      <c r="B1866" t="s">
        <v>170</v>
      </c>
      <c r="C1866" t="s">
        <v>144</v>
      </c>
      <c r="D1866">
        <v>2010</v>
      </c>
      <c r="E1866">
        <v>8.4000000000000005E-2</v>
      </c>
      <c r="F1866" t="s">
        <v>178</v>
      </c>
    </row>
    <row r="1867" spans="1:6" x14ac:dyDescent="0.25">
      <c r="A1867" t="s">
        <v>192</v>
      </c>
      <c r="B1867" t="s">
        <v>170</v>
      </c>
      <c r="C1867" t="s">
        <v>145</v>
      </c>
      <c r="D1867">
        <v>2014</v>
      </c>
      <c r="E1867">
        <v>38.71</v>
      </c>
      <c r="F1867" t="s">
        <v>178</v>
      </c>
    </row>
    <row r="1868" spans="1:6" x14ac:dyDescent="0.25">
      <c r="A1868" t="s">
        <v>192</v>
      </c>
      <c r="B1868" t="s">
        <v>170</v>
      </c>
      <c r="C1868" t="s">
        <v>145</v>
      </c>
      <c r="D1868">
        <v>2013</v>
      </c>
      <c r="E1868">
        <v>42.128</v>
      </c>
      <c r="F1868" t="s">
        <v>178</v>
      </c>
    </row>
    <row r="1869" spans="1:6" x14ac:dyDescent="0.25">
      <c r="A1869" t="s">
        <v>192</v>
      </c>
      <c r="B1869" t="s">
        <v>170</v>
      </c>
      <c r="C1869" t="s">
        <v>145</v>
      </c>
      <c r="D1869">
        <v>2012</v>
      </c>
      <c r="E1869">
        <v>46.206200000000003</v>
      </c>
      <c r="F1869" t="s">
        <v>178</v>
      </c>
    </row>
    <row r="1870" spans="1:6" x14ac:dyDescent="0.25">
      <c r="A1870" t="s">
        <v>192</v>
      </c>
      <c r="B1870" t="s">
        <v>170</v>
      </c>
      <c r="C1870" t="s">
        <v>145</v>
      </c>
      <c r="D1870">
        <v>2011</v>
      </c>
      <c r="E1870">
        <v>49.485999999999997</v>
      </c>
      <c r="F1870" t="s">
        <v>178</v>
      </c>
    </row>
    <row r="1871" spans="1:6" x14ac:dyDescent="0.25">
      <c r="A1871" t="s">
        <v>192</v>
      </c>
      <c r="B1871" t="s">
        <v>170</v>
      </c>
      <c r="C1871" t="s">
        <v>145</v>
      </c>
      <c r="D1871">
        <v>2010</v>
      </c>
      <c r="E1871">
        <v>52.1004</v>
      </c>
      <c r="F1871" t="s">
        <v>178</v>
      </c>
    </row>
    <row r="1872" spans="1:6" x14ac:dyDescent="0.25">
      <c r="A1872" t="s">
        <v>192</v>
      </c>
      <c r="B1872" t="s">
        <v>170</v>
      </c>
      <c r="C1872" t="s">
        <v>146</v>
      </c>
      <c r="D1872">
        <v>2014</v>
      </c>
      <c r="E1872">
        <v>0.28699999999999998</v>
      </c>
      <c r="F1872" t="s">
        <v>178</v>
      </c>
    </row>
    <row r="1873" spans="1:6" x14ac:dyDescent="0.25">
      <c r="A1873" t="s">
        <v>192</v>
      </c>
      <c r="B1873" t="s">
        <v>170</v>
      </c>
      <c r="C1873" t="s">
        <v>146</v>
      </c>
      <c r="D1873">
        <v>2013</v>
      </c>
      <c r="E1873">
        <v>0.38300000000000001</v>
      </c>
      <c r="F1873" t="s">
        <v>178</v>
      </c>
    </row>
    <row r="1874" spans="1:6" x14ac:dyDescent="0.25">
      <c r="A1874" t="s">
        <v>192</v>
      </c>
      <c r="B1874" t="s">
        <v>170</v>
      </c>
      <c r="C1874" t="s">
        <v>146</v>
      </c>
      <c r="D1874">
        <v>2012</v>
      </c>
      <c r="E1874">
        <v>0.41599999999999998</v>
      </c>
      <c r="F1874" t="s">
        <v>178</v>
      </c>
    </row>
    <row r="1875" spans="1:6" x14ac:dyDescent="0.25">
      <c r="A1875" t="s">
        <v>192</v>
      </c>
      <c r="B1875" t="s">
        <v>170</v>
      </c>
      <c r="C1875" t="s">
        <v>146</v>
      </c>
      <c r="D1875">
        <v>2011</v>
      </c>
      <c r="E1875">
        <v>0.34699999999999998</v>
      </c>
      <c r="F1875" t="s">
        <v>178</v>
      </c>
    </row>
    <row r="1876" spans="1:6" x14ac:dyDescent="0.25">
      <c r="A1876" t="s">
        <v>192</v>
      </c>
      <c r="B1876" t="s">
        <v>170</v>
      </c>
      <c r="C1876" t="s">
        <v>146</v>
      </c>
      <c r="D1876">
        <v>2010</v>
      </c>
      <c r="E1876">
        <v>0.26900000000000002</v>
      </c>
      <c r="F1876" t="s">
        <v>178</v>
      </c>
    </row>
    <row r="1877" spans="1:6" x14ac:dyDescent="0.25">
      <c r="A1877" t="s">
        <v>192</v>
      </c>
      <c r="B1877" t="s">
        <v>170</v>
      </c>
      <c r="C1877" t="s">
        <v>147</v>
      </c>
      <c r="D1877">
        <v>2014</v>
      </c>
      <c r="E1877">
        <v>2.2000000000000002</v>
      </c>
      <c r="F1877" t="s">
        <v>178</v>
      </c>
    </row>
    <row r="1878" spans="1:6" x14ac:dyDescent="0.25">
      <c r="A1878" t="s">
        <v>192</v>
      </c>
      <c r="B1878" t="s">
        <v>170</v>
      </c>
      <c r="C1878" t="s">
        <v>147</v>
      </c>
      <c r="D1878">
        <v>2013</v>
      </c>
      <c r="E1878">
        <v>2.99</v>
      </c>
      <c r="F1878" t="s">
        <v>178</v>
      </c>
    </row>
    <row r="1879" spans="1:6" x14ac:dyDescent="0.25">
      <c r="A1879" t="s">
        <v>192</v>
      </c>
      <c r="B1879" t="s">
        <v>170</v>
      </c>
      <c r="C1879" t="s">
        <v>147</v>
      </c>
      <c r="D1879">
        <v>2012</v>
      </c>
      <c r="E1879">
        <v>3.0049999999999999</v>
      </c>
      <c r="F1879" t="s">
        <v>178</v>
      </c>
    </row>
    <row r="1880" spans="1:6" x14ac:dyDescent="0.25">
      <c r="A1880" t="s">
        <v>192</v>
      </c>
      <c r="B1880" t="s">
        <v>170</v>
      </c>
      <c r="C1880" t="s">
        <v>147</v>
      </c>
      <c r="D1880">
        <v>2011</v>
      </c>
      <c r="E1880">
        <v>2.8180000000000001</v>
      </c>
      <c r="F1880" t="s">
        <v>178</v>
      </c>
    </row>
    <row r="1881" spans="1:6" x14ac:dyDescent="0.25">
      <c r="A1881" t="s">
        <v>192</v>
      </c>
      <c r="B1881" t="s">
        <v>170</v>
      </c>
      <c r="C1881" t="s">
        <v>147</v>
      </c>
      <c r="D1881">
        <v>2010</v>
      </c>
      <c r="E1881">
        <v>2.7639999999999998</v>
      </c>
      <c r="F1881" t="s">
        <v>178</v>
      </c>
    </row>
    <row r="1882" spans="1:6" x14ac:dyDescent="0.25">
      <c r="A1882" t="s">
        <v>192</v>
      </c>
      <c r="B1882" t="s">
        <v>170</v>
      </c>
      <c r="C1882" t="s">
        <v>167</v>
      </c>
      <c r="D1882">
        <v>2014</v>
      </c>
      <c r="E1882">
        <v>0</v>
      </c>
      <c r="F1882" t="s">
        <v>178</v>
      </c>
    </row>
    <row r="1883" spans="1:6" x14ac:dyDescent="0.25">
      <c r="A1883" t="s">
        <v>192</v>
      </c>
      <c r="B1883" t="s">
        <v>170</v>
      </c>
      <c r="C1883" t="s">
        <v>167</v>
      </c>
      <c r="D1883">
        <v>2013</v>
      </c>
      <c r="E1883">
        <v>0</v>
      </c>
      <c r="F1883" t="s">
        <v>178</v>
      </c>
    </row>
    <row r="1884" spans="1:6" x14ac:dyDescent="0.25">
      <c r="A1884" t="s">
        <v>192</v>
      </c>
      <c r="B1884" t="s">
        <v>170</v>
      </c>
      <c r="C1884" t="s">
        <v>167</v>
      </c>
      <c r="D1884">
        <v>2012</v>
      </c>
      <c r="E1884">
        <v>0</v>
      </c>
      <c r="F1884" t="s">
        <v>178</v>
      </c>
    </row>
    <row r="1885" spans="1:6" x14ac:dyDescent="0.25">
      <c r="A1885" t="s">
        <v>192</v>
      </c>
      <c r="B1885" t="s">
        <v>170</v>
      </c>
      <c r="C1885" t="s">
        <v>167</v>
      </c>
      <c r="D1885">
        <v>2011</v>
      </c>
      <c r="E1885">
        <v>0</v>
      </c>
      <c r="F1885" t="s">
        <v>178</v>
      </c>
    </row>
    <row r="1886" spans="1:6" x14ac:dyDescent="0.25">
      <c r="A1886" t="s">
        <v>192</v>
      </c>
      <c r="B1886" t="s">
        <v>170</v>
      </c>
      <c r="C1886" t="s">
        <v>167</v>
      </c>
      <c r="D1886">
        <v>2010</v>
      </c>
      <c r="E1886">
        <v>0</v>
      </c>
      <c r="F1886" t="s">
        <v>178</v>
      </c>
    </row>
    <row r="1887" spans="1:6" x14ac:dyDescent="0.25">
      <c r="A1887" t="s">
        <v>192</v>
      </c>
      <c r="B1887" t="s">
        <v>170</v>
      </c>
      <c r="C1887" t="s">
        <v>168</v>
      </c>
      <c r="D1887">
        <v>2014</v>
      </c>
      <c r="E1887">
        <v>1.4259999999999999</v>
      </c>
      <c r="F1887" t="s">
        <v>178</v>
      </c>
    </row>
    <row r="1888" spans="1:6" x14ac:dyDescent="0.25">
      <c r="A1888" t="s">
        <v>192</v>
      </c>
      <c r="B1888" t="s">
        <v>170</v>
      </c>
      <c r="C1888" t="s">
        <v>168</v>
      </c>
      <c r="D1888">
        <v>2013</v>
      </c>
      <c r="E1888">
        <v>3.194</v>
      </c>
      <c r="F1888" t="s">
        <v>178</v>
      </c>
    </row>
    <row r="1889" spans="1:6" x14ac:dyDescent="0.25">
      <c r="A1889" t="s">
        <v>192</v>
      </c>
      <c r="B1889" t="s">
        <v>170</v>
      </c>
      <c r="C1889" t="s">
        <v>168</v>
      </c>
      <c r="D1889">
        <v>2012</v>
      </c>
      <c r="E1889">
        <v>2.109</v>
      </c>
      <c r="F1889" t="s">
        <v>178</v>
      </c>
    </row>
    <row r="1890" spans="1:6" x14ac:dyDescent="0.25">
      <c r="A1890" t="s">
        <v>192</v>
      </c>
      <c r="B1890" t="s">
        <v>170</v>
      </c>
      <c r="C1890" t="s">
        <v>168</v>
      </c>
      <c r="D1890">
        <v>2011</v>
      </c>
      <c r="E1890">
        <v>1.964</v>
      </c>
      <c r="F1890" t="s">
        <v>178</v>
      </c>
    </row>
    <row r="1891" spans="1:6" x14ac:dyDescent="0.25">
      <c r="A1891" t="s">
        <v>192</v>
      </c>
      <c r="B1891" t="s">
        <v>170</v>
      </c>
      <c r="C1891" t="s">
        <v>168</v>
      </c>
      <c r="D1891">
        <v>2010</v>
      </c>
      <c r="E1891">
        <v>2.7549999999999999</v>
      </c>
      <c r="F1891" t="s">
        <v>178</v>
      </c>
    </row>
    <row r="1892" spans="1:6" x14ac:dyDescent="0.25">
      <c r="A1892" t="s">
        <v>192</v>
      </c>
      <c r="B1892" t="s">
        <v>170</v>
      </c>
      <c r="C1892" t="s">
        <v>148</v>
      </c>
      <c r="D1892">
        <v>2014</v>
      </c>
      <c r="E1892">
        <v>1.583</v>
      </c>
      <c r="F1892" t="s">
        <v>178</v>
      </c>
    </row>
    <row r="1893" spans="1:6" x14ac:dyDescent="0.25">
      <c r="A1893" t="s">
        <v>192</v>
      </c>
      <c r="B1893" t="s">
        <v>170</v>
      </c>
      <c r="C1893" t="s">
        <v>148</v>
      </c>
      <c r="D1893">
        <v>2013</v>
      </c>
      <c r="E1893">
        <v>1.4019999999999999</v>
      </c>
      <c r="F1893" t="s">
        <v>178</v>
      </c>
    </row>
    <row r="1894" spans="1:6" x14ac:dyDescent="0.25">
      <c r="A1894" t="s">
        <v>192</v>
      </c>
      <c r="B1894" t="s">
        <v>170</v>
      </c>
      <c r="C1894" t="s">
        <v>148</v>
      </c>
      <c r="D1894">
        <v>2012</v>
      </c>
      <c r="E1894">
        <v>3.5760000000000001</v>
      </c>
      <c r="F1894" t="s">
        <v>178</v>
      </c>
    </row>
    <row r="1895" spans="1:6" x14ac:dyDescent="0.25">
      <c r="A1895" t="s">
        <v>192</v>
      </c>
      <c r="B1895" t="s">
        <v>170</v>
      </c>
      <c r="C1895" t="s">
        <v>148</v>
      </c>
      <c r="D1895">
        <v>2011</v>
      </c>
      <c r="E1895">
        <v>2.8039999999999998</v>
      </c>
      <c r="F1895" t="s">
        <v>178</v>
      </c>
    </row>
    <row r="1896" spans="1:6" x14ac:dyDescent="0.25">
      <c r="A1896" t="s">
        <v>192</v>
      </c>
      <c r="B1896" t="s">
        <v>170</v>
      </c>
      <c r="C1896" t="s">
        <v>148</v>
      </c>
      <c r="D1896">
        <v>2010</v>
      </c>
      <c r="E1896">
        <v>1.0069999999999999</v>
      </c>
      <c r="F1896" t="s">
        <v>178</v>
      </c>
    </row>
    <row r="1897" spans="1:6" x14ac:dyDescent="0.25">
      <c r="A1897" t="s">
        <v>192</v>
      </c>
      <c r="B1897" t="s">
        <v>170</v>
      </c>
      <c r="C1897" t="s">
        <v>149</v>
      </c>
      <c r="D1897">
        <v>2014</v>
      </c>
      <c r="E1897">
        <v>0</v>
      </c>
      <c r="F1897" t="s">
        <v>178</v>
      </c>
    </row>
    <row r="1898" spans="1:6" x14ac:dyDescent="0.25">
      <c r="A1898" t="s">
        <v>192</v>
      </c>
      <c r="B1898" t="s">
        <v>170</v>
      </c>
      <c r="C1898" t="s">
        <v>149</v>
      </c>
      <c r="D1898">
        <v>2013</v>
      </c>
      <c r="E1898">
        <v>0</v>
      </c>
      <c r="F1898" t="s">
        <v>178</v>
      </c>
    </row>
    <row r="1899" spans="1:6" x14ac:dyDescent="0.25">
      <c r="A1899" t="s">
        <v>192</v>
      </c>
      <c r="B1899" t="s">
        <v>170</v>
      </c>
      <c r="C1899" t="s">
        <v>149</v>
      </c>
      <c r="D1899">
        <v>2012</v>
      </c>
      <c r="E1899">
        <v>0</v>
      </c>
      <c r="F1899" t="s">
        <v>178</v>
      </c>
    </row>
    <row r="1900" spans="1:6" x14ac:dyDescent="0.25">
      <c r="A1900" t="s">
        <v>192</v>
      </c>
      <c r="B1900" t="s">
        <v>170</v>
      </c>
      <c r="C1900" t="s">
        <v>149</v>
      </c>
      <c r="D1900">
        <v>2011</v>
      </c>
      <c r="E1900">
        <v>0</v>
      </c>
      <c r="F1900" t="s">
        <v>178</v>
      </c>
    </row>
    <row r="1901" spans="1:6" x14ac:dyDescent="0.25">
      <c r="A1901" t="s">
        <v>192</v>
      </c>
      <c r="B1901" t="s">
        <v>170</v>
      </c>
      <c r="C1901" t="s">
        <v>149</v>
      </c>
      <c r="D1901">
        <v>2010</v>
      </c>
      <c r="E1901">
        <v>0</v>
      </c>
      <c r="F1901" t="s">
        <v>178</v>
      </c>
    </row>
    <row r="1902" spans="1:6" x14ac:dyDescent="0.25">
      <c r="A1902" t="s">
        <v>192</v>
      </c>
      <c r="B1902" t="s">
        <v>170</v>
      </c>
      <c r="C1902" t="s">
        <v>121</v>
      </c>
      <c r="D1902">
        <v>2014</v>
      </c>
      <c r="E1902">
        <v>0</v>
      </c>
      <c r="F1902" t="s">
        <v>188</v>
      </c>
    </row>
    <row r="1903" spans="1:6" x14ac:dyDescent="0.25">
      <c r="A1903" t="s">
        <v>192</v>
      </c>
      <c r="B1903" t="s">
        <v>170</v>
      </c>
      <c r="C1903" t="s">
        <v>121</v>
      </c>
      <c r="D1903">
        <v>2013</v>
      </c>
      <c r="E1903">
        <v>0</v>
      </c>
      <c r="F1903" t="s">
        <v>188</v>
      </c>
    </row>
    <row r="1904" spans="1:6" x14ac:dyDescent="0.25">
      <c r="A1904" t="s">
        <v>192</v>
      </c>
      <c r="B1904" t="s">
        <v>170</v>
      </c>
      <c r="C1904" t="s">
        <v>121</v>
      </c>
      <c r="D1904">
        <v>2012</v>
      </c>
      <c r="E1904">
        <v>0</v>
      </c>
      <c r="F1904" t="s">
        <v>188</v>
      </c>
    </row>
    <row r="1905" spans="1:6" x14ac:dyDescent="0.25">
      <c r="A1905" t="s">
        <v>192</v>
      </c>
      <c r="B1905" t="s">
        <v>170</v>
      </c>
      <c r="C1905" t="s">
        <v>121</v>
      </c>
      <c r="D1905">
        <v>2011</v>
      </c>
      <c r="E1905">
        <v>0</v>
      </c>
      <c r="F1905" t="s">
        <v>188</v>
      </c>
    </row>
    <row r="1906" spans="1:6" x14ac:dyDescent="0.25">
      <c r="A1906" t="s">
        <v>192</v>
      </c>
      <c r="B1906" t="s">
        <v>170</v>
      </c>
      <c r="C1906" t="s">
        <v>121</v>
      </c>
      <c r="D1906">
        <v>2010</v>
      </c>
      <c r="E1906">
        <v>0</v>
      </c>
      <c r="F1906" t="s">
        <v>188</v>
      </c>
    </row>
    <row r="1907" spans="1:6" x14ac:dyDescent="0.25">
      <c r="A1907" t="s">
        <v>192</v>
      </c>
      <c r="B1907" t="s">
        <v>170</v>
      </c>
      <c r="C1907" t="s">
        <v>122</v>
      </c>
      <c r="D1907">
        <v>2014</v>
      </c>
      <c r="E1907">
        <v>23.314</v>
      </c>
      <c r="F1907" t="s">
        <v>188</v>
      </c>
    </row>
    <row r="1908" spans="1:6" x14ac:dyDescent="0.25">
      <c r="A1908" t="s">
        <v>192</v>
      </c>
      <c r="B1908" t="s">
        <v>170</v>
      </c>
      <c r="C1908" t="s">
        <v>122</v>
      </c>
      <c r="D1908">
        <v>2013</v>
      </c>
      <c r="E1908">
        <v>22.640999999999998</v>
      </c>
      <c r="F1908" t="s">
        <v>188</v>
      </c>
    </row>
    <row r="1909" spans="1:6" x14ac:dyDescent="0.25">
      <c r="A1909" t="s">
        <v>192</v>
      </c>
      <c r="B1909" t="s">
        <v>170</v>
      </c>
      <c r="C1909" t="s">
        <v>122</v>
      </c>
      <c r="D1909">
        <v>2012</v>
      </c>
      <c r="E1909">
        <v>21.555</v>
      </c>
      <c r="F1909" t="s">
        <v>188</v>
      </c>
    </row>
    <row r="1910" spans="1:6" x14ac:dyDescent="0.25">
      <c r="A1910" t="s">
        <v>192</v>
      </c>
      <c r="B1910" t="s">
        <v>170</v>
      </c>
      <c r="C1910" t="s">
        <v>122</v>
      </c>
      <c r="D1910">
        <v>2011</v>
      </c>
      <c r="E1910">
        <v>18.587</v>
      </c>
      <c r="F1910" t="s">
        <v>188</v>
      </c>
    </row>
    <row r="1911" spans="1:6" x14ac:dyDescent="0.25">
      <c r="A1911" t="s">
        <v>192</v>
      </c>
      <c r="B1911" t="s">
        <v>170</v>
      </c>
      <c r="C1911" t="s">
        <v>122</v>
      </c>
      <c r="D1911">
        <v>2010</v>
      </c>
      <c r="E1911">
        <v>22.904</v>
      </c>
      <c r="F1911" t="s">
        <v>188</v>
      </c>
    </row>
    <row r="1912" spans="1:6" x14ac:dyDescent="0.25">
      <c r="A1912" t="s">
        <v>192</v>
      </c>
      <c r="B1912" t="s">
        <v>170</v>
      </c>
      <c r="C1912" t="s">
        <v>123</v>
      </c>
      <c r="D1912">
        <v>2014</v>
      </c>
      <c r="E1912">
        <v>0</v>
      </c>
      <c r="F1912" t="s">
        <v>188</v>
      </c>
    </row>
    <row r="1913" spans="1:6" x14ac:dyDescent="0.25">
      <c r="A1913" t="s">
        <v>192</v>
      </c>
      <c r="B1913" t="s">
        <v>170</v>
      </c>
      <c r="C1913" t="s">
        <v>123</v>
      </c>
      <c r="D1913">
        <v>2013</v>
      </c>
      <c r="E1913">
        <v>0</v>
      </c>
      <c r="F1913" t="s">
        <v>188</v>
      </c>
    </row>
    <row r="1914" spans="1:6" x14ac:dyDescent="0.25">
      <c r="A1914" t="s">
        <v>192</v>
      </c>
      <c r="B1914" t="s">
        <v>170</v>
      </c>
      <c r="C1914" t="s">
        <v>123</v>
      </c>
      <c r="D1914">
        <v>2012</v>
      </c>
      <c r="E1914">
        <v>0</v>
      </c>
      <c r="F1914" t="s">
        <v>188</v>
      </c>
    </row>
    <row r="1915" spans="1:6" x14ac:dyDescent="0.25">
      <c r="A1915" t="s">
        <v>192</v>
      </c>
      <c r="B1915" t="s">
        <v>170</v>
      </c>
      <c r="C1915" t="s">
        <v>123</v>
      </c>
      <c r="D1915">
        <v>2011</v>
      </c>
      <c r="E1915">
        <v>0</v>
      </c>
      <c r="F1915" t="s">
        <v>188</v>
      </c>
    </row>
    <row r="1916" spans="1:6" x14ac:dyDescent="0.25">
      <c r="A1916" t="s">
        <v>192</v>
      </c>
      <c r="B1916" t="s">
        <v>170</v>
      </c>
      <c r="C1916" t="s">
        <v>123</v>
      </c>
      <c r="D1916">
        <v>2010</v>
      </c>
      <c r="E1916">
        <v>0</v>
      </c>
      <c r="F1916" t="s">
        <v>188</v>
      </c>
    </row>
    <row r="1917" spans="1:6" x14ac:dyDescent="0.25">
      <c r="A1917" t="s">
        <v>192</v>
      </c>
      <c r="B1917" t="s">
        <v>170</v>
      </c>
      <c r="C1917" t="s">
        <v>124</v>
      </c>
      <c r="D1917">
        <v>2014</v>
      </c>
      <c r="E1917">
        <v>0.23699999999999999</v>
      </c>
      <c r="F1917" t="s">
        <v>188</v>
      </c>
    </row>
    <row r="1918" spans="1:6" x14ac:dyDescent="0.25">
      <c r="A1918" t="s">
        <v>192</v>
      </c>
      <c r="B1918" t="s">
        <v>170</v>
      </c>
      <c r="C1918" t="s">
        <v>124</v>
      </c>
      <c r="D1918">
        <v>2013</v>
      </c>
      <c r="E1918">
        <v>5.2999999999999999E-2</v>
      </c>
      <c r="F1918" t="s">
        <v>188</v>
      </c>
    </row>
    <row r="1919" spans="1:6" x14ac:dyDescent="0.25">
      <c r="A1919" t="s">
        <v>192</v>
      </c>
      <c r="B1919" t="s">
        <v>170</v>
      </c>
      <c r="C1919" t="s">
        <v>124</v>
      </c>
      <c r="D1919">
        <v>2012</v>
      </c>
      <c r="E1919">
        <v>0.125</v>
      </c>
      <c r="F1919" t="s">
        <v>188</v>
      </c>
    </row>
    <row r="1920" spans="1:6" x14ac:dyDescent="0.25">
      <c r="A1920" t="s">
        <v>192</v>
      </c>
      <c r="B1920" t="s">
        <v>170</v>
      </c>
      <c r="C1920" t="s">
        <v>124</v>
      </c>
      <c r="D1920">
        <v>2011</v>
      </c>
      <c r="E1920">
        <v>9.0999999999999998E-2</v>
      </c>
      <c r="F1920" t="s">
        <v>188</v>
      </c>
    </row>
    <row r="1921" spans="1:6" x14ac:dyDescent="0.25">
      <c r="A1921" t="s">
        <v>192</v>
      </c>
      <c r="B1921" t="s">
        <v>170</v>
      </c>
      <c r="C1921" t="s">
        <v>124</v>
      </c>
      <c r="D1921">
        <v>2010</v>
      </c>
      <c r="E1921">
        <v>0.09</v>
      </c>
      <c r="F1921" t="s">
        <v>188</v>
      </c>
    </row>
    <row r="1922" spans="1:6" x14ac:dyDescent="0.25">
      <c r="A1922" t="s">
        <v>192</v>
      </c>
      <c r="B1922" t="s">
        <v>170</v>
      </c>
      <c r="C1922" t="s">
        <v>160</v>
      </c>
      <c r="D1922">
        <v>2014</v>
      </c>
      <c r="E1922">
        <v>0</v>
      </c>
      <c r="F1922" t="s">
        <v>188</v>
      </c>
    </row>
    <row r="1923" spans="1:6" x14ac:dyDescent="0.25">
      <c r="A1923" t="s">
        <v>192</v>
      </c>
      <c r="B1923" t="s">
        <v>170</v>
      </c>
      <c r="C1923" t="s">
        <v>160</v>
      </c>
      <c r="D1923">
        <v>2013</v>
      </c>
      <c r="E1923">
        <v>0</v>
      </c>
      <c r="F1923" t="s">
        <v>188</v>
      </c>
    </row>
    <row r="1924" spans="1:6" x14ac:dyDescent="0.25">
      <c r="A1924" t="s">
        <v>192</v>
      </c>
      <c r="B1924" t="s">
        <v>170</v>
      </c>
      <c r="C1924" t="s">
        <v>160</v>
      </c>
      <c r="D1924">
        <v>2012</v>
      </c>
      <c r="E1924">
        <v>0</v>
      </c>
      <c r="F1924" t="s">
        <v>188</v>
      </c>
    </row>
    <row r="1925" spans="1:6" x14ac:dyDescent="0.25">
      <c r="A1925" t="s">
        <v>192</v>
      </c>
      <c r="B1925" t="s">
        <v>170</v>
      </c>
      <c r="C1925" t="s">
        <v>160</v>
      </c>
      <c r="D1925">
        <v>2011</v>
      </c>
      <c r="E1925">
        <v>0</v>
      </c>
      <c r="F1925" t="s">
        <v>188</v>
      </c>
    </row>
    <row r="1926" spans="1:6" x14ac:dyDescent="0.25">
      <c r="A1926" t="s">
        <v>192</v>
      </c>
      <c r="B1926" t="s">
        <v>170</v>
      </c>
      <c r="C1926" t="s">
        <v>160</v>
      </c>
      <c r="D1926">
        <v>2010</v>
      </c>
      <c r="E1926">
        <v>0</v>
      </c>
      <c r="F1926" t="s">
        <v>188</v>
      </c>
    </row>
    <row r="1927" spans="1:6" x14ac:dyDescent="0.25">
      <c r="A1927" t="s">
        <v>192</v>
      </c>
      <c r="B1927" t="s">
        <v>170</v>
      </c>
      <c r="C1927" t="s">
        <v>125</v>
      </c>
      <c r="D1927">
        <v>2014</v>
      </c>
      <c r="E1927">
        <v>1.151</v>
      </c>
      <c r="F1927" t="s">
        <v>188</v>
      </c>
    </row>
    <row r="1928" spans="1:6" x14ac:dyDescent="0.25">
      <c r="A1928" t="s">
        <v>192</v>
      </c>
      <c r="B1928" t="s">
        <v>170</v>
      </c>
      <c r="C1928" t="s">
        <v>125</v>
      </c>
      <c r="D1928">
        <v>2013</v>
      </c>
      <c r="E1928">
        <v>1.2869999999999999</v>
      </c>
      <c r="F1928" t="s">
        <v>188</v>
      </c>
    </row>
    <row r="1929" spans="1:6" x14ac:dyDescent="0.25">
      <c r="A1929" t="s">
        <v>192</v>
      </c>
      <c r="B1929" t="s">
        <v>170</v>
      </c>
      <c r="C1929" t="s">
        <v>125</v>
      </c>
      <c r="D1929">
        <v>2012</v>
      </c>
      <c r="E1929">
        <v>1.1779999999999999</v>
      </c>
      <c r="F1929" t="s">
        <v>188</v>
      </c>
    </row>
    <row r="1930" spans="1:6" x14ac:dyDescent="0.25">
      <c r="A1930" t="s">
        <v>192</v>
      </c>
      <c r="B1930" t="s">
        <v>170</v>
      </c>
      <c r="C1930" t="s">
        <v>125</v>
      </c>
      <c r="D1930">
        <v>2011</v>
      </c>
      <c r="E1930">
        <v>1.4630000000000001</v>
      </c>
      <c r="F1930" t="s">
        <v>188</v>
      </c>
    </row>
    <row r="1931" spans="1:6" x14ac:dyDescent="0.25">
      <c r="A1931" t="s">
        <v>192</v>
      </c>
      <c r="B1931" t="s">
        <v>170</v>
      </c>
      <c r="C1931" t="s">
        <v>125</v>
      </c>
      <c r="D1931">
        <v>2010</v>
      </c>
      <c r="E1931">
        <v>1.1359999999999999</v>
      </c>
      <c r="F1931" t="s">
        <v>188</v>
      </c>
    </row>
    <row r="1932" spans="1:6" x14ac:dyDescent="0.25">
      <c r="A1932" t="s">
        <v>192</v>
      </c>
      <c r="B1932" t="s">
        <v>170</v>
      </c>
      <c r="C1932" t="s">
        <v>126</v>
      </c>
      <c r="D1932">
        <v>2014</v>
      </c>
      <c r="E1932">
        <v>13.67</v>
      </c>
      <c r="F1932" t="s">
        <v>188</v>
      </c>
    </row>
    <row r="1933" spans="1:6" x14ac:dyDescent="0.25">
      <c r="A1933" t="s">
        <v>192</v>
      </c>
      <c r="B1933" t="s">
        <v>170</v>
      </c>
      <c r="C1933" t="s">
        <v>126</v>
      </c>
      <c r="D1933">
        <v>2013</v>
      </c>
      <c r="E1933">
        <v>11.170999999999999</v>
      </c>
      <c r="F1933" t="s">
        <v>188</v>
      </c>
    </row>
    <row r="1934" spans="1:6" x14ac:dyDescent="0.25">
      <c r="A1934" t="s">
        <v>192</v>
      </c>
      <c r="B1934" t="s">
        <v>170</v>
      </c>
      <c r="C1934" t="s">
        <v>126</v>
      </c>
      <c r="D1934">
        <v>2012</v>
      </c>
      <c r="E1934">
        <v>15.765000000000001</v>
      </c>
      <c r="F1934" t="s">
        <v>188</v>
      </c>
    </row>
    <row r="1935" spans="1:6" x14ac:dyDescent="0.25">
      <c r="A1935" t="s">
        <v>192</v>
      </c>
      <c r="B1935" t="s">
        <v>170</v>
      </c>
      <c r="C1935" t="s">
        <v>126</v>
      </c>
      <c r="D1935">
        <v>2011</v>
      </c>
      <c r="E1935">
        <v>9.2360000000000007</v>
      </c>
      <c r="F1935" t="s">
        <v>188</v>
      </c>
    </row>
    <row r="1936" spans="1:6" x14ac:dyDescent="0.25">
      <c r="A1936" t="s">
        <v>192</v>
      </c>
      <c r="B1936" t="s">
        <v>170</v>
      </c>
      <c r="C1936" t="s">
        <v>126</v>
      </c>
      <c r="D1936">
        <v>2010</v>
      </c>
      <c r="E1936">
        <v>11.003</v>
      </c>
      <c r="F1936" t="s">
        <v>188</v>
      </c>
    </row>
    <row r="1937" spans="1:6" x14ac:dyDescent="0.25">
      <c r="A1937" t="s">
        <v>192</v>
      </c>
      <c r="B1937" t="s">
        <v>170</v>
      </c>
      <c r="C1937" t="s">
        <v>127</v>
      </c>
      <c r="D1937">
        <v>2014</v>
      </c>
      <c r="E1937">
        <v>17.119</v>
      </c>
      <c r="F1937" t="s">
        <v>188</v>
      </c>
    </row>
    <row r="1938" spans="1:6" x14ac:dyDescent="0.25">
      <c r="A1938" t="s">
        <v>192</v>
      </c>
      <c r="B1938" t="s">
        <v>170</v>
      </c>
      <c r="C1938" t="s">
        <v>127</v>
      </c>
      <c r="D1938">
        <v>2013</v>
      </c>
      <c r="E1938">
        <v>17.754999999999999</v>
      </c>
      <c r="F1938" t="s">
        <v>188</v>
      </c>
    </row>
    <row r="1939" spans="1:6" x14ac:dyDescent="0.25">
      <c r="A1939" t="s">
        <v>192</v>
      </c>
      <c r="B1939" t="s">
        <v>170</v>
      </c>
      <c r="C1939" t="s">
        <v>127</v>
      </c>
      <c r="D1939">
        <v>2012</v>
      </c>
      <c r="E1939">
        <v>17.815999999999999</v>
      </c>
      <c r="F1939" t="s">
        <v>188</v>
      </c>
    </row>
    <row r="1940" spans="1:6" x14ac:dyDescent="0.25">
      <c r="A1940" t="s">
        <v>192</v>
      </c>
      <c r="B1940" t="s">
        <v>170</v>
      </c>
      <c r="C1940" t="s">
        <v>127</v>
      </c>
      <c r="D1940">
        <v>2011</v>
      </c>
      <c r="E1940">
        <v>16.181000000000001</v>
      </c>
      <c r="F1940" t="s">
        <v>188</v>
      </c>
    </row>
    <row r="1941" spans="1:6" x14ac:dyDescent="0.25">
      <c r="A1941" t="s">
        <v>192</v>
      </c>
      <c r="B1941" t="s">
        <v>170</v>
      </c>
      <c r="C1941" t="s">
        <v>127</v>
      </c>
      <c r="D1941">
        <v>2010</v>
      </c>
      <c r="E1941">
        <v>17.135000000000002</v>
      </c>
      <c r="F1941" t="s">
        <v>188</v>
      </c>
    </row>
    <row r="1942" spans="1:6" x14ac:dyDescent="0.25">
      <c r="A1942" t="s">
        <v>192</v>
      </c>
      <c r="B1942" t="s">
        <v>170</v>
      </c>
      <c r="C1942" t="s">
        <v>128</v>
      </c>
      <c r="D1942">
        <v>2014</v>
      </c>
      <c r="E1942">
        <v>3.27</v>
      </c>
      <c r="F1942" t="s">
        <v>188</v>
      </c>
    </row>
    <row r="1943" spans="1:6" x14ac:dyDescent="0.25">
      <c r="A1943" t="s">
        <v>192</v>
      </c>
      <c r="B1943" t="s">
        <v>170</v>
      </c>
      <c r="C1943" t="s">
        <v>128</v>
      </c>
      <c r="D1943">
        <v>2013</v>
      </c>
      <c r="E1943">
        <v>4.2539999999999996</v>
      </c>
      <c r="F1943" t="s">
        <v>188</v>
      </c>
    </row>
    <row r="1944" spans="1:6" x14ac:dyDescent="0.25">
      <c r="A1944" t="s">
        <v>192</v>
      </c>
      <c r="B1944" t="s">
        <v>170</v>
      </c>
      <c r="C1944" t="s">
        <v>128</v>
      </c>
      <c r="D1944">
        <v>2012</v>
      </c>
      <c r="E1944">
        <v>4.0279999999999996</v>
      </c>
      <c r="F1944" t="s">
        <v>188</v>
      </c>
    </row>
    <row r="1945" spans="1:6" x14ac:dyDescent="0.25">
      <c r="A1945" t="s">
        <v>192</v>
      </c>
      <c r="B1945" t="s">
        <v>170</v>
      </c>
      <c r="C1945" t="s">
        <v>128</v>
      </c>
      <c r="D1945">
        <v>2011</v>
      </c>
      <c r="E1945">
        <v>5.0030000000000001</v>
      </c>
      <c r="F1945" t="s">
        <v>188</v>
      </c>
    </row>
    <row r="1946" spans="1:6" x14ac:dyDescent="0.25">
      <c r="A1946" t="s">
        <v>192</v>
      </c>
      <c r="B1946" t="s">
        <v>170</v>
      </c>
      <c r="C1946" t="s">
        <v>128</v>
      </c>
      <c r="D1946">
        <v>2010</v>
      </c>
      <c r="E1946">
        <v>3.8029999999999999</v>
      </c>
      <c r="F1946" t="s">
        <v>188</v>
      </c>
    </row>
    <row r="1947" spans="1:6" x14ac:dyDescent="0.25">
      <c r="A1947" t="s">
        <v>192</v>
      </c>
      <c r="B1947" t="s">
        <v>170</v>
      </c>
      <c r="C1947" t="s">
        <v>161</v>
      </c>
      <c r="D1947">
        <v>2014</v>
      </c>
      <c r="E1947">
        <v>0</v>
      </c>
      <c r="F1947" t="s">
        <v>188</v>
      </c>
    </row>
    <row r="1948" spans="1:6" x14ac:dyDescent="0.25">
      <c r="A1948" t="s">
        <v>192</v>
      </c>
      <c r="B1948" t="s">
        <v>170</v>
      </c>
      <c r="C1948" t="s">
        <v>161</v>
      </c>
      <c r="D1948">
        <v>2013</v>
      </c>
      <c r="E1948">
        <v>0</v>
      </c>
      <c r="F1948" t="s">
        <v>188</v>
      </c>
    </row>
    <row r="1949" spans="1:6" x14ac:dyDescent="0.25">
      <c r="A1949" t="s">
        <v>192</v>
      </c>
      <c r="B1949" t="s">
        <v>170</v>
      </c>
      <c r="C1949" t="s">
        <v>161</v>
      </c>
      <c r="D1949">
        <v>2012</v>
      </c>
      <c r="E1949">
        <v>0</v>
      </c>
      <c r="F1949" t="s">
        <v>188</v>
      </c>
    </row>
    <row r="1950" spans="1:6" x14ac:dyDescent="0.25">
      <c r="A1950" t="s">
        <v>192</v>
      </c>
      <c r="B1950" t="s">
        <v>170</v>
      </c>
      <c r="C1950" t="s">
        <v>161</v>
      </c>
      <c r="D1950">
        <v>2011</v>
      </c>
      <c r="E1950">
        <v>0</v>
      </c>
      <c r="F1950" t="s">
        <v>188</v>
      </c>
    </row>
    <row r="1951" spans="1:6" x14ac:dyDescent="0.25">
      <c r="A1951" t="s">
        <v>192</v>
      </c>
      <c r="B1951" t="s">
        <v>170</v>
      </c>
      <c r="C1951" t="s">
        <v>161</v>
      </c>
      <c r="D1951">
        <v>2010</v>
      </c>
      <c r="E1951">
        <v>0</v>
      </c>
      <c r="F1951" t="s">
        <v>188</v>
      </c>
    </row>
    <row r="1952" spans="1:6" x14ac:dyDescent="0.25">
      <c r="A1952" t="s">
        <v>192</v>
      </c>
      <c r="B1952" t="s">
        <v>170</v>
      </c>
      <c r="C1952" t="s">
        <v>162</v>
      </c>
      <c r="D1952">
        <v>2014</v>
      </c>
      <c r="E1952">
        <v>0</v>
      </c>
      <c r="F1952" t="s">
        <v>188</v>
      </c>
    </row>
    <row r="1953" spans="1:6" x14ac:dyDescent="0.25">
      <c r="A1953" t="s">
        <v>192</v>
      </c>
      <c r="B1953" t="s">
        <v>170</v>
      </c>
      <c r="C1953" t="s">
        <v>162</v>
      </c>
      <c r="D1953">
        <v>2013</v>
      </c>
      <c r="E1953">
        <v>0</v>
      </c>
      <c r="F1953" t="s">
        <v>188</v>
      </c>
    </row>
    <row r="1954" spans="1:6" x14ac:dyDescent="0.25">
      <c r="A1954" t="s">
        <v>192</v>
      </c>
      <c r="B1954" t="s">
        <v>170</v>
      </c>
      <c r="C1954" t="s">
        <v>162</v>
      </c>
      <c r="D1954">
        <v>2012</v>
      </c>
      <c r="E1954">
        <v>0</v>
      </c>
      <c r="F1954" t="s">
        <v>188</v>
      </c>
    </row>
    <row r="1955" spans="1:6" x14ac:dyDescent="0.25">
      <c r="A1955" t="s">
        <v>192</v>
      </c>
      <c r="B1955" t="s">
        <v>170</v>
      </c>
      <c r="C1955" t="s">
        <v>162</v>
      </c>
      <c r="D1955">
        <v>2011</v>
      </c>
      <c r="E1955">
        <v>0</v>
      </c>
      <c r="F1955" t="s">
        <v>188</v>
      </c>
    </row>
    <row r="1956" spans="1:6" x14ac:dyDescent="0.25">
      <c r="A1956" t="s">
        <v>192</v>
      </c>
      <c r="B1956" t="s">
        <v>170</v>
      </c>
      <c r="C1956" t="s">
        <v>162</v>
      </c>
      <c r="D1956">
        <v>2010</v>
      </c>
      <c r="E1956">
        <v>0</v>
      </c>
      <c r="F1956" t="s">
        <v>188</v>
      </c>
    </row>
    <row r="1957" spans="1:6" x14ac:dyDescent="0.25">
      <c r="A1957" t="s">
        <v>192</v>
      </c>
      <c r="B1957" t="s">
        <v>170</v>
      </c>
      <c r="C1957" t="s">
        <v>129</v>
      </c>
      <c r="D1957">
        <v>2014</v>
      </c>
      <c r="E1957">
        <v>28.608000000000001</v>
      </c>
      <c r="F1957" t="s">
        <v>188</v>
      </c>
    </row>
    <row r="1958" spans="1:6" x14ac:dyDescent="0.25">
      <c r="A1958" t="s">
        <v>192</v>
      </c>
      <c r="B1958" t="s">
        <v>170</v>
      </c>
      <c r="C1958" t="s">
        <v>129</v>
      </c>
      <c r="D1958">
        <v>2013</v>
      </c>
      <c r="E1958">
        <v>26.443000000000001</v>
      </c>
      <c r="F1958" t="s">
        <v>188</v>
      </c>
    </row>
    <row r="1959" spans="1:6" x14ac:dyDescent="0.25">
      <c r="A1959" t="s">
        <v>192</v>
      </c>
      <c r="B1959" t="s">
        <v>170</v>
      </c>
      <c r="C1959" t="s">
        <v>129</v>
      </c>
      <c r="D1959">
        <v>2012</v>
      </c>
      <c r="E1959">
        <v>25.831</v>
      </c>
      <c r="F1959" t="s">
        <v>188</v>
      </c>
    </row>
    <row r="1960" spans="1:6" x14ac:dyDescent="0.25">
      <c r="A1960" t="s">
        <v>192</v>
      </c>
      <c r="B1960" t="s">
        <v>170</v>
      </c>
      <c r="C1960" t="s">
        <v>129</v>
      </c>
      <c r="D1960">
        <v>2011</v>
      </c>
      <c r="E1960">
        <v>21.989000000000001</v>
      </c>
      <c r="F1960" t="s">
        <v>188</v>
      </c>
    </row>
    <row r="1961" spans="1:6" x14ac:dyDescent="0.25">
      <c r="A1961" t="s">
        <v>192</v>
      </c>
      <c r="B1961" t="s">
        <v>170</v>
      </c>
      <c r="C1961" t="s">
        <v>129</v>
      </c>
      <c r="D1961">
        <v>2010</v>
      </c>
      <c r="E1961">
        <v>23.091000000000001</v>
      </c>
      <c r="F1961" t="s">
        <v>188</v>
      </c>
    </row>
    <row r="1962" spans="1:6" x14ac:dyDescent="0.25">
      <c r="A1962" t="s">
        <v>192</v>
      </c>
      <c r="B1962" t="s">
        <v>170</v>
      </c>
      <c r="C1962" t="s">
        <v>130</v>
      </c>
      <c r="D1962">
        <v>2014</v>
      </c>
      <c r="E1962">
        <v>12.474</v>
      </c>
      <c r="F1962" t="s">
        <v>188</v>
      </c>
    </row>
    <row r="1963" spans="1:6" x14ac:dyDescent="0.25">
      <c r="A1963" t="s">
        <v>192</v>
      </c>
      <c r="B1963" t="s">
        <v>170</v>
      </c>
      <c r="C1963" t="s">
        <v>130</v>
      </c>
      <c r="D1963">
        <v>2013</v>
      </c>
      <c r="E1963">
        <v>10.353</v>
      </c>
      <c r="F1963" t="s">
        <v>188</v>
      </c>
    </row>
    <row r="1964" spans="1:6" x14ac:dyDescent="0.25">
      <c r="A1964" t="s">
        <v>192</v>
      </c>
      <c r="B1964" t="s">
        <v>170</v>
      </c>
      <c r="C1964" t="s">
        <v>130</v>
      </c>
      <c r="D1964">
        <v>2012</v>
      </c>
      <c r="E1964">
        <v>7.7249999999999996</v>
      </c>
      <c r="F1964" t="s">
        <v>188</v>
      </c>
    </row>
    <row r="1965" spans="1:6" x14ac:dyDescent="0.25">
      <c r="A1965" t="s">
        <v>192</v>
      </c>
      <c r="B1965" t="s">
        <v>170</v>
      </c>
      <c r="C1965" t="s">
        <v>130</v>
      </c>
      <c r="D1965">
        <v>2011</v>
      </c>
      <c r="E1965">
        <v>6.09</v>
      </c>
      <c r="F1965" t="s">
        <v>188</v>
      </c>
    </row>
    <row r="1966" spans="1:6" x14ac:dyDescent="0.25">
      <c r="A1966" t="s">
        <v>192</v>
      </c>
      <c r="B1966" t="s">
        <v>170</v>
      </c>
      <c r="C1966" t="s">
        <v>130</v>
      </c>
      <c r="D1966">
        <v>2010</v>
      </c>
      <c r="E1966">
        <v>4.9710000000000001</v>
      </c>
      <c r="F1966" t="s">
        <v>188</v>
      </c>
    </row>
    <row r="1967" spans="1:6" x14ac:dyDescent="0.25">
      <c r="A1967" t="s">
        <v>192</v>
      </c>
      <c r="B1967" t="s">
        <v>170</v>
      </c>
      <c r="C1967" t="s">
        <v>131</v>
      </c>
      <c r="D1967">
        <v>2014</v>
      </c>
      <c r="E1967">
        <v>0</v>
      </c>
      <c r="F1967" t="s">
        <v>188</v>
      </c>
    </row>
    <row r="1968" spans="1:6" x14ac:dyDescent="0.25">
      <c r="A1968" t="s">
        <v>192</v>
      </c>
      <c r="B1968" t="s">
        <v>170</v>
      </c>
      <c r="C1968" t="s">
        <v>131</v>
      </c>
      <c r="D1968">
        <v>2013</v>
      </c>
      <c r="E1968">
        <v>0</v>
      </c>
      <c r="F1968" t="s">
        <v>188</v>
      </c>
    </row>
    <row r="1969" spans="1:6" x14ac:dyDescent="0.25">
      <c r="A1969" t="s">
        <v>192</v>
      </c>
      <c r="B1969" t="s">
        <v>170</v>
      </c>
      <c r="C1969" t="s">
        <v>131</v>
      </c>
      <c r="D1969">
        <v>2012</v>
      </c>
      <c r="E1969">
        <v>0</v>
      </c>
      <c r="F1969" t="s">
        <v>188</v>
      </c>
    </row>
    <row r="1970" spans="1:6" x14ac:dyDescent="0.25">
      <c r="A1970" t="s">
        <v>192</v>
      </c>
      <c r="B1970" t="s">
        <v>170</v>
      </c>
      <c r="C1970" t="s">
        <v>131</v>
      </c>
      <c r="D1970">
        <v>2011</v>
      </c>
      <c r="E1970">
        <v>0</v>
      </c>
      <c r="F1970" t="s">
        <v>188</v>
      </c>
    </row>
    <row r="1971" spans="1:6" x14ac:dyDescent="0.25">
      <c r="A1971" t="s">
        <v>192</v>
      </c>
      <c r="B1971" t="s">
        <v>170</v>
      </c>
      <c r="C1971" t="s">
        <v>131</v>
      </c>
      <c r="D1971">
        <v>2010</v>
      </c>
      <c r="E1971">
        <v>0</v>
      </c>
      <c r="F1971" t="s">
        <v>188</v>
      </c>
    </row>
    <row r="1972" spans="1:6" x14ac:dyDescent="0.25">
      <c r="A1972" t="s">
        <v>192</v>
      </c>
      <c r="B1972" t="s">
        <v>170</v>
      </c>
      <c r="C1972" t="s">
        <v>132</v>
      </c>
      <c r="D1972">
        <v>2014</v>
      </c>
      <c r="E1972">
        <v>1.55</v>
      </c>
      <c r="F1972" t="s">
        <v>188</v>
      </c>
    </row>
    <row r="1973" spans="1:6" x14ac:dyDescent="0.25">
      <c r="A1973" t="s">
        <v>192</v>
      </c>
      <c r="B1973" t="s">
        <v>170</v>
      </c>
      <c r="C1973" t="s">
        <v>132</v>
      </c>
      <c r="D1973">
        <v>2013</v>
      </c>
      <c r="E1973">
        <v>1.859</v>
      </c>
      <c r="F1973" t="s">
        <v>188</v>
      </c>
    </row>
    <row r="1974" spans="1:6" x14ac:dyDescent="0.25">
      <c r="A1974" t="s">
        <v>192</v>
      </c>
      <c r="B1974" t="s">
        <v>170</v>
      </c>
      <c r="C1974" t="s">
        <v>132</v>
      </c>
      <c r="D1974">
        <v>2012</v>
      </c>
      <c r="E1974">
        <v>0.81</v>
      </c>
      <c r="F1974" t="s">
        <v>188</v>
      </c>
    </row>
    <row r="1975" spans="1:6" x14ac:dyDescent="0.25">
      <c r="A1975" t="s">
        <v>192</v>
      </c>
      <c r="B1975" t="s">
        <v>170</v>
      </c>
      <c r="C1975" t="s">
        <v>132</v>
      </c>
      <c r="D1975">
        <v>2011</v>
      </c>
      <c r="E1975">
        <v>0.50900000000000001</v>
      </c>
      <c r="F1975" t="s">
        <v>188</v>
      </c>
    </row>
    <row r="1976" spans="1:6" x14ac:dyDescent="0.25">
      <c r="A1976" t="s">
        <v>192</v>
      </c>
      <c r="B1976" t="s">
        <v>170</v>
      </c>
      <c r="C1976" t="s">
        <v>132</v>
      </c>
      <c r="D1976">
        <v>2010</v>
      </c>
      <c r="E1976">
        <v>0.19500000000000001</v>
      </c>
      <c r="F1976" t="s">
        <v>188</v>
      </c>
    </row>
    <row r="1977" spans="1:6" x14ac:dyDescent="0.25">
      <c r="A1977" t="s">
        <v>192</v>
      </c>
      <c r="B1977" t="s">
        <v>170</v>
      </c>
      <c r="C1977" t="s">
        <v>163</v>
      </c>
      <c r="D1977">
        <v>2014</v>
      </c>
      <c r="E1977">
        <v>0</v>
      </c>
      <c r="F1977" t="s">
        <v>188</v>
      </c>
    </row>
    <row r="1978" spans="1:6" x14ac:dyDescent="0.25">
      <c r="A1978" t="s">
        <v>192</v>
      </c>
      <c r="B1978" t="s">
        <v>170</v>
      </c>
      <c r="C1978" t="s">
        <v>163</v>
      </c>
      <c r="D1978">
        <v>2013</v>
      </c>
      <c r="E1978">
        <v>0</v>
      </c>
      <c r="F1978" t="s">
        <v>188</v>
      </c>
    </row>
    <row r="1979" spans="1:6" x14ac:dyDescent="0.25">
      <c r="A1979" t="s">
        <v>192</v>
      </c>
      <c r="B1979" t="s">
        <v>170</v>
      </c>
      <c r="C1979" t="s">
        <v>163</v>
      </c>
      <c r="D1979">
        <v>2012</v>
      </c>
      <c r="E1979">
        <v>0</v>
      </c>
      <c r="F1979" t="s">
        <v>188</v>
      </c>
    </row>
    <row r="1980" spans="1:6" x14ac:dyDescent="0.25">
      <c r="A1980" t="s">
        <v>192</v>
      </c>
      <c r="B1980" t="s">
        <v>170</v>
      </c>
      <c r="C1980" t="s">
        <v>163</v>
      </c>
      <c r="D1980">
        <v>2011</v>
      </c>
      <c r="E1980">
        <v>0</v>
      </c>
      <c r="F1980" t="s">
        <v>188</v>
      </c>
    </row>
    <row r="1981" spans="1:6" x14ac:dyDescent="0.25">
      <c r="A1981" t="s">
        <v>192</v>
      </c>
      <c r="B1981" t="s">
        <v>170</v>
      </c>
      <c r="C1981" t="s">
        <v>163</v>
      </c>
      <c r="D1981">
        <v>2010</v>
      </c>
      <c r="E1981">
        <v>0</v>
      </c>
      <c r="F1981" t="s">
        <v>188</v>
      </c>
    </row>
    <row r="1982" spans="1:6" x14ac:dyDescent="0.25">
      <c r="A1982" t="s">
        <v>192</v>
      </c>
      <c r="B1982" t="s">
        <v>170</v>
      </c>
      <c r="C1982" t="s">
        <v>133</v>
      </c>
      <c r="D1982">
        <v>2014</v>
      </c>
      <c r="E1982">
        <v>0</v>
      </c>
      <c r="F1982" t="s">
        <v>188</v>
      </c>
    </row>
    <row r="1983" spans="1:6" x14ac:dyDescent="0.25">
      <c r="A1983" t="s">
        <v>192</v>
      </c>
      <c r="B1983" t="s">
        <v>170</v>
      </c>
      <c r="C1983" t="s">
        <v>133</v>
      </c>
      <c r="D1983">
        <v>2013</v>
      </c>
      <c r="E1983">
        <v>0</v>
      </c>
      <c r="F1983" t="s">
        <v>188</v>
      </c>
    </row>
    <row r="1984" spans="1:6" x14ac:dyDescent="0.25">
      <c r="A1984" t="s">
        <v>192</v>
      </c>
      <c r="B1984" t="s">
        <v>170</v>
      </c>
      <c r="C1984" t="s">
        <v>133</v>
      </c>
      <c r="D1984">
        <v>2012</v>
      </c>
      <c r="E1984">
        <v>0</v>
      </c>
      <c r="F1984" t="s">
        <v>188</v>
      </c>
    </row>
    <row r="1985" spans="1:6" x14ac:dyDescent="0.25">
      <c r="A1985" t="s">
        <v>192</v>
      </c>
      <c r="B1985" t="s">
        <v>170</v>
      </c>
      <c r="C1985" t="s">
        <v>133</v>
      </c>
      <c r="D1985">
        <v>2011</v>
      </c>
      <c r="E1985">
        <v>0</v>
      </c>
      <c r="F1985" t="s">
        <v>188</v>
      </c>
    </row>
    <row r="1986" spans="1:6" x14ac:dyDescent="0.25">
      <c r="A1986" t="s">
        <v>192</v>
      </c>
      <c r="B1986" t="s">
        <v>170</v>
      </c>
      <c r="C1986" t="s">
        <v>133</v>
      </c>
      <c r="D1986">
        <v>2010</v>
      </c>
      <c r="E1986">
        <v>0</v>
      </c>
      <c r="F1986" t="s">
        <v>188</v>
      </c>
    </row>
    <row r="1987" spans="1:6" x14ac:dyDescent="0.25">
      <c r="A1987" t="s">
        <v>192</v>
      </c>
      <c r="B1987" t="s">
        <v>170</v>
      </c>
      <c r="C1987" t="s">
        <v>134</v>
      </c>
      <c r="D1987">
        <v>2014</v>
      </c>
      <c r="E1987">
        <v>3.452</v>
      </c>
      <c r="F1987" t="s">
        <v>188</v>
      </c>
    </row>
    <row r="1988" spans="1:6" x14ac:dyDescent="0.25">
      <c r="A1988" t="s">
        <v>192</v>
      </c>
      <c r="B1988" t="s">
        <v>170</v>
      </c>
      <c r="C1988" t="s">
        <v>134</v>
      </c>
      <c r="D1988">
        <v>2013</v>
      </c>
      <c r="E1988">
        <v>3.9929999999999999</v>
      </c>
      <c r="F1988" t="s">
        <v>188</v>
      </c>
    </row>
    <row r="1989" spans="1:6" x14ac:dyDescent="0.25">
      <c r="A1989" t="s">
        <v>192</v>
      </c>
      <c r="B1989" t="s">
        <v>170</v>
      </c>
      <c r="C1989" t="s">
        <v>134</v>
      </c>
      <c r="D1989">
        <v>2012</v>
      </c>
      <c r="E1989">
        <v>3.96</v>
      </c>
      <c r="F1989" t="s">
        <v>188</v>
      </c>
    </row>
    <row r="1990" spans="1:6" x14ac:dyDescent="0.25">
      <c r="A1990" t="s">
        <v>192</v>
      </c>
      <c r="B1990" t="s">
        <v>170</v>
      </c>
      <c r="C1990" t="s">
        <v>134</v>
      </c>
      <c r="D1990">
        <v>2011</v>
      </c>
      <c r="E1990">
        <v>3.6720000000000002</v>
      </c>
      <c r="F1990" t="s">
        <v>188</v>
      </c>
    </row>
    <row r="1991" spans="1:6" x14ac:dyDescent="0.25">
      <c r="A1991" t="s">
        <v>192</v>
      </c>
      <c r="B1991" t="s">
        <v>170</v>
      </c>
      <c r="C1991" t="s">
        <v>134</v>
      </c>
      <c r="D1991">
        <v>2010</v>
      </c>
      <c r="E1991">
        <v>3.391</v>
      </c>
      <c r="F1991" t="s">
        <v>188</v>
      </c>
    </row>
    <row r="1992" spans="1:6" x14ac:dyDescent="0.25">
      <c r="A1992" t="s">
        <v>192</v>
      </c>
      <c r="B1992" t="s">
        <v>170</v>
      </c>
      <c r="C1992" t="s">
        <v>135</v>
      </c>
      <c r="D1992">
        <v>2014</v>
      </c>
      <c r="E1992">
        <v>12.691000000000001</v>
      </c>
      <c r="F1992" t="s">
        <v>188</v>
      </c>
    </row>
    <row r="1993" spans="1:6" x14ac:dyDescent="0.25">
      <c r="A1993" t="s">
        <v>192</v>
      </c>
      <c r="B1993" t="s">
        <v>170</v>
      </c>
      <c r="C1993" t="s">
        <v>135</v>
      </c>
      <c r="D1993">
        <v>2013</v>
      </c>
      <c r="E1993">
        <v>8.7780000000000005</v>
      </c>
      <c r="F1993" t="s">
        <v>188</v>
      </c>
    </row>
    <row r="1994" spans="1:6" x14ac:dyDescent="0.25">
      <c r="A1994" t="s">
        <v>192</v>
      </c>
      <c r="B1994" t="s">
        <v>170</v>
      </c>
      <c r="C1994" t="s">
        <v>135</v>
      </c>
      <c r="D1994">
        <v>2012</v>
      </c>
      <c r="E1994">
        <v>9.2360000000000007</v>
      </c>
      <c r="F1994" t="s">
        <v>188</v>
      </c>
    </row>
    <row r="1995" spans="1:6" x14ac:dyDescent="0.25">
      <c r="A1995" t="s">
        <v>192</v>
      </c>
      <c r="B1995" t="s">
        <v>170</v>
      </c>
      <c r="C1995" t="s">
        <v>135</v>
      </c>
      <c r="D1995">
        <v>2011</v>
      </c>
      <c r="E1995">
        <v>7.51</v>
      </c>
      <c r="F1995" t="s">
        <v>188</v>
      </c>
    </row>
    <row r="1996" spans="1:6" x14ac:dyDescent="0.25">
      <c r="A1996" t="s">
        <v>192</v>
      </c>
      <c r="B1996" t="s">
        <v>170</v>
      </c>
      <c r="C1996" t="s">
        <v>135</v>
      </c>
      <c r="D1996">
        <v>2010</v>
      </c>
      <c r="E1996">
        <v>8.0370000000000008</v>
      </c>
      <c r="F1996" t="s">
        <v>188</v>
      </c>
    </row>
    <row r="1997" spans="1:6" x14ac:dyDescent="0.25">
      <c r="A1997" t="s">
        <v>192</v>
      </c>
      <c r="B1997" t="s">
        <v>170</v>
      </c>
      <c r="C1997" t="s">
        <v>136</v>
      </c>
      <c r="D1997">
        <v>2014</v>
      </c>
      <c r="E1997">
        <v>0.123</v>
      </c>
      <c r="F1997" t="s">
        <v>188</v>
      </c>
    </row>
    <row r="1998" spans="1:6" x14ac:dyDescent="0.25">
      <c r="A1998" t="s">
        <v>192</v>
      </c>
      <c r="B1998" t="s">
        <v>170</v>
      </c>
      <c r="C1998" t="s">
        <v>136</v>
      </c>
      <c r="D1998">
        <v>2013</v>
      </c>
      <c r="E1998">
        <v>0.11600000000000001</v>
      </c>
      <c r="F1998" t="s">
        <v>188</v>
      </c>
    </row>
    <row r="1999" spans="1:6" x14ac:dyDescent="0.25">
      <c r="A1999" t="s">
        <v>192</v>
      </c>
      <c r="B1999" t="s">
        <v>170</v>
      </c>
      <c r="C1999" t="s">
        <v>136</v>
      </c>
      <c r="D1999">
        <v>2012</v>
      </c>
      <c r="E1999">
        <v>0.10199999999999999</v>
      </c>
      <c r="F1999" t="s">
        <v>188</v>
      </c>
    </row>
    <row r="2000" spans="1:6" x14ac:dyDescent="0.25">
      <c r="A2000" t="s">
        <v>192</v>
      </c>
      <c r="B2000" t="s">
        <v>170</v>
      </c>
      <c r="C2000" t="s">
        <v>136</v>
      </c>
      <c r="D2000">
        <v>2011</v>
      </c>
      <c r="E2000">
        <v>0.10100000000000001</v>
      </c>
      <c r="F2000" t="s">
        <v>188</v>
      </c>
    </row>
    <row r="2001" spans="1:6" x14ac:dyDescent="0.25">
      <c r="A2001" t="s">
        <v>192</v>
      </c>
      <c r="B2001" t="s">
        <v>170</v>
      </c>
      <c r="C2001" t="s">
        <v>136</v>
      </c>
      <c r="D2001">
        <v>2010</v>
      </c>
      <c r="E2001">
        <v>9.5000000000000001E-2</v>
      </c>
      <c r="F2001" t="s">
        <v>188</v>
      </c>
    </row>
    <row r="2002" spans="1:6" x14ac:dyDescent="0.25">
      <c r="A2002" t="s">
        <v>192</v>
      </c>
      <c r="B2002" t="s">
        <v>170</v>
      </c>
      <c r="C2002" t="s">
        <v>137</v>
      </c>
      <c r="D2002">
        <v>2014</v>
      </c>
      <c r="E2002">
        <v>5.8360000000000003</v>
      </c>
      <c r="F2002" t="s">
        <v>188</v>
      </c>
    </row>
    <row r="2003" spans="1:6" x14ac:dyDescent="0.25">
      <c r="A2003" t="s">
        <v>192</v>
      </c>
      <c r="B2003" t="s">
        <v>170</v>
      </c>
      <c r="C2003" t="s">
        <v>137</v>
      </c>
      <c r="D2003">
        <v>2013</v>
      </c>
      <c r="E2003">
        <v>5.9880000000000004</v>
      </c>
      <c r="F2003" t="s">
        <v>188</v>
      </c>
    </row>
    <row r="2004" spans="1:6" x14ac:dyDescent="0.25">
      <c r="A2004" t="s">
        <v>192</v>
      </c>
      <c r="B2004" t="s">
        <v>170</v>
      </c>
      <c r="C2004" t="s">
        <v>137</v>
      </c>
      <c r="D2004">
        <v>2012</v>
      </c>
      <c r="E2004">
        <v>5.9039999999999999</v>
      </c>
      <c r="F2004" t="s">
        <v>188</v>
      </c>
    </row>
    <row r="2005" spans="1:6" x14ac:dyDescent="0.25">
      <c r="A2005" t="s">
        <v>192</v>
      </c>
      <c r="B2005" t="s">
        <v>170</v>
      </c>
      <c r="C2005" t="s">
        <v>137</v>
      </c>
      <c r="D2005">
        <v>2011</v>
      </c>
      <c r="E2005">
        <v>5.4349999999999996</v>
      </c>
      <c r="F2005" t="s">
        <v>188</v>
      </c>
    </row>
    <row r="2006" spans="1:6" x14ac:dyDescent="0.25">
      <c r="A2006" t="s">
        <v>192</v>
      </c>
      <c r="B2006" t="s">
        <v>170</v>
      </c>
      <c r="C2006" t="s">
        <v>137</v>
      </c>
      <c r="D2006">
        <v>2010</v>
      </c>
      <c r="E2006">
        <v>6.1909999999999998</v>
      </c>
      <c r="F2006" t="s">
        <v>188</v>
      </c>
    </row>
    <row r="2007" spans="1:6" x14ac:dyDescent="0.25">
      <c r="A2007" t="s">
        <v>192</v>
      </c>
      <c r="B2007" t="s">
        <v>170</v>
      </c>
      <c r="C2007" t="s">
        <v>138</v>
      </c>
      <c r="D2007">
        <v>2014</v>
      </c>
      <c r="E2007">
        <v>0.35499999999999998</v>
      </c>
      <c r="F2007" t="s">
        <v>188</v>
      </c>
    </row>
    <row r="2008" spans="1:6" x14ac:dyDescent="0.25">
      <c r="A2008" t="s">
        <v>192</v>
      </c>
      <c r="B2008" t="s">
        <v>170</v>
      </c>
      <c r="C2008" t="s">
        <v>138</v>
      </c>
      <c r="D2008">
        <v>2013</v>
      </c>
      <c r="E2008">
        <v>0.26900000000000002</v>
      </c>
      <c r="F2008" t="s">
        <v>188</v>
      </c>
    </row>
    <row r="2009" spans="1:6" x14ac:dyDescent="0.25">
      <c r="A2009" t="s">
        <v>192</v>
      </c>
      <c r="B2009" t="s">
        <v>170</v>
      </c>
      <c r="C2009" t="s">
        <v>138</v>
      </c>
      <c r="D2009">
        <v>2012</v>
      </c>
      <c r="E2009">
        <v>0.23</v>
      </c>
      <c r="F2009" t="s">
        <v>188</v>
      </c>
    </row>
    <row r="2010" spans="1:6" x14ac:dyDescent="0.25">
      <c r="A2010" t="s">
        <v>192</v>
      </c>
      <c r="B2010" t="s">
        <v>170</v>
      </c>
      <c r="C2010" t="s">
        <v>138</v>
      </c>
      <c r="D2010">
        <v>2011</v>
      </c>
      <c r="E2010">
        <v>0.4</v>
      </c>
      <c r="F2010" t="s">
        <v>188</v>
      </c>
    </row>
    <row r="2011" spans="1:6" x14ac:dyDescent="0.25">
      <c r="A2011" t="s">
        <v>192</v>
      </c>
      <c r="B2011" t="s">
        <v>170</v>
      </c>
      <c r="C2011" t="s">
        <v>138</v>
      </c>
      <c r="D2011">
        <v>2010</v>
      </c>
      <c r="E2011">
        <v>0.51800000000000002</v>
      </c>
      <c r="F2011" t="s">
        <v>188</v>
      </c>
    </row>
    <row r="2012" spans="1:6" x14ac:dyDescent="0.25">
      <c r="A2012" t="s">
        <v>192</v>
      </c>
      <c r="B2012" t="s">
        <v>170</v>
      </c>
      <c r="C2012" t="s">
        <v>164</v>
      </c>
      <c r="D2012">
        <v>2014</v>
      </c>
      <c r="E2012">
        <v>0</v>
      </c>
      <c r="F2012" t="s">
        <v>188</v>
      </c>
    </row>
    <row r="2013" spans="1:6" x14ac:dyDescent="0.25">
      <c r="A2013" t="s">
        <v>192</v>
      </c>
      <c r="B2013" t="s">
        <v>170</v>
      </c>
      <c r="C2013" t="s">
        <v>164</v>
      </c>
      <c r="D2013">
        <v>2013</v>
      </c>
      <c r="E2013">
        <v>0</v>
      </c>
      <c r="F2013" t="s">
        <v>188</v>
      </c>
    </row>
    <row r="2014" spans="1:6" x14ac:dyDescent="0.25">
      <c r="A2014" t="s">
        <v>192</v>
      </c>
      <c r="B2014" t="s">
        <v>170</v>
      </c>
      <c r="C2014" t="s">
        <v>164</v>
      </c>
      <c r="D2014">
        <v>2012</v>
      </c>
      <c r="E2014">
        <v>0</v>
      </c>
      <c r="F2014" t="s">
        <v>188</v>
      </c>
    </row>
    <row r="2015" spans="1:6" x14ac:dyDescent="0.25">
      <c r="A2015" t="s">
        <v>192</v>
      </c>
      <c r="B2015" t="s">
        <v>170</v>
      </c>
      <c r="C2015" t="s">
        <v>164</v>
      </c>
      <c r="D2015">
        <v>2011</v>
      </c>
      <c r="E2015">
        <v>0</v>
      </c>
      <c r="F2015" t="s">
        <v>188</v>
      </c>
    </row>
    <row r="2016" spans="1:6" x14ac:dyDescent="0.25">
      <c r="A2016" t="s">
        <v>192</v>
      </c>
      <c r="B2016" t="s">
        <v>170</v>
      </c>
      <c r="C2016" t="s">
        <v>164</v>
      </c>
      <c r="D2016">
        <v>2010</v>
      </c>
      <c r="E2016">
        <v>0</v>
      </c>
      <c r="F2016" t="s">
        <v>188</v>
      </c>
    </row>
    <row r="2017" spans="1:6" x14ac:dyDescent="0.25">
      <c r="A2017" t="s">
        <v>192</v>
      </c>
      <c r="B2017" t="s">
        <v>170</v>
      </c>
      <c r="C2017" t="s">
        <v>139</v>
      </c>
      <c r="D2017">
        <v>2014</v>
      </c>
      <c r="E2017">
        <v>0</v>
      </c>
      <c r="F2017" t="s">
        <v>188</v>
      </c>
    </row>
    <row r="2018" spans="1:6" x14ac:dyDescent="0.25">
      <c r="A2018" t="s">
        <v>192</v>
      </c>
      <c r="B2018" t="s">
        <v>170</v>
      </c>
      <c r="C2018" t="s">
        <v>139</v>
      </c>
      <c r="D2018">
        <v>2013</v>
      </c>
      <c r="E2018">
        <v>0</v>
      </c>
      <c r="F2018" t="s">
        <v>188</v>
      </c>
    </row>
    <row r="2019" spans="1:6" x14ac:dyDescent="0.25">
      <c r="A2019" t="s">
        <v>192</v>
      </c>
      <c r="B2019" t="s">
        <v>170</v>
      </c>
      <c r="C2019" t="s">
        <v>139</v>
      </c>
      <c r="D2019">
        <v>2012</v>
      </c>
      <c r="E2019">
        <v>0</v>
      </c>
      <c r="F2019" t="s">
        <v>188</v>
      </c>
    </row>
    <row r="2020" spans="1:6" x14ac:dyDescent="0.25">
      <c r="A2020" t="s">
        <v>192</v>
      </c>
      <c r="B2020" t="s">
        <v>170</v>
      </c>
      <c r="C2020" t="s">
        <v>139</v>
      </c>
      <c r="D2020">
        <v>2011</v>
      </c>
      <c r="E2020">
        <v>0</v>
      </c>
      <c r="F2020" t="s">
        <v>188</v>
      </c>
    </row>
    <row r="2021" spans="1:6" x14ac:dyDescent="0.25">
      <c r="A2021" t="s">
        <v>192</v>
      </c>
      <c r="B2021" t="s">
        <v>170</v>
      </c>
      <c r="C2021" t="s">
        <v>139</v>
      </c>
      <c r="D2021">
        <v>2010</v>
      </c>
      <c r="E2021">
        <v>0</v>
      </c>
      <c r="F2021" t="s">
        <v>188</v>
      </c>
    </row>
    <row r="2022" spans="1:6" x14ac:dyDescent="0.25">
      <c r="A2022" t="s">
        <v>192</v>
      </c>
      <c r="B2022" t="s">
        <v>170</v>
      </c>
      <c r="C2022" t="s">
        <v>165</v>
      </c>
      <c r="D2022">
        <v>2014</v>
      </c>
      <c r="E2022">
        <v>0</v>
      </c>
      <c r="F2022" t="s">
        <v>188</v>
      </c>
    </row>
    <row r="2023" spans="1:6" x14ac:dyDescent="0.25">
      <c r="A2023" t="s">
        <v>192</v>
      </c>
      <c r="B2023" t="s">
        <v>170</v>
      </c>
      <c r="C2023" t="s">
        <v>165</v>
      </c>
      <c r="D2023">
        <v>2013</v>
      </c>
      <c r="E2023">
        <v>0</v>
      </c>
      <c r="F2023" t="s">
        <v>188</v>
      </c>
    </row>
    <row r="2024" spans="1:6" x14ac:dyDescent="0.25">
      <c r="A2024" t="s">
        <v>192</v>
      </c>
      <c r="B2024" t="s">
        <v>170</v>
      </c>
      <c r="C2024" t="s">
        <v>165</v>
      </c>
      <c r="D2024">
        <v>2012</v>
      </c>
      <c r="E2024">
        <v>0</v>
      </c>
      <c r="F2024" t="s">
        <v>188</v>
      </c>
    </row>
    <row r="2025" spans="1:6" x14ac:dyDescent="0.25">
      <c r="A2025" t="s">
        <v>192</v>
      </c>
      <c r="B2025" t="s">
        <v>170</v>
      </c>
      <c r="C2025" t="s">
        <v>165</v>
      </c>
      <c r="D2025">
        <v>2011</v>
      </c>
      <c r="E2025">
        <v>0</v>
      </c>
      <c r="F2025" t="s">
        <v>188</v>
      </c>
    </row>
    <row r="2026" spans="1:6" x14ac:dyDescent="0.25">
      <c r="A2026" t="s">
        <v>192</v>
      </c>
      <c r="B2026" t="s">
        <v>170</v>
      </c>
      <c r="C2026" t="s">
        <v>165</v>
      </c>
      <c r="D2026">
        <v>2010</v>
      </c>
      <c r="E2026">
        <v>0</v>
      </c>
      <c r="F2026" t="s">
        <v>188</v>
      </c>
    </row>
    <row r="2027" spans="1:6" x14ac:dyDescent="0.25">
      <c r="A2027" t="s">
        <v>192</v>
      </c>
      <c r="B2027" t="s">
        <v>170</v>
      </c>
      <c r="C2027" t="s">
        <v>140</v>
      </c>
      <c r="D2027">
        <v>2014</v>
      </c>
      <c r="E2027">
        <v>0.42199999999999999</v>
      </c>
      <c r="F2027" t="s">
        <v>188</v>
      </c>
    </row>
    <row r="2028" spans="1:6" x14ac:dyDescent="0.25">
      <c r="A2028" t="s">
        <v>192</v>
      </c>
      <c r="B2028" t="s">
        <v>170</v>
      </c>
      <c r="C2028" t="s">
        <v>140</v>
      </c>
      <c r="D2028">
        <v>2013</v>
      </c>
      <c r="E2028">
        <v>7.5999999999999998E-2</v>
      </c>
      <c r="F2028" t="s">
        <v>188</v>
      </c>
    </row>
    <row r="2029" spans="1:6" x14ac:dyDescent="0.25">
      <c r="A2029" t="s">
        <v>192</v>
      </c>
      <c r="B2029" t="s">
        <v>170</v>
      </c>
      <c r="C2029" t="s">
        <v>140</v>
      </c>
      <c r="D2029">
        <v>2012</v>
      </c>
      <c r="E2029">
        <v>2.3E-2</v>
      </c>
      <c r="F2029" t="s">
        <v>188</v>
      </c>
    </row>
    <row r="2030" spans="1:6" x14ac:dyDescent="0.25">
      <c r="A2030" t="s">
        <v>192</v>
      </c>
      <c r="B2030" t="s">
        <v>170</v>
      </c>
      <c r="C2030" t="s">
        <v>140</v>
      </c>
      <c r="D2030">
        <v>2011</v>
      </c>
      <c r="E2030">
        <v>0</v>
      </c>
      <c r="F2030" t="s">
        <v>188</v>
      </c>
    </row>
    <row r="2031" spans="1:6" x14ac:dyDescent="0.25">
      <c r="A2031" t="s">
        <v>192</v>
      </c>
      <c r="B2031" t="s">
        <v>170</v>
      </c>
      <c r="C2031" t="s">
        <v>140</v>
      </c>
      <c r="D2031">
        <v>2010</v>
      </c>
      <c r="E2031">
        <v>0</v>
      </c>
      <c r="F2031" t="s">
        <v>188</v>
      </c>
    </row>
    <row r="2032" spans="1:6" x14ac:dyDescent="0.25">
      <c r="A2032" t="s">
        <v>192</v>
      </c>
      <c r="B2032" t="s">
        <v>170</v>
      </c>
      <c r="C2032" t="s">
        <v>141</v>
      </c>
      <c r="D2032">
        <v>2014</v>
      </c>
      <c r="E2032">
        <v>5.08</v>
      </c>
      <c r="F2032" t="s">
        <v>188</v>
      </c>
    </row>
    <row r="2033" spans="1:6" x14ac:dyDescent="0.25">
      <c r="A2033" t="s">
        <v>192</v>
      </c>
      <c r="B2033" t="s">
        <v>170</v>
      </c>
      <c r="C2033" t="s">
        <v>141</v>
      </c>
      <c r="D2033">
        <v>2013</v>
      </c>
      <c r="E2033">
        <v>5.3940000000000001</v>
      </c>
      <c r="F2033" t="s">
        <v>188</v>
      </c>
    </row>
    <row r="2034" spans="1:6" x14ac:dyDescent="0.25">
      <c r="A2034" t="s">
        <v>192</v>
      </c>
      <c r="B2034" t="s">
        <v>170</v>
      </c>
      <c r="C2034" t="s">
        <v>141</v>
      </c>
      <c r="D2034">
        <v>2012</v>
      </c>
      <c r="E2034">
        <v>5.21</v>
      </c>
      <c r="F2034" t="s">
        <v>188</v>
      </c>
    </row>
    <row r="2035" spans="1:6" x14ac:dyDescent="0.25">
      <c r="A2035" t="s">
        <v>192</v>
      </c>
      <c r="B2035" t="s">
        <v>170</v>
      </c>
      <c r="C2035" t="s">
        <v>141</v>
      </c>
      <c r="D2035">
        <v>2011</v>
      </c>
      <c r="E2035">
        <v>4.46</v>
      </c>
      <c r="F2035" t="s">
        <v>188</v>
      </c>
    </row>
    <row r="2036" spans="1:6" x14ac:dyDescent="0.25">
      <c r="A2036" t="s">
        <v>192</v>
      </c>
      <c r="B2036" t="s">
        <v>170</v>
      </c>
      <c r="C2036" t="s">
        <v>141</v>
      </c>
      <c r="D2036">
        <v>2010</v>
      </c>
      <c r="E2036">
        <v>4.7549999999999999</v>
      </c>
      <c r="F2036" t="s">
        <v>188</v>
      </c>
    </row>
    <row r="2037" spans="1:6" x14ac:dyDescent="0.25">
      <c r="A2037" t="s">
        <v>192</v>
      </c>
      <c r="B2037" t="s">
        <v>170</v>
      </c>
      <c r="C2037" t="s">
        <v>142</v>
      </c>
      <c r="D2037">
        <v>2014</v>
      </c>
      <c r="E2037">
        <v>1.712</v>
      </c>
      <c r="F2037" t="s">
        <v>188</v>
      </c>
    </row>
    <row r="2038" spans="1:6" x14ac:dyDescent="0.25">
      <c r="A2038" t="s">
        <v>192</v>
      </c>
      <c r="B2038" t="s">
        <v>170</v>
      </c>
      <c r="C2038" t="s">
        <v>142</v>
      </c>
      <c r="D2038">
        <v>2013</v>
      </c>
      <c r="E2038">
        <v>1.9950000000000001</v>
      </c>
      <c r="F2038" t="s">
        <v>188</v>
      </c>
    </row>
    <row r="2039" spans="1:6" x14ac:dyDescent="0.25">
      <c r="A2039" t="s">
        <v>192</v>
      </c>
      <c r="B2039" t="s">
        <v>170</v>
      </c>
      <c r="C2039" t="s">
        <v>142</v>
      </c>
      <c r="D2039">
        <v>2012</v>
      </c>
      <c r="E2039">
        <v>1.6850000000000001</v>
      </c>
      <c r="F2039" t="s">
        <v>188</v>
      </c>
    </row>
    <row r="2040" spans="1:6" x14ac:dyDescent="0.25">
      <c r="A2040" t="s">
        <v>192</v>
      </c>
      <c r="B2040" t="s">
        <v>170</v>
      </c>
      <c r="C2040" t="s">
        <v>142</v>
      </c>
      <c r="D2040">
        <v>2011</v>
      </c>
      <c r="E2040">
        <v>1.772</v>
      </c>
      <c r="F2040" t="s">
        <v>188</v>
      </c>
    </row>
    <row r="2041" spans="1:6" x14ac:dyDescent="0.25">
      <c r="A2041" t="s">
        <v>192</v>
      </c>
      <c r="B2041" t="s">
        <v>170</v>
      </c>
      <c r="C2041" t="s">
        <v>142</v>
      </c>
      <c r="D2041">
        <v>2010</v>
      </c>
      <c r="E2041">
        <v>1.8779999999999999</v>
      </c>
      <c r="F2041" t="s">
        <v>188</v>
      </c>
    </row>
    <row r="2042" spans="1:6" x14ac:dyDescent="0.25">
      <c r="A2042" t="s">
        <v>192</v>
      </c>
      <c r="B2042" t="s">
        <v>170</v>
      </c>
      <c r="C2042" t="s">
        <v>166</v>
      </c>
      <c r="D2042">
        <v>2014</v>
      </c>
      <c r="E2042">
        <v>0</v>
      </c>
      <c r="F2042" t="s">
        <v>188</v>
      </c>
    </row>
    <row r="2043" spans="1:6" x14ac:dyDescent="0.25">
      <c r="A2043" t="s">
        <v>192</v>
      </c>
      <c r="B2043" t="s">
        <v>170</v>
      </c>
      <c r="C2043" t="s">
        <v>166</v>
      </c>
      <c r="D2043">
        <v>2013</v>
      </c>
      <c r="E2043">
        <v>0</v>
      </c>
      <c r="F2043" t="s">
        <v>188</v>
      </c>
    </row>
    <row r="2044" spans="1:6" x14ac:dyDescent="0.25">
      <c r="A2044" t="s">
        <v>192</v>
      </c>
      <c r="B2044" t="s">
        <v>170</v>
      </c>
      <c r="C2044" t="s">
        <v>166</v>
      </c>
      <c r="D2044">
        <v>2012</v>
      </c>
      <c r="E2044">
        <v>0</v>
      </c>
      <c r="F2044" t="s">
        <v>188</v>
      </c>
    </row>
    <row r="2045" spans="1:6" x14ac:dyDescent="0.25">
      <c r="A2045" t="s">
        <v>192</v>
      </c>
      <c r="B2045" t="s">
        <v>170</v>
      </c>
      <c r="C2045" t="s">
        <v>166</v>
      </c>
      <c r="D2045">
        <v>2011</v>
      </c>
      <c r="E2045">
        <v>0</v>
      </c>
      <c r="F2045" t="s">
        <v>188</v>
      </c>
    </row>
    <row r="2046" spans="1:6" x14ac:dyDescent="0.25">
      <c r="A2046" t="s">
        <v>192</v>
      </c>
      <c r="B2046" t="s">
        <v>170</v>
      </c>
      <c r="C2046" t="s">
        <v>166</v>
      </c>
      <c r="D2046">
        <v>2010</v>
      </c>
      <c r="E2046">
        <v>0</v>
      </c>
      <c r="F2046" t="s">
        <v>188</v>
      </c>
    </row>
    <row r="2047" spans="1:6" x14ac:dyDescent="0.25">
      <c r="A2047" t="s">
        <v>192</v>
      </c>
      <c r="B2047" t="s">
        <v>170</v>
      </c>
      <c r="C2047" t="s">
        <v>143</v>
      </c>
      <c r="D2047">
        <v>2014</v>
      </c>
      <c r="E2047">
        <v>1.675</v>
      </c>
      <c r="F2047" t="s">
        <v>188</v>
      </c>
    </row>
    <row r="2048" spans="1:6" x14ac:dyDescent="0.25">
      <c r="A2048" t="s">
        <v>192</v>
      </c>
      <c r="B2048" t="s">
        <v>170</v>
      </c>
      <c r="C2048" t="s">
        <v>143</v>
      </c>
      <c r="D2048">
        <v>2013</v>
      </c>
      <c r="E2048">
        <v>1.694</v>
      </c>
      <c r="F2048" t="s">
        <v>188</v>
      </c>
    </row>
    <row r="2049" spans="1:6" x14ac:dyDescent="0.25">
      <c r="A2049" t="s">
        <v>192</v>
      </c>
      <c r="B2049" t="s">
        <v>170</v>
      </c>
      <c r="C2049" t="s">
        <v>143</v>
      </c>
      <c r="D2049">
        <v>2012</v>
      </c>
      <c r="E2049">
        <v>1.9319999999999999</v>
      </c>
      <c r="F2049" t="s">
        <v>188</v>
      </c>
    </row>
    <row r="2050" spans="1:6" x14ac:dyDescent="0.25">
      <c r="A2050" t="s">
        <v>192</v>
      </c>
      <c r="B2050" t="s">
        <v>170</v>
      </c>
      <c r="C2050" t="s">
        <v>143</v>
      </c>
      <c r="D2050">
        <v>2011</v>
      </c>
      <c r="E2050">
        <v>2.823</v>
      </c>
      <c r="F2050" t="s">
        <v>188</v>
      </c>
    </row>
    <row r="2051" spans="1:6" x14ac:dyDescent="0.25">
      <c r="A2051" t="s">
        <v>192</v>
      </c>
      <c r="B2051" t="s">
        <v>170</v>
      </c>
      <c r="C2051" t="s">
        <v>143</v>
      </c>
      <c r="D2051">
        <v>2010</v>
      </c>
      <c r="E2051">
        <v>1.748</v>
      </c>
      <c r="F2051" t="s">
        <v>188</v>
      </c>
    </row>
    <row r="2052" spans="1:6" x14ac:dyDescent="0.25">
      <c r="A2052" t="s">
        <v>192</v>
      </c>
      <c r="B2052" t="s">
        <v>170</v>
      </c>
      <c r="C2052" t="s">
        <v>144</v>
      </c>
      <c r="D2052">
        <v>2014</v>
      </c>
      <c r="E2052">
        <v>0.09</v>
      </c>
      <c r="F2052" t="s">
        <v>188</v>
      </c>
    </row>
    <row r="2053" spans="1:6" x14ac:dyDescent="0.25">
      <c r="A2053" t="s">
        <v>192</v>
      </c>
      <c r="B2053" t="s">
        <v>170</v>
      </c>
      <c r="C2053" t="s">
        <v>144</v>
      </c>
      <c r="D2053">
        <v>2013</v>
      </c>
      <c r="E2053">
        <v>7.9000000000000001E-2</v>
      </c>
      <c r="F2053" t="s">
        <v>188</v>
      </c>
    </row>
    <row r="2054" spans="1:6" x14ac:dyDescent="0.25">
      <c r="A2054" t="s">
        <v>192</v>
      </c>
      <c r="B2054" t="s">
        <v>170</v>
      </c>
      <c r="C2054" t="s">
        <v>144</v>
      </c>
      <c r="D2054">
        <v>2012</v>
      </c>
      <c r="E2054">
        <v>7.2999999999999995E-2</v>
      </c>
      <c r="F2054" t="s">
        <v>188</v>
      </c>
    </row>
    <row r="2055" spans="1:6" x14ac:dyDescent="0.25">
      <c r="A2055" t="s">
        <v>192</v>
      </c>
      <c r="B2055" t="s">
        <v>170</v>
      </c>
      <c r="C2055" t="s">
        <v>144</v>
      </c>
      <c r="D2055">
        <v>2011</v>
      </c>
      <c r="E2055">
        <v>0.09</v>
      </c>
      <c r="F2055" t="s">
        <v>188</v>
      </c>
    </row>
    <row r="2056" spans="1:6" x14ac:dyDescent="0.25">
      <c r="A2056" t="s">
        <v>192</v>
      </c>
      <c r="B2056" t="s">
        <v>170</v>
      </c>
      <c r="C2056" t="s">
        <v>144</v>
      </c>
      <c r="D2056">
        <v>2010</v>
      </c>
      <c r="E2056">
        <v>8.4000000000000005E-2</v>
      </c>
      <c r="F2056" t="s">
        <v>188</v>
      </c>
    </row>
    <row r="2057" spans="1:6" x14ac:dyDescent="0.25">
      <c r="A2057" t="s">
        <v>192</v>
      </c>
      <c r="B2057" t="s">
        <v>170</v>
      </c>
      <c r="C2057" t="s">
        <v>145</v>
      </c>
      <c r="D2057">
        <v>2014</v>
      </c>
      <c r="E2057">
        <v>34.628</v>
      </c>
      <c r="F2057" t="s">
        <v>188</v>
      </c>
    </row>
    <row r="2058" spans="1:6" x14ac:dyDescent="0.25">
      <c r="A2058" t="s">
        <v>192</v>
      </c>
      <c r="B2058" t="s">
        <v>170</v>
      </c>
      <c r="C2058" t="s">
        <v>145</v>
      </c>
      <c r="D2058">
        <v>2013</v>
      </c>
      <c r="E2058">
        <v>36.298000000000002</v>
      </c>
      <c r="F2058" t="s">
        <v>188</v>
      </c>
    </row>
    <row r="2059" spans="1:6" x14ac:dyDescent="0.25">
      <c r="A2059" t="s">
        <v>192</v>
      </c>
      <c r="B2059" t="s">
        <v>170</v>
      </c>
      <c r="C2059" t="s">
        <v>145</v>
      </c>
      <c r="D2059">
        <v>2012</v>
      </c>
      <c r="E2059">
        <v>39.107999999999997</v>
      </c>
      <c r="F2059" t="s">
        <v>188</v>
      </c>
    </row>
    <row r="2060" spans="1:6" x14ac:dyDescent="0.25">
      <c r="A2060" t="s">
        <v>192</v>
      </c>
      <c r="B2060" t="s">
        <v>170</v>
      </c>
      <c r="C2060" t="s">
        <v>145</v>
      </c>
      <c r="D2060">
        <v>2011</v>
      </c>
      <c r="E2060">
        <v>43.01</v>
      </c>
      <c r="F2060" t="s">
        <v>188</v>
      </c>
    </row>
    <row r="2061" spans="1:6" x14ac:dyDescent="0.25">
      <c r="A2061" t="s">
        <v>192</v>
      </c>
      <c r="B2061" t="s">
        <v>170</v>
      </c>
      <c r="C2061" t="s">
        <v>145</v>
      </c>
      <c r="D2061">
        <v>2010</v>
      </c>
      <c r="E2061">
        <v>39.549999999999997</v>
      </c>
      <c r="F2061" t="s">
        <v>188</v>
      </c>
    </row>
    <row r="2062" spans="1:6" x14ac:dyDescent="0.25">
      <c r="A2062" t="s">
        <v>192</v>
      </c>
      <c r="B2062" t="s">
        <v>170</v>
      </c>
      <c r="C2062" t="s">
        <v>146</v>
      </c>
      <c r="D2062">
        <v>2014</v>
      </c>
      <c r="E2062">
        <v>0.28699999999999998</v>
      </c>
      <c r="F2062" t="s">
        <v>188</v>
      </c>
    </row>
    <row r="2063" spans="1:6" x14ac:dyDescent="0.25">
      <c r="A2063" t="s">
        <v>192</v>
      </c>
      <c r="B2063" t="s">
        <v>170</v>
      </c>
      <c r="C2063" t="s">
        <v>146</v>
      </c>
      <c r="D2063">
        <v>2013</v>
      </c>
      <c r="E2063">
        <v>0.38300000000000001</v>
      </c>
      <c r="F2063" t="s">
        <v>188</v>
      </c>
    </row>
    <row r="2064" spans="1:6" x14ac:dyDescent="0.25">
      <c r="A2064" t="s">
        <v>192</v>
      </c>
      <c r="B2064" t="s">
        <v>170</v>
      </c>
      <c r="C2064" t="s">
        <v>146</v>
      </c>
      <c r="D2064">
        <v>2012</v>
      </c>
      <c r="E2064">
        <v>0.41599999999999998</v>
      </c>
      <c r="F2064" t="s">
        <v>188</v>
      </c>
    </row>
    <row r="2065" spans="1:6" x14ac:dyDescent="0.25">
      <c r="A2065" t="s">
        <v>192</v>
      </c>
      <c r="B2065" t="s">
        <v>170</v>
      </c>
      <c r="C2065" t="s">
        <v>146</v>
      </c>
      <c r="D2065">
        <v>2011</v>
      </c>
      <c r="E2065">
        <v>0.34699999999999998</v>
      </c>
      <c r="F2065" t="s">
        <v>188</v>
      </c>
    </row>
    <row r="2066" spans="1:6" x14ac:dyDescent="0.25">
      <c r="A2066" t="s">
        <v>192</v>
      </c>
      <c r="B2066" t="s">
        <v>170</v>
      </c>
      <c r="C2066" t="s">
        <v>146</v>
      </c>
      <c r="D2066">
        <v>2010</v>
      </c>
      <c r="E2066">
        <v>0.26900000000000002</v>
      </c>
      <c r="F2066" t="s">
        <v>188</v>
      </c>
    </row>
    <row r="2067" spans="1:6" x14ac:dyDescent="0.25">
      <c r="A2067" t="s">
        <v>192</v>
      </c>
      <c r="B2067" t="s">
        <v>170</v>
      </c>
      <c r="C2067" t="s">
        <v>147</v>
      </c>
      <c r="D2067">
        <v>2014</v>
      </c>
      <c r="E2067">
        <v>2.2000000000000002</v>
      </c>
      <c r="F2067" t="s">
        <v>188</v>
      </c>
    </row>
    <row r="2068" spans="1:6" x14ac:dyDescent="0.25">
      <c r="A2068" t="s">
        <v>192</v>
      </c>
      <c r="B2068" t="s">
        <v>170</v>
      </c>
      <c r="C2068" t="s">
        <v>147</v>
      </c>
      <c r="D2068">
        <v>2013</v>
      </c>
      <c r="E2068">
        <v>2.9460000000000002</v>
      </c>
      <c r="F2068" t="s">
        <v>188</v>
      </c>
    </row>
    <row r="2069" spans="1:6" x14ac:dyDescent="0.25">
      <c r="A2069" t="s">
        <v>192</v>
      </c>
      <c r="B2069" t="s">
        <v>170</v>
      </c>
      <c r="C2069" t="s">
        <v>147</v>
      </c>
      <c r="D2069">
        <v>2012</v>
      </c>
      <c r="E2069">
        <v>2.9529999999999998</v>
      </c>
      <c r="F2069" t="s">
        <v>188</v>
      </c>
    </row>
    <row r="2070" spans="1:6" x14ac:dyDescent="0.25">
      <c r="A2070" t="s">
        <v>192</v>
      </c>
      <c r="B2070" t="s">
        <v>170</v>
      </c>
      <c r="C2070" t="s">
        <v>147</v>
      </c>
      <c r="D2070">
        <v>2011</v>
      </c>
      <c r="E2070">
        <v>2.71</v>
      </c>
      <c r="F2070" t="s">
        <v>188</v>
      </c>
    </row>
    <row r="2071" spans="1:6" x14ac:dyDescent="0.25">
      <c r="A2071" t="s">
        <v>192</v>
      </c>
      <c r="B2071" t="s">
        <v>170</v>
      </c>
      <c r="C2071" t="s">
        <v>147</v>
      </c>
      <c r="D2071">
        <v>2010</v>
      </c>
      <c r="E2071">
        <v>2.6669999999999998</v>
      </c>
      <c r="F2071" t="s">
        <v>188</v>
      </c>
    </row>
    <row r="2072" spans="1:6" x14ac:dyDescent="0.25">
      <c r="A2072" t="s">
        <v>192</v>
      </c>
      <c r="B2072" t="s">
        <v>170</v>
      </c>
      <c r="C2072" t="s">
        <v>167</v>
      </c>
      <c r="D2072">
        <v>2014</v>
      </c>
      <c r="E2072">
        <v>0</v>
      </c>
      <c r="F2072" t="s">
        <v>188</v>
      </c>
    </row>
    <row r="2073" spans="1:6" x14ac:dyDescent="0.25">
      <c r="A2073" t="s">
        <v>192</v>
      </c>
      <c r="B2073" t="s">
        <v>170</v>
      </c>
      <c r="C2073" t="s">
        <v>167</v>
      </c>
      <c r="D2073">
        <v>2013</v>
      </c>
      <c r="E2073">
        <v>0</v>
      </c>
      <c r="F2073" t="s">
        <v>188</v>
      </c>
    </row>
    <row r="2074" spans="1:6" x14ac:dyDescent="0.25">
      <c r="A2074" t="s">
        <v>192</v>
      </c>
      <c r="B2074" t="s">
        <v>170</v>
      </c>
      <c r="C2074" t="s">
        <v>167</v>
      </c>
      <c r="D2074">
        <v>2012</v>
      </c>
      <c r="E2074">
        <v>0</v>
      </c>
      <c r="F2074" t="s">
        <v>188</v>
      </c>
    </row>
    <row r="2075" spans="1:6" x14ac:dyDescent="0.25">
      <c r="A2075" t="s">
        <v>192</v>
      </c>
      <c r="B2075" t="s">
        <v>170</v>
      </c>
      <c r="C2075" t="s">
        <v>167</v>
      </c>
      <c r="D2075">
        <v>2011</v>
      </c>
      <c r="E2075">
        <v>0</v>
      </c>
      <c r="F2075" t="s">
        <v>188</v>
      </c>
    </row>
    <row r="2076" spans="1:6" x14ac:dyDescent="0.25">
      <c r="A2076" t="s">
        <v>192</v>
      </c>
      <c r="B2076" t="s">
        <v>170</v>
      </c>
      <c r="C2076" t="s">
        <v>167</v>
      </c>
      <c r="D2076">
        <v>2010</v>
      </c>
      <c r="E2076">
        <v>0</v>
      </c>
      <c r="F2076" t="s">
        <v>188</v>
      </c>
    </row>
    <row r="2077" spans="1:6" x14ac:dyDescent="0.25">
      <c r="A2077" t="s">
        <v>192</v>
      </c>
      <c r="B2077" t="s">
        <v>170</v>
      </c>
      <c r="C2077" t="s">
        <v>168</v>
      </c>
      <c r="D2077">
        <v>2014</v>
      </c>
      <c r="E2077">
        <v>1.4259999999999999</v>
      </c>
      <c r="F2077" t="s">
        <v>188</v>
      </c>
    </row>
    <row r="2078" spans="1:6" x14ac:dyDescent="0.25">
      <c r="A2078" t="s">
        <v>192</v>
      </c>
      <c r="B2078" t="s">
        <v>170</v>
      </c>
      <c r="C2078" t="s">
        <v>168</v>
      </c>
      <c r="D2078">
        <v>2013</v>
      </c>
      <c r="E2078">
        <v>3.194</v>
      </c>
      <c r="F2078" t="s">
        <v>188</v>
      </c>
    </row>
    <row r="2079" spans="1:6" x14ac:dyDescent="0.25">
      <c r="A2079" t="s">
        <v>192</v>
      </c>
      <c r="B2079" t="s">
        <v>170</v>
      </c>
      <c r="C2079" t="s">
        <v>168</v>
      </c>
      <c r="D2079">
        <v>2012</v>
      </c>
      <c r="E2079">
        <v>2.109</v>
      </c>
      <c r="F2079" t="s">
        <v>188</v>
      </c>
    </row>
    <row r="2080" spans="1:6" x14ac:dyDescent="0.25">
      <c r="A2080" t="s">
        <v>192</v>
      </c>
      <c r="B2080" t="s">
        <v>170</v>
      </c>
      <c r="C2080" t="s">
        <v>168</v>
      </c>
      <c r="D2080">
        <v>2011</v>
      </c>
      <c r="E2080">
        <v>1.964</v>
      </c>
      <c r="F2080" t="s">
        <v>188</v>
      </c>
    </row>
    <row r="2081" spans="1:6" x14ac:dyDescent="0.25">
      <c r="A2081" t="s">
        <v>192</v>
      </c>
      <c r="B2081" t="s">
        <v>170</v>
      </c>
      <c r="C2081" t="s">
        <v>168</v>
      </c>
      <c r="D2081">
        <v>2010</v>
      </c>
      <c r="E2081">
        <v>2.7549999999999999</v>
      </c>
      <c r="F2081" t="s">
        <v>188</v>
      </c>
    </row>
    <row r="2082" spans="1:6" x14ac:dyDescent="0.25">
      <c r="A2082" t="s">
        <v>192</v>
      </c>
      <c r="B2082" t="s">
        <v>170</v>
      </c>
      <c r="C2082" t="s">
        <v>148</v>
      </c>
      <c r="D2082">
        <v>2014</v>
      </c>
      <c r="E2082">
        <v>0.22800000000000001</v>
      </c>
      <c r="F2082" t="s">
        <v>188</v>
      </c>
    </row>
    <row r="2083" spans="1:6" x14ac:dyDescent="0.25">
      <c r="A2083" t="s">
        <v>192</v>
      </c>
      <c r="B2083" t="s">
        <v>170</v>
      </c>
      <c r="C2083" t="s">
        <v>148</v>
      </c>
      <c r="D2083">
        <v>2013</v>
      </c>
      <c r="E2083">
        <v>0.29399999999999998</v>
      </c>
      <c r="F2083" t="s">
        <v>188</v>
      </c>
    </row>
    <row r="2084" spans="1:6" x14ac:dyDescent="0.25">
      <c r="A2084" t="s">
        <v>192</v>
      </c>
      <c r="B2084" t="s">
        <v>170</v>
      </c>
      <c r="C2084" t="s">
        <v>148</v>
      </c>
      <c r="D2084">
        <v>2012</v>
      </c>
      <c r="E2084">
        <v>2.1930000000000001</v>
      </c>
      <c r="F2084" t="s">
        <v>188</v>
      </c>
    </row>
    <row r="2085" spans="1:6" x14ac:dyDescent="0.25">
      <c r="A2085" t="s">
        <v>192</v>
      </c>
      <c r="B2085" t="s">
        <v>170</v>
      </c>
      <c r="C2085" t="s">
        <v>148</v>
      </c>
      <c r="D2085">
        <v>2011</v>
      </c>
      <c r="E2085">
        <v>1.6160000000000001</v>
      </c>
      <c r="F2085" t="s">
        <v>188</v>
      </c>
    </row>
    <row r="2086" spans="1:6" x14ac:dyDescent="0.25">
      <c r="A2086" t="s">
        <v>192</v>
      </c>
      <c r="B2086" t="s">
        <v>170</v>
      </c>
      <c r="C2086" t="s">
        <v>148</v>
      </c>
      <c r="D2086">
        <v>2010</v>
      </c>
      <c r="E2086">
        <v>6.5000000000000002E-2</v>
      </c>
      <c r="F2086" t="s">
        <v>188</v>
      </c>
    </row>
    <row r="2087" spans="1:6" x14ac:dyDescent="0.25">
      <c r="A2087" t="s">
        <v>192</v>
      </c>
      <c r="B2087" t="s">
        <v>170</v>
      </c>
      <c r="C2087" t="s">
        <v>149</v>
      </c>
      <c r="D2087">
        <v>2014</v>
      </c>
      <c r="E2087">
        <v>0</v>
      </c>
      <c r="F2087" t="s">
        <v>188</v>
      </c>
    </row>
    <row r="2088" spans="1:6" x14ac:dyDescent="0.25">
      <c r="A2088" t="s">
        <v>192</v>
      </c>
      <c r="B2088" t="s">
        <v>170</v>
      </c>
      <c r="C2088" t="s">
        <v>149</v>
      </c>
      <c r="D2088">
        <v>2013</v>
      </c>
      <c r="E2088">
        <v>0</v>
      </c>
      <c r="F2088" t="s">
        <v>188</v>
      </c>
    </row>
    <row r="2089" spans="1:6" x14ac:dyDescent="0.25">
      <c r="A2089" t="s">
        <v>192</v>
      </c>
      <c r="B2089" t="s">
        <v>170</v>
      </c>
      <c r="C2089" t="s">
        <v>149</v>
      </c>
      <c r="D2089">
        <v>2012</v>
      </c>
      <c r="E2089">
        <v>0</v>
      </c>
      <c r="F2089" t="s">
        <v>188</v>
      </c>
    </row>
    <row r="2090" spans="1:6" x14ac:dyDescent="0.25">
      <c r="A2090" t="s">
        <v>192</v>
      </c>
      <c r="B2090" t="s">
        <v>170</v>
      </c>
      <c r="C2090" t="s">
        <v>149</v>
      </c>
      <c r="D2090">
        <v>2011</v>
      </c>
      <c r="E2090">
        <v>0</v>
      </c>
      <c r="F2090" t="s">
        <v>188</v>
      </c>
    </row>
    <row r="2091" spans="1:6" x14ac:dyDescent="0.25">
      <c r="A2091" t="s">
        <v>192</v>
      </c>
      <c r="B2091" t="s">
        <v>170</v>
      </c>
      <c r="C2091" t="s">
        <v>149</v>
      </c>
      <c r="D2091">
        <v>2010</v>
      </c>
      <c r="E2091">
        <v>0</v>
      </c>
      <c r="F2091" t="s">
        <v>188</v>
      </c>
    </row>
    <row r="2092" spans="1:6" x14ac:dyDescent="0.25">
      <c r="A2092" t="s">
        <v>192</v>
      </c>
      <c r="B2092" t="s">
        <v>170</v>
      </c>
      <c r="C2092" t="s">
        <v>121</v>
      </c>
      <c r="D2092">
        <v>2014</v>
      </c>
      <c r="E2092">
        <v>0</v>
      </c>
      <c r="F2092" t="s">
        <v>185</v>
      </c>
    </row>
    <row r="2093" spans="1:6" x14ac:dyDescent="0.25">
      <c r="A2093" t="s">
        <v>192</v>
      </c>
      <c r="B2093" t="s">
        <v>170</v>
      </c>
      <c r="C2093" t="s">
        <v>121</v>
      </c>
      <c r="D2093">
        <v>2013</v>
      </c>
      <c r="E2093">
        <v>0</v>
      </c>
      <c r="F2093" t="s">
        <v>185</v>
      </c>
    </row>
    <row r="2094" spans="1:6" x14ac:dyDescent="0.25">
      <c r="A2094" t="s">
        <v>192</v>
      </c>
      <c r="B2094" t="s">
        <v>170</v>
      </c>
      <c r="C2094" t="s">
        <v>121</v>
      </c>
      <c r="D2094">
        <v>2012</v>
      </c>
      <c r="E2094">
        <v>0</v>
      </c>
      <c r="F2094" t="s">
        <v>185</v>
      </c>
    </row>
    <row r="2095" spans="1:6" x14ac:dyDescent="0.25">
      <c r="A2095" t="s">
        <v>192</v>
      </c>
      <c r="B2095" t="s">
        <v>170</v>
      </c>
      <c r="C2095" t="s">
        <v>121</v>
      </c>
      <c r="D2095">
        <v>2011</v>
      </c>
      <c r="E2095">
        <v>0</v>
      </c>
      <c r="F2095" t="s">
        <v>185</v>
      </c>
    </row>
    <row r="2096" spans="1:6" x14ac:dyDescent="0.25">
      <c r="A2096" t="s">
        <v>192</v>
      </c>
      <c r="B2096" t="s">
        <v>170</v>
      </c>
      <c r="C2096" t="s">
        <v>121</v>
      </c>
      <c r="D2096">
        <v>2010</v>
      </c>
      <c r="E2096">
        <v>0</v>
      </c>
      <c r="F2096" t="s">
        <v>185</v>
      </c>
    </row>
    <row r="2097" spans="1:6" x14ac:dyDescent="0.25">
      <c r="A2097" t="s">
        <v>192</v>
      </c>
      <c r="B2097" t="s">
        <v>170</v>
      </c>
      <c r="C2097" t="s">
        <v>122</v>
      </c>
      <c r="D2097">
        <v>2014</v>
      </c>
      <c r="E2097">
        <v>7.5999999999999998E-2</v>
      </c>
      <c r="F2097" t="s">
        <v>185</v>
      </c>
    </row>
    <row r="2098" spans="1:6" x14ac:dyDescent="0.25">
      <c r="A2098" t="s">
        <v>192</v>
      </c>
      <c r="B2098" t="s">
        <v>170</v>
      </c>
      <c r="C2098" t="s">
        <v>122</v>
      </c>
      <c r="D2098">
        <v>2013</v>
      </c>
      <c r="E2098">
        <v>8.7999999999999995E-2</v>
      </c>
      <c r="F2098" t="s">
        <v>185</v>
      </c>
    </row>
    <row r="2099" spans="1:6" x14ac:dyDescent="0.25">
      <c r="A2099" t="s">
        <v>192</v>
      </c>
      <c r="B2099" t="s">
        <v>170</v>
      </c>
      <c r="C2099" t="s">
        <v>122</v>
      </c>
      <c r="D2099">
        <v>2012</v>
      </c>
      <c r="E2099">
        <v>8.7999999999999995E-2</v>
      </c>
      <c r="F2099" t="s">
        <v>185</v>
      </c>
    </row>
    <row r="2100" spans="1:6" x14ac:dyDescent="0.25">
      <c r="A2100" t="s">
        <v>192</v>
      </c>
      <c r="B2100" t="s">
        <v>170</v>
      </c>
      <c r="C2100" t="s">
        <v>122</v>
      </c>
      <c r="D2100">
        <v>2011</v>
      </c>
      <c r="E2100">
        <v>7.3999999999999996E-2</v>
      </c>
      <c r="F2100" t="s">
        <v>185</v>
      </c>
    </row>
    <row r="2101" spans="1:6" x14ac:dyDescent="0.25">
      <c r="A2101" t="s">
        <v>192</v>
      </c>
      <c r="B2101" t="s">
        <v>170</v>
      </c>
      <c r="C2101" t="s">
        <v>122</v>
      </c>
      <c r="D2101">
        <v>2010</v>
      </c>
      <c r="E2101">
        <v>0.08</v>
      </c>
      <c r="F2101" t="s">
        <v>185</v>
      </c>
    </row>
    <row r="2102" spans="1:6" x14ac:dyDescent="0.25">
      <c r="A2102" t="s">
        <v>192</v>
      </c>
      <c r="B2102" t="s">
        <v>170</v>
      </c>
      <c r="C2102" t="s">
        <v>123</v>
      </c>
      <c r="D2102">
        <v>2014</v>
      </c>
      <c r="E2102">
        <v>0</v>
      </c>
      <c r="F2102" t="s">
        <v>185</v>
      </c>
    </row>
    <row r="2103" spans="1:6" x14ac:dyDescent="0.25">
      <c r="A2103" t="s">
        <v>192</v>
      </c>
      <c r="B2103" t="s">
        <v>170</v>
      </c>
      <c r="C2103" t="s">
        <v>123</v>
      </c>
      <c r="D2103">
        <v>2013</v>
      </c>
      <c r="E2103">
        <v>0</v>
      </c>
      <c r="F2103" t="s">
        <v>185</v>
      </c>
    </row>
    <row r="2104" spans="1:6" x14ac:dyDescent="0.25">
      <c r="A2104" t="s">
        <v>192</v>
      </c>
      <c r="B2104" t="s">
        <v>170</v>
      </c>
      <c r="C2104" t="s">
        <v>123</v>
      </c>
      <c r="D2104">
        <v>2012</v>
      </c>
      <c r="E2104">
        <v>0</v>
      </c>
      <c r="F2104" t="s">
        <v>185</v>
      </c>
    </row>
    <row r="2105" spans="1:6" x14ac:dyDescent="0.25">
      <c r="A2105" t="s">
        <v>192</v>
      </c>
      <c r="B2105" t="s">
        <v>170</v>
      </c>
      <c r="C2105" t="s">
        <v>123</v>
      </c>
      <c r="D2105">
        <v>2011</v>
      </c>
      <c r="E2105">
        <v>0</v>
      </c>
      <c r="F2105" t="s">
        <v>185</v>
      </c>
    </row>
    <row r="2106" spans="1:6" x14ac:dyDescent="0.25">
      <c r="A2106" t="s">
        <v>192</v>
      </c>
      <c r="B2106" t="s">
        <v>170</v>
      </c>
      <c r="C2106" t="s">
        <v>123</v>
      </c>
      <c r="D2106">
        <v>2010</v>
      </c>
      <c r="E2106">
        <v>0</v>
      </c>
      <c r="F2106" t="s">
        <v>185</v>
      </c>
    </row>
    <row r="2107" spans="1:6" x14ac:dyDescent="0.25">
      <c r="A2107" t="s">
        <v>192</v>
      </c>
      <c r="B2107" t="s">
        <v>170</v>
      </c>
      <c r="C2107" t="s">
        <v>124</v>
      </c>
      <c r="D2107">
        <v>2014</v>
      </c>
      <c r="E2107">
        <v>0</v>
      </c>
      <c r="F2107" t="s">
        <v>185</v>
      </c>
    </row>
    <row r="2108" spans="1:6" x14ac:dyDescent="0.25">
      <c r="A2108" t="s">
        <v>192</v>
      </c>
      <c r="B2108" t="s">
        <v>170</v>
      </c>
      <c r="C2108" t="s">
        <v>124</v>
      </c>
      <c r="D2108">
        <v>2013</v>
      </c>
      <c r="E2108">
        <v>0</v>
      </c>
      <c r="F2108" t="s">
        <v>185</v>
      </c>
    </row>
    <row r="2109" spans="1:6" x14ac:dyDescent="0.25">
      <c r="A2109" t="s">
        <v>192</v>
      </c>
      <c r="B2109" t="s">
        <v>170</v>
      </c>
      <c r="C2109" t="s">
        <v>124</v>
      </c>
      <c r="D2109">
        <v>2012</v>
      </c>
      <c r="E2109">
        <v>0</v>
      </c>
      <c r="F2109" t="s">
        <v>185</v>
      </c>
    </row>
    <row r="2110" spans="1:6" x14ac:dyDescent="0.25">
      <c r="A2110" t="s">
        <v>192</v>
      </c>
      <c r="B2110" t="s">
        <v>170</v>
      </c>
      <c r="C2110" t="s">
        <v>124</v>
      </c>
      <c r="D2110">
        <v>2011</v>
      </c>
      <c r="E2110">
        <v>0</v>
      </c>
      <c r="F2110" t="s">
        <v>185</v>
      </c>
    </row>
    <row r="2111" spans="1:6" x14ac:dyDescent="0.25">
      <c r="A2111" t="s">
        <v>192</v>
      </c>
      <c r="B2111" t="s">
        <v>170</v>
      </c>
      <c r="C2111" t="s">
        <v>124</v>
      </c>
      <c r="D2111">
        <v>2010</v>
      </c>
      <c r="E2111">
        <v>0</v>
      </c>
      <c r="F2111" t="s">
        <v>185</v>
      </c>
    </row>
    <row r="2112" spans="1:6" x14ac:dyDescent="0.25">
      <c r="A2112" t="s">
        <v>192</v>
      </c>
      <c r="B2112" t="s">
        <v>170</v>
      </c>
      <c r="C2112" t="s">
        <v>160</v>
      </c>
      <c r="D2112">
        <v>2014</v>
      </c>
      <c r="E2112">
        <v>0</v>
      </c>
      <c r="F2112" t="s">
        <v>185</v>
      </c>
    </row>
    <row r="2113" spans="1:6" x14ac:dyDescent="0.25">
      <c r="A2113" t="s">
        <v>192</v>
      </c>
      <c r="B2113" t="s">
        <v>170</v>
      </c>
      <c r="C2113" t="s">
        <v>160</v>
      </c>
      <c r="D2113">
        <v>2013</v>
      </c>
      <c r="E2113">
        <v>0</v>
      </c>
      <c r="F2113" t="s">
        <v>185</v>
      </c>
    </row>
    <row r="2114" spans="1:6" x14ac:dyDescent="0.25">
      <c r="A2114" t="s">
        <v>192</v>
      </c>
      <c r="B2114" t="s">
        <v>170</v>
      </c>
      <c r="C2114" t="s">
        <v>160</v>
      </c>
      <c r="D2114">
        <v>2012</v>
      </c>
      <c r="E2114">
        <v>0</v>
      </c>
      <c r="F2114" t="s">
        <v>185</v>
      </c>
    </row>
    <row r="2115" spans="1:6" x14ac:dyDescent="0.25">
      <c r="A2115" t="s">
        <v>192</v>
      </c>
      <c r="B2115" t="s">
        <v>170</v>
      </c>
      <c r="C2115" t="s">
        <v>160</v>
      </c>
      <c r="D2115">
        <v>2011</v>
      </c>
      <c r="E2115">
        <v>0</v>
      </c>
      <c r="F2115" t="s">
        <v>185</v>
      </c>
    </row>
    <row r="2116" spans="1:6" x14ac:dyDescent="0.25">
      <c r="A2116" t="s">
        <v>192</v>
      </c>
      <c r="B2116" t="s">
        <v>170</v>
      </c>
      <c r="C2116" t="s">
        <v>160</v>
      </c>
      <c r="D2116">
        <v>2010</v>
      </c>
      <c r="E2116">
        <v>0</v>
      </c>
      <c r="F2116" t="s">
        <v>185</v>
      </c>
    </row>
    <row r="2117" spans="1:6" x14ac:dyDescent="0.25">
      <c r="A2117" t="s">
        <v>192</v>
      </c>
      <c r="B2117" t="s">
        <v>170</v>
      </c>
      <c r="C2117" t="s">
        <v>125</v>
      </c>
      <c r="D2117">
        <v>2014</v>
      </c>
      <c r="E2117">
        <v>0</v>
      </c>
      <c r="F2117" t="s">
        <v>185</v>
      </c>
    </row>
    <row r="2118" spans="1:6" x14ac:dyDescent="0.25">
      <c r="A2118" t="s">
        <v>192</v>
      </c>
      <c r="B2118" t="s">
        <v>170</v>
      </c>
      <c r="C2118" t="s">
        <v>125</v>
      </c>
      <c r="D2118">
        <v>2013</v>
      </c>
      <c r="E2118">
        <v>0</v>
      </c>
      <c r="F2118" t="s">
        <v>185</v>
      </c>
    </row>
    <row r="2119" spans="1:6" x14ac:dyDescent="0.25">
      <c r="A2119" t="s">
        <v>192</v>
      </c>
      <c r="B2119" t="s">
        <v>170</v>
      </c>
      <c r="C2119" t="s">
        <v>125</v>
      </c>
      <c r="D2119">
        <v>2012</v>
      </c>
      <c r="E2119">
        <v>0</v>
      </c>
      <c r="F2119" t="s">
        <v>185</v>
      </c>
    </row>
    <row r="2120" spans="1:6" x14ac:dyDescent="0.25">
      <c r="A2120" t="s">
        <v>192</v>
      </c>
      <c r="B2120" t="s">
        <v>170</v>
      </c>
      <c r="C2120" t="s">
        <v>125</v>
      </c>
      <c r="D2120">
        <v>2011</v>
      </c>
      <c r="E2120">
        <v>0</v>
      </c>
      <c r="F2120" t="s">
        <v>185</v>
      </c>
    </row>
    <row r="2121" spans="1:6" x14ac:dyDescent="0.25">
      <c r="A2121" t="s">
        <v>192</v>
      </c>
      <c r="B2121" t="s">
        <v>170</v>
      </c>
      <c r="C2121" t="s">
        <v>125</v>
      </c>
      <c r="D2121">
        <v>2010</v>
      </c>
      <c r="E2121">
        <v>0</v>
      </c>
      <c r="F2121" t="s">
        <v>185</v>
      </c>
    </row>
    <row r="2122" spans="1:6" x14ac:dyDescent="0.25">
      <c r="A2122" t="s">
        <v>192</v>
      </c>
      <c r="B2122" t="s">
        <v>170</v>
      </c>
      <c r="C2122" t="s">
        <v>126</v>
      </c>
      <c r="D2122">
        <v>2014</v>
      </c>
      <c r="E2122">
        <v>4.1849999999999996</v>
      </c>
      <c r="F2122" t="s">
        <v>185</v>
      </c>
    </row>
    <row r="2123" spans="1:6" x14ac:dyDescent="0.25">
      <c r="A2123" t="s">
        <v>192</v>
      </c>
      <c r="B2123" t="s">
        <v>170</v>
      </c>
      <c r="C2123" t="s">
        <v>126</v>
      </c>
      <c r="D2123">
        <v>2013</v>
      </c>
      <c r="E2123">
        <v>3.4740000000000002</v>
      </c>
      <c r="F2123" t="s">
        <v>185</v>
      </c>
    </row>
    <row r="2124" spans="1:6" x14ac:dyDescent="0.25">
      <c r="A2124" t="s">
        <v>192</v>
      </c>
      <c r="B2124" t="s">
        <v>170</v>
      </c>
      <c r="C2124" t="s">
        <v>126</v>
      </c>
      <c r="D2124">
        <v>2012</v>
      </c>
      <c r="E2124">
        <v>2.0830000000000002</v>
      </c>
      <c r="F2124" t="s">
        <v>185</v>
      </c>
    </row>
    <row r="2125" spans="1:6" x14ac:dyDescent="0.25">
      <c r="A2125" t="s">
        <v>192</v>
      </c>
      <c r="B2125" t="s">
        <v>170</v>
      </c>
      <c r="C2125" t="s">
        <v>126</v>
      </c>
      <c r="D2125">
        <v>2011</v>
      </c>
      <c r="E2125">
        <v>2.0369999999999999</v>
      </c>
      <c r="F2125" t="s">
        <v>185</v>
      </c>
    </row>
    <row r="2126" spans="1:6" x14ac:dyDescent="0.25">
      <c r="A2126" t="s">
        <v>192</v>
      </c>
      <c r="B2126" t="s">
        <v>170</v>
      </c>
      <c r="C2126" t="s">
        <v>126</v>
      </c>
      <c r="D2126">
        <v>2010</v>
      </c>
      <c r="E2126">
        <v>0.89200000000000002</v>
      </c>
      <c r="F2126" t="s">
        <v>185</v>
      </c>
    </row>
    <row r="2127" spans="1:6" x14ac:dyDescent="0.25">
      <c r="A2127" t="s">
        <v>192</v>
      </c>
      <c r="B2127" t="s">
        <v>170</v>
      </c>
      <c r="C2127" t="s">
        <v>127</v>
      </c>
      <c r="D2127">
        <v>2014</v>
      </c>
      <c r="E2127">
        <v>0.317</v>
      </c>
      <c r="F2127" t="s">
        <v>185</v>
      </c>
    </row>
    <row r="2128" spans="1:6" x14ac:dyDescent="0.25">
      <c r="A2128" t="s">
        <v>192</v>
      </c>
      <c r="B2128" t="s">
        <v>170</v>
      </c>
      <c r="C2128" t="s">
        <v>127</v>
      </c>
      <c r="D2128">
        <v>2013</v>
      </c>
      <c r="E2128">
        <v>0.08</v>
      </c>
      <c r="F2128" t="s">
        <v>185</v>
      </c>
    </row>
    <row r="2129" spans="1:6" x14ac:dyDescent="0.25">
      <c r="A2129" t="s">
        <v>192</v>
      </c>
      <c r="B2129" t="s">
        <v>170</v>
      </c>
      <c r="C2129" t="s">
        <v>127</v>
      </c>
      <c r="D2129">
        <v>2012</v>
      </c>
      <c r="E2129">
        <v>0.24299999999999999</v>
      </c>
      <c r="F2129" t="s">
        <v>185</v>
      </c>
    </row>
    <row r="2130" spans="1:6" x14ac:dyDescent="0.25">
      <c r="A2130" t="s">
        <v>192</v>
      </c>
      <c r="B2130" t="s">
        <v>170</v>
      </c>
      <c r="C2130" t="s">
        <v>127</v>
      </c>
      <c r="D2130">
        <v>2011</v>
      </c>
      <c r="E2130">
        <v>0.186</v>
      </c>
      <c r="F2130" t="s">
        <v>185</v>
      </c>
    </row>
    <row r="2131" spans="1:6" x14ac:dyDescent="0.25">
      <c r="A2131" t="s">
        <v>192</v>
      </c>
      <c r="B2131" t="s">
        <v>170</v>
      </c>
      <c r="C2131" t="s">
        <v>127</v>
      </c>
      <c r="D2131">
        <v>2010</v>
      </c>
      <c r="E2131">
        <v>0.185</v>
      </c>
      <c r="F2131" t="s">
        <v>185</v>
      </c>
    </row>
    <row r="2132" spans="1:6" x14ac:dyDescent="0.25">
      <c r="A2132" t="s">
        <v>192</v>
      </c>
      <c r="B2132" t="s">
        <v>170</v>
      </c>
      <c r="C2132" t="s">
        <v>128</v>
      </c>
      <c r="D2132">
        <v>2014</v>
      </c>
      <c r="E2132">
        <v>0</v>
      </c>
      <c r="F2132" t="s">
        <v>185</v>
      </c>
    </row>
    <row r="2133" spans="1:6" x14ac:dyDescent="0.25">
      <c r="A2133" t="s">
        <v>192</v>
      </c>
      <c r="B2133" t="s">
        <v>170</v>
      </c>
      <c r="C2133" t="s">
        <v>128</v>
      </c>
      <c r="D2133">
        <v>2013</v>
      </c>
      <c r="E2133">
        <v>0</v>
      </c>
      <c r="F2133" t="s">
        <v>185</v>
      </c>
    </row>
    <row r="2134" spans="1:6" x14ac:dyDescent="0.25">
      <c r="A2134" t="s">
        <v>192</v>
      </c>
      <c r="B2134" t="s">
        <v>170</v>
      </c>
      <c r="C2134" t="s">
        <v>128</v>
      </c>
      <c r="D2134">
        <v>2012</v>
      </c>
      <c r="E2134">
        <v>0</v>
      </c>
      <c r="F2134" t="s">
        <v>185</v>
      </c>
    </row>
    <row r="2135" spans="1:6" x14ac:dyDescent="0.25">
      <c r="A2135" t="s">
        <v>192</v>
      </c>
      <c r="B2135" t="s">
        <v>170</v>
      </c>
      <c r="C2135" t="s">
        <v>128</v>
      </c>
      <c r="D2135">
        <v>2011</v>
      </c>
      <c r="E2135">
        <v>0</v>
      </c>
      <c r="F2135" t="s">
        <v>185</v>
      </c>
    </row>
    <row r="2136" spans="1:6" x14ac:dyDescent="0.25">
      <c r="A2136" t="s">
        <v>192</v>
      </c>
      <c r="B2136" t="s">
        <v>170</v>
      </c>
      <c r="C2136" t="s">
        <v>128</v>
      </c>
      <c r="D2136">
        <v>2010</v>
      </c>
      <c r="E2136">
        <v>4.0000000000000001E-3</v>
      </c>
      <c r="F2136" t="s">
        <v>185</v>
      </c>
    </row>
    <row r="2137" spans="1:6" x14ac:dyDescent="0.25">
      <c r="A2137" t="s">
        <v>192</v>
      </c>
      <c r="B2137" t="s">
        <v>170</v>
      </c>
      <c r="C2137" t="s">
        <v>161</v>
      </c>
      <c r="D2137">
        <v>2014</v>
      </c>
      <c r="E2137">
        <v>0</v>
      </c>
      <c r="F2137" t="s">
        <v>185</v>
      </c>
    </row>
    <row r="2138" spans="1:6" x14ac:dyDescent="0.25">
      <c r="A2138" t="s">
        <v>192</v>
      </c>
      <c r="B2138" t="s">
        <v>170</v>
      </c>
      <c r="C2138" t="s">
        <v>161</v>
      </c>
      <c r="D2138">
        <v>2013</v>
      </c>
      <c r="E2138">
        <v>0</v>
      </c>
      <c r="F2138" t="s">
        <v>185</v>
      </c>
    </row>
    <row r="2139" spans="1:6" x14ac:dyDescent="0.25">
      <c r="A2139" t="s">
        <v>192</v>
      </c>
      <c r="B2139" t="s">
        <v>170</v>
      </c>
      <c r="C2139" t="s">
        <v>161</v>
      </c>
      <c r="D2139">
        <v>2012</v>
      </c>
      <c r="E2139">
        <v>0</v>
      </c>
      <c r="F2139" t="s">
        <v>185</v>
      </c>
    </row>
    <row r="2140" spans="1:6" x14ac:dyDescent="0.25">
      <c r="A2140" t="s">
        <v>192</v>
      </c>
      <c r="B2140" t="s">
        <v>170</v>
      </c>
      <c r="C2140" t="s">
        <v>161</v>
      </c>
      <c r="D2140">
        <v>2011</v>
      </c>
      <c r="E2140">
        <v>0</v>
      </c>
      <c r="F2140" t="s">
        <v>185</v>
      </c>
    </row>
    <row r="2141" spans="1:6" x14ac:dyDescent="0.25">
      <c r="A2141" t="s">
        <v>192</v>
      </c>
      <c r="B2141" t="s">
        <v>170</v>
      </c>
      <c r="C2141" t="s">
        <v>161</v>
      </c>
      <c r="D2141">
        <v>2010</v>
      </c>
      <c r="E2141">
        <v>0</v>
      </c>
      <c r="F2141" t="s">
        <v>185</v>
      </c>
    </row>
    <row r="2142" spans="1:6" x14ac:dyDescent="0.25">
      <c r="A2142" t="s">
        <v>192</v>
      </c>
      <c r="B2142" t="s">
        <v>170</v>
      </c>
      <c r="C2142" t="s">
        <v>162</v>
      </c>
      <c r="D2142">
        <v>2014</v>
      </c>
      <c r="E2142">
        <v>0</v>
      </c>
      <c r="F2142" t="s">
        <v>185</v>
      </c>
    </row>
    <row r="2143" spans="1:6" x14ac:dyDescent="0.25">
      <c r="A2143" t="s">
        <v>192</v>
      </c>
      <c r="B2143" t="s">
        <v>170</v>
      </c>
      <c r="C2143" t="s">
        <v>162</v>
      </c>
      <c r="D2143">
        <v>2013</v>
      </c>
      <c r="E2143">
        <v>0</v>
      </c>
      <c r="F2143" t="s">
        <v>185</v>
      </c>
    </row>
    <row r="2144" spans="1:6" x14ac:dyDescent="0.25">
      <c r="A2144" t="s">
        <v>192</v>
      </c>
      <c r="B2144" t="s">
        <v>170</v>
      </c>
      <c r="C2144" t="s">
        <v>162</v>
      </c>
      <c r="D2144">
        <v>2012</v>
      </c>
      <c r="E2144">
        <v>0</v>
      </c>
      <c r="F2144" t="s">
        <v>185</v>
      </c>
    </row>
    <row r="2145" spans="1:6" x14ac:dyDescent="0.25">
      <c r="A2145" t="s">
        <v>192</v>
      </c>
      <c r="B2145" t="s">
        <v>170</v>
      </c>
      <c r="C2145" t="s">
        <v>162</v>
      </c>
      <c r="D2145">
        <v>2011</v>
      </c>
      <c r="E2145">
        <v>0</v>
      </c>
      <c r="F2145" t="s">
        <v>185</v>
      </c>
    </row>
    <row r="2146" spans="1:6" x14ac:dyDescent="0.25">
      <c r="A2146" t="s">
        <v>192</v>
      </c>
      <c r="B2146" t="s">
        <v>170</v>
      </c>
      <c r="C2146" t="s">
        <v>162</v>
      </c>
      <c r="D2146">
        <v>2010</v>
      </c>
      <c r="E2146">
        <v>0</v>
      </c>
      <c r="F2146" t="s">
        <v>185</v>
      </c>
    </row>
    <row r="2147" spans="1:6" x14ac:dyDescent="0.25">
      <c r="A2147" t="s">
        <v>192</v>
      </c>
      <c r="B2147" t="s">
        <v>170</v>
      </c>
      <c r="C2147" t="s">
        <v>129</v>
      </c>
      <c r="D2147">
        <v>2014</v>
      </c>
      <c r="E2147">
        <v>0.39500000000000002</v>
      </c>
      <c r="F2147" t="s">
        <v>185</v>
      </c>
    </row>
    <row r="2148" spans="1:6" x14ac:dyDescent="0.25">
      <c r="A2148" t="s">
        <v>192</v>
      </c>
      <c r="B2148" t="s">
        <v>170</v>
      </c>
      <c r="C2148" t="s">
        <v>129</v>
      </c>
      <c r="D2148">
        <v>2013</v>
      </c>
      <c r="E2148">
        <v>0.379</v>
      </c>
      <c r="F2148" t="s">
        <v>185</v>
      </c>
    </row>
    <row r="2149" spans="1:6" x14ac:dyDescent="0.25">
      <c r="A2149" t="s">
        <v>192</v>
      </c>
      <c r="B2149" t="s">
        <v>170</v>
      </c>
      <c r="C2149" t="s">
        <v>129</v>
      </c>
      <c r="D2149">
        <v>2012</v>
      </c>
      <c r="E2149">
        <v>0.34100000000000003</v>
      </c>
      <c r="F2149" t="s">
        <v>185</v>
      </c>
    </row>
    <row r="2150" spans="1:6" x14ac:dyDescent="0.25">
      <c r="A2150" t="s">
        <v>192</v>
      </c>
      <c r="B2150" t="s">
        <v>170</v>
      </c>
      <c r="C2150" t="s">
        <v>129</v>
      </c>
      <c r="D2150">
        <v>2011</v>
      </c>
      <c r="E2150">
        <v>0.34699999999999998</v>
      </c>
      <c r="F2150" t="s">
        <v>185</v>
      </c>
    </row>
    <row r="2151" spans="1:6" x14ac:dyDescent="0.25">
      <c r="A2151" t="s">
        <v>192</v>
      </c>
      <c r="B2151" t="s">
        <v>170</v>
      </c>
      <c r="C2151" t="s">
        <v>129</v>
      </c>
      <c r="D2151">
        <v>2010</v>
      </c>
      <c r="E2151">
        <v>0.378</v>
      </c>
      <c r="F2151" t="s">
        <v>185</v>
      </c>
    </row>
    <row r="2152" spans="1:6" x14ac:dyDescent="0.25">
      <c r="A2152" t="s">
        <v>192</v>
      </c>
      <c r="B2152" t="s">
        <v>170</v>
      </c>
      <c r="C2152" t="s">
        <v>130</v>
      </c>
      <c r="D2152">
        <v>2014</v>
      </c>
      <c r="E2152">
        <v>0.127</v>
      </c>
      <c r="F2152" t="s">
        <v>185</v>
      </c>
    </row>
    <row r="2153" spans="1:6" x14ac:dyDescent="0.25">
      <c r="A2153" t="s">
        <v>192</v>
      </c>
      <c r="B2153" t="s">
        <v>170</v>
      </c>
      <c r="C2153" t="s">
        <v>130</v>
      </c>
      <c r="D2153">
        <v>2013</v>
      </c>
      <c r="E2153">
        <v>0.127</v>
      </c>
      <c r="F2153" t="s">
        <v>185</v>
      </c>
    </row>
    <row r="2154" spans="1:6" x14ac:dyDescent="0.25">
      <c r="A2154" t="s">
        <v>192</v>
      </c>
      <c r="B2154" t="s">
        <v>170</v>
      </c>
      <c r="C2154" t="s">
        <v>130</v>
      </c>
      <c r="D2154">
        <v>2012</v>
      </c>
      <c r="E2154">
        <v>0.127</v>
      </c>
      <c r="F2154" t="s">
        <v>185</v>
      </c>
    </row>
    <row r="2155" spans="1:6" x14ac:dyDescent="0.25">
      <c r="A2155" t="s">
        <v>192</v>
      </c>
      <c r="B2155" t="s">
        <v>170</v>
      </c>
      <c r="C2155" t="s">
        <v>130</v>
      </c>
      <c r="D2155">
        <v>2011</v>
      </c>
      <c r="E2155">
        <v>0.13800000000000001</v>
      </c>
      <c r="F2155" t="s">
        <v>185</v>
      </c>
    </row>
    <row r="2156" spans="1:6" x14ac:dyDescent="0.25">
      <c r="A2156" t="s">
        <v>192</v>
      </c>
      <c r="B2156" t="s">
        <v>170</v>
      </c>
      <c r="C2156" t="s">
        <v>130</v>
      </c>
      <c r="D2156">
        <v>2010</v>
      </c>
      <c r="E2156">
        <v>0.14799999999999999</v>
      </c>
      <c r="F2156" t="s">
        <v>185</v>
      </c>
    </row>
    <row r="2157" spans="1:6" x14ac:dyDescent="0.25">
      <c r="A2157" t="s">
        <v>192</v>
      </c>
      <c r="B2157" t="s">
        <v>170</v>
      </c>
      <c r="C2157" t="s">
        <v>131</v>
      </c>
      <c r="D2157">
        <v>2014</v>
      </c>
      <c r="E2157">
        <v>0</v>
      </c>
      <c r="F2157" t="s">
        <v>185</v>
      </c>
    </row>
    <row r="2158" spans="1:6" x14ac:dyDescent="0.25">
      <c r="A2158" t="s">
        <v>192</v>
      </c>
      <c r="B2158" t="s">
        <v>170</v>
      </c>
      <c r="C2158" t="s">
        <v>131</v>
      </c>
      <c r="D2158">
        <v>2013</v>
      </c>
      <c r="E2158">
        <v>0</v>
      </c>
      <c r="F2158" t="s">
        <v>185</v>
      </c>
    </row>
    <row r="2159" spans="1:6" x14ac:dyDescent="0.25">
      <c r="A2159" t="s">
        <v>192</v>
      </c>
      <c r="B2159" t="s">
        <v>170</v>
      </c>
      <c r="C2159" t="s">
        <v>131</v>
      </c>
      <c r="D2159">
        <v>2012</v>
      </c>
      <c r="E2159">
        <v>0</v>
      </c>
      <c r="F2159" t="s">
        <v>185</v>
      </c>
    </row>
    <row r="2160" spans="1:6" x14ac:dyDescent="0.25">
      <c r="A2160" t="s">
        <v>192</v>
      </c>
      <c r="B2160" t="s">
        <v>170</v>
      </c>
      <c r="C2160" t="s">
        <v>131</v>
      </c>
      <c r="D2160">
        <v>2011</v>
      </c>
      <c r="E2160">
        <v>0</v>
      </c>
      <c r="F2160" t="s">
        <v>185</v>
      </c>
    </row>
    <row r="2161" spans="1:6" x14ac:dyDescent="0.25">
      <c r="A2161" t="s">
        <v>192</v>
      </c>
      <c r="B2161" t="s">
        <v>170</v>
      </c>
      <c r="C2161" t="s">
        <v>131</v>
      </c>
      <c r="D2161">
        <v>2010</v>
      </c>
      <c r="E2161">
        <v>0</v>
      </c>
      <c r="F2161" t="s">
        <v>185</v>
      </c>
    </row>
    <row r="2162" spans="1:6" x14ac:dyDescent="0.25">
      <c r="A2162" t="s">
        <v>192</v>
      </c>
      <c r="B2162" t="s">
        <v>170</v>
      </c>
      <c r="C2162" t="s">
        <v>132</v>
      </c>
      <c r="D2162">
        <v>2014</v>
      </c>
      <c r="E2162">
        <v>0</v>
      </c>
      <c r="F2162" t="s">
        <v>185</v>
      </c>
    </row>
    <row r="2163" spans="1:6" x14ac:dyDescent="0.25">
      <c r="A2163" t="s">
        <v>192</v>
      </c>
      <c r="B2163" t="s">
        <v>170</v>
      </c>
      <c r="C2163" t="s">
        <v>132</v>
      </c>
      <c r="D2163">
        <v>2013</v>
      </c>
      <c r="E2163">
        <v>1E-3</v>
      </c>
      <c r="F2163" t="s">
        <v>185</v>
      </c>
    </row>
    <row r="2164" spans="1:6" x14ac:dyDescent="0.25">
      <c r="A2164" t="s">
        <v>192</v>
      </c>
      <c r="B2164" t="s">
        <v>170</v>
      </c>
      <c r="C2164" t="s">
        <v>132</v>
      </c>
      <c r="D2164">
        <v>2012</v>
      </c>
      <c r="E2164">
        <v>1.9E-2</v>
      </c>
      <c r="F2164" t="s">
        <v>185</v>
      </c>
    </row>
    <row r="2165" spans="1:6" x14ac:dyDescent="0.25">
      <c r="A2165" t="s">
        <v>192</v>
      </c>
      <c r="B2165" t="s">
        <v>170</v>
      </c>
      <c r="C2165" t="s">
        <v>132</v>
      </c>
      <c r="D2165">
        <v>2011</v>
      </c>
      <c r="E2165">
        <v>1.4E-2</v>
      </c>
      <c r="F2165" t="s">
        <v>185</v>
      </c>
    </row>
    <row r="2166" spans="1:6" x14ac:dyDescent="0.25">
      <c r="A2166" t="s">
        <v>192</v>
      </c>
      <c r="B2166" t="s">
        <v>170</v>
      </c>
      <c r="C2166" t="s">
        <v>132</v>
      </c>
      <c r="D2166">
        <v>2010</v>
      </c>
      <c r="E2166">
        <v>1.2999999999999999E-2</v>
      </c>
      <c r="F2166" t="s">
        <v>185</v>
      </c>
    </row>
    <row r="2167" spans="1:6" x14ac:dyDescent="0.25">
      <c r="A2167" t="s">
        <v>192</v>
      </c>
      <c r="B2167" t="s">
        <v>170</v>
      </c>
      <c r="C2167" t="s">
        <v>163</v>
      </c>
      <c r="D2167">
        <v>2014</v>
      </c>
      <c r="E2167">
        <v>0</v>
      </c>
      <c r="F2167" t="s">
        <v>185</v>
      </c>
    </row>
    <row r="2168" spans="1:6" x14ac:dyDescent="0.25">
      <c r="A2168" t="s">
        <v>192</v>
      </c>
      <c r="B2168" t="s">
        <v>170</v>
      </c>
      <c r="C2168" t="s">
        <v>163</v>
      </c>
      <c r="D2168">
        <v>2013</v>
      </c>
      <c r="E2168">
        <v>0</v>
      </c>
      <c r="F2168" t="s">
        <v>185</v>
      </c>
    </row>
    <row r="2169" spans="1:6" x14ac:dyDescent="0.25">
      <c r="A2169" t="s">
        <v>192</v>
      </c>
      <c r="B2169" t="s">
        <v>170</v>
      </c>
      <c r="C2169" t="s">
        <v>163</v>
      </c>
      <c r="D2169">
        <v>2012</v>
      </c>
      <c r="E2169">
        <v>0</v>
      </c>
      <c r="F2169" t="s">
        <v>185</v>
      </c>
    </row>
    <row r="2170" spans="1:6" x14ac:dyDescent="0.25">
      <c r="A2170" t="s">
        <v>192</v>
      </c>
      <c r="B2170" t="s">
        <v>170</v>
      </c>
      <c r="C2170" t="s">
        <v>163</v>
      </c>
      <c r="D2170">
        <v>2011</v>
      </c>
      <c r="E2170">
        <v>0</v>
      </c>
      <c r="F2170" t="s">
        <v>185</v>
      </c>
    </row>
    <row r="2171" spans="1:6" x14ac:dyDescent="0.25">
      <c r="A2171" t="s">
        <v>192</v>
      </c>
      <c r="B2171" t="s">
        <v>170</v>
      </c>
      <c r="C2171" t="s">
        <v>163</v>
      </c>
      <c r="D2171">
        <v>2010</v>
      </c>
      <c r="E2171">
        <v>0</v>
      </c>
      <c r="F2171" t="s">
        <v>185</v>
      </c>
    </row>
    <row r="2172" spans="1:6" x14ac:dyDescent="0.25">
      <c r="A2172" t="s">
        <v>192</v>
      </c>
      <c r="B2172" t="s">
        <v>170</v>
      </c>
      <c r="C2172" t="s">
        <v>133</v>
      </c>
      <c r="D2172">
        <v>2014</v>
      </c>
      <c r="E2172">
        <v>0</v>
      </c>
      <c r="F2172" t="s">
        <v>185</v>
      </c>
    </row>
    <row r="2173" spans="1:6" x14ac:dyDescent="0.25">
      <c r="A2173" t="s">
        <v>192</v>
      </c>
      <c r="B2173" t="s">
        <v>170</v>
      </c>
      <c r="C2173" t="s">
        <v>133</v>
      </c>
      <c r="D2173">
        <v>2013</v>
      </c>
      <c r="E2173">
        <v>0</v>
      </c>
      <c r="F2173" t="s">
        <v>185</v>
      </c>
    </row>
    <row r="2174" spans="1:6" x14ac:dyDescent="0.25">
      <c r="A2174" t="s">
        <v>192</v>
      </c>
      <c r="B2174" t="s">
        <v>170</v>
      </c>
      <c r="C2174" t="s">
        <v>133</v>
      </c>
      <c r="D2174">
        <v>2012</v>
      </c>
      <c r="E2174">
        <v>0</v>
      </c>
      <c r="F2174" t="s">
        <v>185</v>
      </c>
    </row>
    <row r="2175" spans="1:6" x14ac:dyDescent="0.25">
      <c r="A2175" t="s">
        <v>192</v>
      </c>
      <c r="B2175" t="s">
        <v>170</v>
      </c>
      <c r="C2175" t="s">
        <v>133</v>
      </c>
      <c r="D2175">
        <v>2011</v>
      </c>
      <c r="E2175">
        <v>0</v>
      </c>
      <c r="F2175" t="s">
        <v>185</v>
      </c>
    </row>
    <row r="2176" spans="1:6" x14ac:dyDescent="0.25">
      <c r="A2176" t="s">
        <v>192</v>
      </c>
      <c r="B2176" t="s">
        <v>170</v>
      </c>
      <c r="C2176" t="s">
        <v>133</v>
      </c>
      <c r="D2176">
        <v>2010</v>
      </c>
      <c r="E2176">
        <v>0</v>
      </c>
      <c r="F2176" t="s">
        <v>185</v>
      </c>
    </row>
    <row r="2177" spans="1:6" x14ac:dyDescent="0.25">
      <c r="A2177" t="s">
        <v>192</v>
      </c>
      <c r="B2177" t="s">
        <v>170</v>
      </c>
      <c r="C2177" t="s">
        <v>134</v>
      </c>
      <c r="D2177">
        <v>2014</v>
      </c>
      <c r="E2177">
        <v>1.6E-2</v>
      </c>
      <c r="F2177" t="s">
        <v>185</v>
      </c>
    </row>
    <row r="2178" spans="1:6" x14ac:dyDescent="0.25">
      <c r="A2178" t="s">
        <v>192</v>
      </c>
      <c r="B2178" t="s">
        <v>170</v>
      </c>
      <c r="C2178" t="s">
        <v>134</v>
      </c>
      <c r="D2178">
        <v>2013</v>
      </c>
      <c r="E2178">
        <v>1.4E-2</v>
      </c>
      <c r="F2178" t="s">
        <v>185</v>
      </c>
    </row>
    <row r="2179" spans="1:6" x14ac:dyDescent="0.25">
      <c r="A2179" t="s">
        <v>192</v>
      </c>
      <c r="B2179" t="s">
        <v>170</v>
      </c>
      <c r="C2179" t="s">
        <v>134</v>
      </c>
      <c r="D2179">
        <v>2012</v>
      </c>
      <c r="E2179">
        <v>1.4999999999999999E-2</v>
      </c>
      <c r="F2179" t="s">
        <v>185</v>
      </c>
    </row>
    <row r="2180" spans="1:6" x14ac:dyDescent="0.25">
      <c r="A2180" t="s">
        <v>192</v>
      </c>
      <c r="B2180" t="s">
        <v>170</v>
      </c>
      <c r="C2180" t="s">
        <v>134</v>
      </c>
      <c r="D2180">
        <v>2011</v>
      </c>
      <c r="E2180">
        <v>1.2999999999999999E-2</v>
      </c>
      <c r="F2180" t="s">
        <v>185</v>
      </c>
    </row>
    <row r="2181" spans="1:6" x14ac:dyDescent="0.25">
      <c r="A2181" t="s">
        <v>192</v>
      </c>
      <c r="B2181" t="s">
        <v>170</v>
      </c>
      <c r="C2181" t="s">
        <v>134</v>
      </c>
      <c r="D2181">
        <v>2010</v>
      </c>
      <c r="E2181">
        <v>1.4999999999999999E-2</v>
      </c>
      <c r="F2181" t="s">
        <v>185</v>
      </c>
    </row>
    <row r="2182" spans="1:6" x14ac:dyDescent="0.25">
      <c r="A2182" t="s">
        <v>192</v>
      </c>
      <c r="B2182" t="s">
        <v>170</v>
      </c>
      <c r="C2182" t="s">
        <v>135</v>
      </c>
      <c r="D2182">
        <v>2014</v>
      </c>
      <c r="E2182">
        <v>0</v>
      </c>
      <c r="F2182" t="s">
        <v>185</v>
      </c>
    </row>
    <row r="2183" spans="1:6" x14ac:dyDescent="0.25">
      <c r="A2183" t="s">
        <v>192</v>
      </c>
      <c r="B2183" t="s">
        <v>170</v>
      </c>
      <c r="C2183" t="s">
        <v>135</v>
      </c>
      <c r="D2183">
        <v>2013</v>
      </c>
      <c r="E2183">
        <v>0</v>
      </c>
      <c r="F2183" t="s">
        <v>185</v>
      </c>
    </row>
    <row r="2184" spans="1:6" x14ac:dyDescent="0.25">
      <c r="A2184" t="s">
        <v>192</v>
      </c>
      <c r="B2184" t="s">
        <v>170</v>
      </c>
      <c r="C2184" t="s">
        <v>135</v>
      </c>
      <c r="D2184">
        <v>2012</v>
      </c>
      <c r="E2184">
        <v>0</v>
      </c>
      <c r="F2184" t="s">
        <v>185</v>
      </c>
    </row>
    <row r="2185" spans="1:6" x14ac:dyDescent="0.25">
      <c r="A2185" t="s">
        <v>192</v>
      </c>
      <c r="B2185" t="s">
        <v>170</v>
      </c>
      <c r="C2185" t="s">
        <v>135</v>
      </c>
      <c r="D2185">
        <v>2011</v>
      </c>
      <c r="E2185">
        <v>0</v>
      </c>
      <c r="F2185" t="s">
        <v>185</v>
      </c>
    </row>
    <row r="2186" spans="1:6" x14ac:dyDescent="0.25">
      <c r="A2186" t="s">
        <v>192</v>
      </c>
      <c r="B2186" t="s">
        <v>170</v>
      </c>
      <c r="C2186" t="s">
        <v>135</v>
      </c>
      <c r="D2186">
        <v>2010</v>
      </c>
      <c r="E2186">
        <v>0</v>
      </c>
      <c r="F2186" t="s">
        <v>185</v>
      </c>
    </row>
    <row r="2187" spans="1:6" x14ac:dyDescent="0.25">
      <c r="A2187" t="s">
        <v>192</v>
      </c>
      <c r="B2187" t="s">
        <v>170</v>
      </c>
      <c r="C2187" t="s">
        <v>136</v>
      </c>
      <c r="D2187">
        <v>2014</v>
      </c>
      <c r="E2187">
        <v>0</v>
      </c>
      <c r="F2187" t="s">
        <v>185</v>
      </c>
    </row>
    <row r="2188" spans="1:6" x14ac:dyDescent="0.25">
      <c r="A2188" t="s">
        <v>192</v>
      </c>
      <c r="B2188" t="s">
        <v>170</v>
      </c>
      <c r="C2188" t="s">
        <v>136</v>
      </c>
      <c r="D2188">
        <v>2013</v>
      </c>
      <c r="E2188">
        <v>0</v>
      </c>
      <c r="F2188" t="s">
        <v>185</v>
      </c>
    </row>
    <row r="2189" spans="1:6" x14ac:dyDescent="0.25">
      <c r="A2189" t="s">
        <v>192</v>
      </c>
      <c r="B2189" t="s">
        <v>170</v>
      </c>
      <c r="C2189" t="s">
        <v>136</v>
      </c>
      <c r="D2189">
        <v>2012</v>
      </c>
      <c r="E2189">
        <v>0</v>
      </c>
      <c r="F2189" t="s">
        <v>185</v>
      </c>
    </row>
    <row r="2190" spans="1:6" x14ac:dyDescent="0.25">
      <c r="A2190" t="s">
        <v>192</v>
      </c>
      <c r="B2190" t="s">
        <v>170</v>
      </c>
      <c r="C2190" t="s">
        <v>136</v>
      </c>
      <c r="D2190">
        <v>2011</v>
      </c>
      <c r="E2190">
        <v>0</v>
      </c>
      <c r="F2190" t="s">
        <v>185</v>
      </c>
    </row>
    <row r="2191" spans="1:6" x14ac:dyDescent="0.25">
      <c r="A2191" t="s">
        <v>192</v>
      </c>
      <c r="B2191" t="s">
        <v>170</v>
      </c>
      <c r="C2191" t="s">
        <v>136</v>
      </c>
      <c r="D2191">
        <v>2010</v>
      </c>
      <c r="E2191">
        <v>0</v>
      </c>
      <c r="F2191" t="s">
        <v>185</v>
      </c>
    </row>
    <row r="2192" spans="1:6" x14ac:dyDescent="0.25">
      <c r="A2192" t="s">
        <v>192</v>
      </c>
      <c r="B2192" t="s">
        <v>170</v>
      </c>
      <c r="C2192" t="s">
        <v>137</v>
      </c>
      <c r="D2192">
        <v>2014</v>
      </c>
      <c r="E2192">
        <v>0</v>
      </c>
      <c r="F2192" t="s">
        <v>185</v>
      </c>
    </row>
    <row r="2193" spans="1:6" x14ac:dyDescent="0.25">
      <c r="A2193" t="s">
        <v>192</v>
      </c>
      <c r="B2193" t="s">
        <v>170</v>
      </c>
      <c r="C2193" t="s">
        <v>137</v>
      </c>
      <c r="D2193">
        <v>2013</v>
      </c>
      <c r="E2193">
        <v>0</v>
      </c>
      <c r="F2193" t="s">
        <v>185</v>
      </c>
    </row>
    <row r="2194" spans="1:6" x14ac:dyDescent="0.25">
      <c r="A2194" t="s">
        <v>192</v>
      </c>
      <c r="B2194" t="s">
        <v>170</v>
      </c>
      <c r="C2194" t="s">
        <v>137</v>
      </c>
      <c r="D2194">
        <v>2012</v>
      </c>
      <c r="E2194">
        <v>0</v>
      </c>
      <c r="F2194" t="s">
        <v>185</v>
      </c>
    </row>
    <row r="2195" spans="1:6" x14ac:dyDescent="0.25">
      <c r="A2195" t="s">
        <v>192</v>
      </c>
      <c r="B2195" t="s">
        <v>170</v>
      </c>
      <c r="C2195" t="s">
        <v>137</v>
      </c>
      <c r="D2195">
        <v>2011</v>
      </c>
      <c r="E2195">
        <v>0</v>
      </c>
      <c r="F2195" t="s">
        <v>185</v>
      </c>
    </row>
    <row r="2196" spans="1:6" x14ac:dyDescent="0.25">
      <c r="A2196" t="s">
        <v>192</v>
      </c>
      <c r="B2196" t="s">
        <v>170</v>
      </c>
      <c r="C2196" t="s">
        <v>137</v>
      </c>
      <c r="D2196">
        <v>2010</v>
      </c>
      <c r="E2196">
        <v>0</v>
      </c>
      <c r="F2196" t="s">
        <v>185</v>
      </c>
    </row>
    <row r="2197" spans="1:6" x14ac:dyDescent="0.25">
      <c r="A2197" t="s">
        <v>192</v>
      </c>
      <c r="B2197" t="s">
        <v>170</v>
      </c>
      <c r="C2197" t="s">
        <v>138</v>
      </c>
      <c r="D2197">
        <v>2014</v>
      </c>
      <c r="E2197">
        <v>0</v>
      </c>
      <c r="F2197" t="s">
        <v>185</v>
      </c>
    </row>
    <row r="2198" spans="1:6" x14ac:dyDescent="0.25">
      <c r="A2198" t="s">
        <v>192</v>
      </c>
      <c r="B2198" t="s">
        <v>170</v>
      </c>
      <c r="C2198" t="s">
        <v>138</v>
      </c>
      <c r="D2198">
        <v>2013</v>
      </c>
      <c r="E2198">
        <v>0</v>
      </c>
      <c r="F2198" t="s">
        <v>185</v>
      </c>
    </row>
    <row r="2199" spans="1:6" x14ac:dyDescent="0.25">
      <c r="A2199" t="s">
        <v>192</v>
      </c>
      <c r="B2199" t="s">
        <v>170</v>
      </c>
      <c r="C2199" t="s">
        <v>138</v>
      </c>
      <c r="D2199">
        <v>2012</v>
      </c>
      <c r="E2199">
        <v>0</v>
      </c>
      <c r="F2199" t="s">
        <v>185</v>
      </c>
    </row>
    <row r="2200" spans="1:6" x14ac:dyDescent="0.25">
      <c r="A2200" t="s">
        <v>192</v>
      </c>
      <c r="B2200" t="s">
        <v>170</v>
      </c>
      <c r="C2200" t="s">
        <v>138</v>
      </c>
      <c r="D2200">
        <v>2011</v>
      </c>
      <c r="E2200">
        <v>0</v>
      </c>
      <c r="F2200" t="s">
        <v>185</v>
      </c>
    </row>
    <row r="2201" spans="1:6" x14ac:dyDescent="0.25">
      <c r="A2201" t="s">
        <v>192</v>
      </c>
      <c r="B2201" t="s">
        <v>170</v>
      </c>
      <c r="C2201" t="s">
        <v>138</v>
      </c>
      <c r="D2201">
        <v>2010</v>
      </c>
      <c r="E2201">
        <v>0</v>
      </c>
      <c r="F2201" t="s">
        <v>185</v>
      </c>
    </row>
    <row r="2202" spans="1:6" x14ac:dyDescent="0.25">
      <c r="A2202" t="s">
        <v>192</v>
      </c>
      <c r="B2202" t="s">
        <v>170</v>
      </c>
      <c r="C2202" t="s">
        <v>164</v>
      </c>
      <c r="D2202">
        <v>2014</v>
      </c>
      <c r="E2202">
        <v>0</v>
      </c>
      <c r="F2202" t="s">
        <v>185</v>
      </c>
    </row>
    <row r="2203" spans="1:6" x14ac:dyDescent="0.25">
      <c r="A2203" t="s">
        <v>192</v>
      </c>
      <c r="B2203" t="s">
        <v>170</v>
      </c>
      <c r="C2203" t="s">
        <v>164</v>
      </c>
      <c r="D2203">
        <v>2013</v>
      </c>
      <c r="E2203">
        <v>0</v>
      </c>
      <c r="F2203" t="s">
        <v>185</v>
      </c>
    </row>
    <row r="2204" spans="1:6" x14ac:dyDescent="0.25">
      <c r="A2204" t="s">
        <v>192</v>
      </c>
      <c r="B2204" t="s">
        <v>170</v>
      </c>
      <c r="C2204" t="s">
        <v>164</v>
      </c>
      <c r="D2204">
        <v>2012</v>
      </c>
      <c r="E2204">
        <v>0</v>
      </c>
      <c r="F2204" t="s">
        <v>185</v>
      </c>
    </row>
    <row r="2205" spans="1:6" x14ac:dyDescent="0.25">
      <c r="A2205" t="s">
        <v>192</v>
      </c>
      <c r="B2205" t="s">
        <v>170</v>
      </c>
      <c r="C2205" t="s">
        <v>164</v>
      </c>
      <c r="D2205">
        <v>2011</v>
      </c>
      <c r="E2205">
        <v>0</v>
      </c>
      <c r="F2205" t="s">
        <v>185</v>
      </c>
    </row>
    <row r="2206" spans="1:6" x14ac:dyDescent="0.25">
      <c r="A2206" t="s">
        <v>192</v>
      </c>
      <c r="B2206" t="s">
        <v>170</v>
      </c>
      <c r="C2206" t="s">
        <v>164</v>
      </c>
      <c r="D2206">
        <v>2010</v>
      </c>
      <c r="E2206">
        <v>0</v>
      </c>
      <c r="F2206" t="s">
        <v>185</v>
      </c>
    </row>
    <row r="2207" spans="1:6" x14ac:dyDescent="0.25">
      <c r="A2207" t="s">
        <v>192</v>
      </c>
      <c r="B2207" t="s">
        <v>170</v>
      </c>
      <c r="C2207" t="s">
        <v>139</v>
      </c>
      <c r="D2207">
        <v>2014</v>
      </c>
      <c r="E2207">
        <v>0</v>
      </c>
      <c r="F2207" t="s">
        <v>185</v>
      </c>
    </row>
    <row r="2208" spans="1:6" x14ac:dyDescent="0.25">
      <c r="A2208" t="s">
        <v>192</v>
      </c>
      <c r="B2208" t="s">
        <v>170</v>
      </c>
      <c r="C2208" t="s">
        <v>139</v>
      </c>
      <c r="D2208">
        <v>2013</v>
      </c>
      <c r="E2208">
        <v>0</v>
      </c>
      <c r="F2208" t="s">
        <v>185</v>
      </c>
    </row>
    <row r="2209" spans="1:6" x14ac:dyDescent="0.25">
      <c r="A2209" t="s">
        <v>192</v>
      </c>
      <c r="B2209" t="s">
        <v>170</v>
      </c>
      <c r="C2209" t="s">
        <v>139</v>
      </c>
      <c r="D2209">
        <v>2012</v>
      </c>
      <c r="E2209">
        <v>0</v>
      </c>
      <c r="F2209" t="s">
        <v>185</v>
      </c>
    </row>
    <row r="2210" spans="1:6" x14ac:dyDescent="0.25">
      <c r="A2210" t="s">
        <v>192</v>
      </c>
      <c r="B2210" t="s">
        <v>170</v>
      </c>
      <c r="C2210" t="s">
        <v>139</v>
      </c>
      <c r="D2210">
        <v>2011</v>
      </c>
      <c r="E2210">
        <v>0</v>
      </c>
      <c r="F2210" t="s">
        <v>185</v>
      </c>
    </row>
    <row r="2211" spans="1:6" x14ac:dyDescent="0.25">
      <c r="A2211" t="s">
        <v>192</v>
      </c>
      <c r="B2211" t="s">
        <v>170</v>
      </c>
      <c r="C2211" t="s">
        <v>139</v>
      </c>
      <c r="D2211">
        <v>2010</v>
      </c>
      <c r="E2211">
        <v>0</v>
      </c>
      <c r="F2211" t="s">
        <v>185</v>
      </c>
    </row>
    <row r="2212" spans="1:6" x14ac:dyDescent="0.25">
      <c r="A2212" t="s">
        <v>192</v>
      </c>
      <c r="B2212" t="s">
        <v>170</v>
      </c>
      <c r="C2212" t="s">
        <v>165</v>
      </c>
      <c r="D2212">
        <v>2014</v>
      </c>
      <c r="E2212">
        <v>0</v>
      </c>
      <c r="F2212" t="s">
        <v>185</v>
      </c>
    </row>
    <row r="2213" spans="1:6" x14ac:dyDescent="0.25">
      <c r="A2213" t="s">
        <v>192</v>
      </c>
      <c r="B2213" t="s">
        <v>170</v>
      </c>
      <c r="C2213" t="s">
        <v>165</v>
      </c>
      <c r="D2213">
        <v>2013</v>
      </c>
      <c r="E2213">
        <v>0</v>
      </c>
      <c r="F2213" t="s">
        <v>185</v>
      </c>
    </row>
    <row r="2214" spans="1:6" x14ac:dyDescent="0.25">
      <c r="A2214" t="s">
        <v>192</v>
      </c>
      <c r="B2214" t="s">
        <v>170</v>
      </c>
      <c r="C2214" t="s">
        <v>165</v>
      </c>
      <c r="D2214">
        <v>2012</v>
      </c>
      <c r="E2214">
        <v>0</v>
      </c>
      <c r="F2214" t="s">
        <v>185</v>
      </c>
    </row>
    <row r="2215" spans="1:6" x14ac:dyDescent="0.25">
      <c r="A2215" t="s">
        <v>192</v>
      </c>
      <c r="B2215" t="s">
        <v>170</v>
      </c>
      <c r="C2215" t="s">
        <v>165</v>
      </c>
      <c r="D2215">
        <v>2011</v>
      </c>
      <c r="E2215">
        <v>0</v>
      </c>
      <c r="F2215" t="s">
        <v>185</v>
      </c>
    </row>
    <row r="2216" spans="1:6" x14ac:dyDescent="0.25">
      <c r="A2216" t="s">
        <v>192</v>
      </c>
      <c r="B2216" t="s">
        <v>170</v>
      </c>
      <c r="C2216" t="s">
        <v>165</v>
      </c>
      <c r="D2216">
        <v>2010</v>
      </c>
      <c r="E2216">
        <v>0</v>
      </c>
      <c r="F2216" t="s">
        <v>185</v>
      </c>
    </row>
    <row r="2217" spans="1:6" x14ac:dyDescent="0.25">
      <c r="A2217" t="s">
        <v>192</v>
      </c>
      <c r="B2217" t="s">
        <v>170</v>
      </c>
      <c r="C2217" t="s">
        <v>140</v>
      </c>
      <c r="D2217">
        <v>2014</v>
      </c>
      <c r="E2217">
        <v>0</v>
      </c>
      <c r="F2217" t="s">
        <v>185</v>
      </c>
    </row>
    <row r="2218" spans="1:6" x14ac:dyDescent="0.25">
      <c r="A2218" t="s">
        <v>192</v>
      </c>
      <c r="B2218" t="s">
        <v>170</v>
      </c>
      <c r="C2218" t="s">
        <v>140</v>
      </c>
      <c r="D2218">
        <v>2013</v>
      </c>
      <c r="E2218">
        <v>0</v>
      </c>
      <c r="F2218" t="s">
        <v>185</v>
      </c>
    </row>
    <row r="2219" spans="1:6" x14ac:dyDescent="0.25">
      <c r="A2219" t="s">
        <v>192</v>
      </c>
      <c r="B2219" t="s">
        <v>170</v>
      </c>
      <c r="C2219" t="s">
        <v>140</v>
      </c>
      <c r="D2219">
        <v>2012</v>
      </c>
      <c r="E2219">
        <v>0</v>
      </c>
      <c r="F2219" t="s">
        <v>185</v>
      </c>
    </row>
    <row r="2220" spans="1:6" x14ac:dyDescent="0.25">
      <c r="A2220" t="s">
        <v>192</v>
      </c>
      <c r="B2220" t="s">
        <v>170</v>
      </c>
      <c r="C2220" t="s">
        <v>140</v>
      </c>
      <c r="D2220">
        <v>2011</v>
      </c>
      <c r="E2220">
        <v>0</v>
      </c>
      <c r="F2220" t="s">
        <v>185</v>
      </c>
    </row>
    <row r="2221" spans="1:6" x14ac:dyDescent="0.25">
      <c r="A2221" t="s">
        <v>192</v>
      </c>
      <c r="B2221" t="s">
        <v>170</v>
      </c>
      <c r="C2221" t="s">
        <v>140</v>
      </c>
      <c r="D2221">
        <v>2010</v>
      </c>
      <c r="E2221">
        <v>0</v>
      </c>
      <c r="F2221" t="s">
        <v>185</v>
      </c>
    </row>
    <row r="2222" spans="1:6" x14ac:dyDescent="0.25">
      <c r="A2222" t="s">
        <v>192</v>
      </c>
      <c r="B2222" t="s">
        <v>170</v>
      </c>
      <c r="C2222" t="s">
        <v>141</v>
      </c>
      <c r="D2222">
        <v>2014</v>
      </c>
      <c r="E2222">
        <v>0.27</v>
      </c>
      <c r="F2222" t="s">
        <v>185</v>
      </c>
    </row>
    <row r="2223" spans="1:6" x14ac:dyDescent="0.25">
      <c r="A2223" t="s">
        <v>192</v>
      </c>
      <c r="B2223" t="s">
        <v>170</v>
      </c>
      <c r="C2223" t="s">
        <v>141</v>
      </c>
      <c r="D2223">
        <v>2013</v>
      </c>
      <c r="E2223">
        <v>8.7999999999999995E-2</v>
      </c>
      <c r="F2223" t="s">
        <v>185</v>
      </c>
    </row>
    <row r="2224" spans="1:6" x14ac:dyDescent="0.25">
      <c r="A2224" t="s">
        <v>192</v>
      </c>
      <c r="B2224" t="s">
        <v>170</v>
      </c>
      <c r="C2224" t="s">
        <v>141</v>
      </c>
      <c r="D2224">
        <v>2012</v>
      </c>
      <c r="E2224">
        <v>0.151</v>
      </c>
      <c r="F2224" t="s">
        <v>185</v>
      </c>
    </row>
    <row r="2225" spans="1:6" x14ac:dyDescent="0.25">
      <c r="A2225" t="s">
        <v>192</v>
      </c>
      <c r="B2225" t="s">
        <v>170</v>
      </c>
      <c r="C2225" t="s">
        <v>141</v>
      </c>
      <c r="D2225">
        <v>2011</v>
      </c>
      <c r="E2225">
        <v>8.2000000000000003E-2</v>
      </c>
      <c r="F2225" t="s">
        <v>185</v>
      </c>
    </row>
    <row r="2226" spans="1:6" x14ac:dyDescent="0.25">
      <c r="A2226" t="s">
        <v>192</v>
      </c>
      <c r="B2226" t="s">
        <v>170</v>
      </c>
      <c r="C2226" t="s">
        <v>141</v>
      </c>
      <c r="D2226">
        <v>2010</v>
      </c>
      <c r="E2226">
        <v>7.6999999999999999E-2</v>
      </c>
      <c r="F2226" t="s">
        <v>185</v>
      </c>
    </row>
    <row r="2227" spans="1:6" x14ac:dyDescent="0.25">
      <c r="A2227" t="s">
        <v>192</v>
      </c>
      <c r="B2227" t="s">
        <v>170</v>
      </c>
      <c r="C2227" t="s">
        <v>142</v>
      </c>
      <c r="D2227">
        <v>2014</v>
      </c>
      <c r="E2227">
        <v>1.4E-2</v>
      </c>
      <c r="F2227" t="s">
        <v>185</v>
      </c>
    </row>
    <row r="2228" spans="1:6" x14ac:dyDescent="0.25">
      <c r="A2228" t="s">
        <v>192</v>
      </c>
      <c r="B2228" t="s">
        <v>170</v>
      </c>
      <c r="C2228" t="s">
        <v>142</v>
      </c>
      <c r="D2228">
        <v>2013</v>
      </c>
      <c r="E2228">
        <v>1.4999999999999999E-2</v>
      </c>
      <c r="F2228" t="s">
        <v>185</v>
      </c>
    </row>
    <row r="2229" spans="1:6" x14ac:dyDescent="0.25">
      <c r="A2229" t="s">
        <v>192</v>
      </c>
      <c r="B2229" t="s">
        <v>170</v>
      </c>
      <c r="C2229" t="s">
        <v>142</v>
      </c>
      <c r="D2229">
        <v>2012</v>
      </c>
      <c r="E2229">
        <v>1.4999999999999999E-2</v>
      </c>
      <c r="F2229" t="s">
        <v>185</v>
      </c>
    </row>
    <row r="2230" spans="1:6" x14ac:dyDescent="0.25">
      <c r="A2230" t="s">
        <v>192</v>
      </c>
      <c r="B2230" t="s">
        <v>170</v>
      </c>
      <c r="C2230" t="s">
        <v>142</v>
      </c>
      <c r="D2230">
        <v>2011</v>
      </c>
      <c r="E2230">
        <v>1.6E-2</v>
      </c>
      <c r="F2230" t="s">
        <v>185</v>
      </c>
    </row>
    <row r="2231" spans="1:6" x14ac:dyDescent="0.25">
      <c r="A2231" t="s">
        <v>192</v>
      </c>
      <c r="B2231" t="s">
        <v>170</v>
      </c>
      <c r="C2231" t="s">
        <v>142</v>
      </c>
      <c r="D2231">
        <v>2010</v>
      </c>
      <c r="E2231">
        <v>1.4999999999999999E-2</v>
      </c>
      <c r="F2231" t="s">
        <v>185</v>
      </c>
    </row>
    <row r="2232" spans="1:6" x14ac:dyDescent="0.25">
      <c r="A2232" t="s">
        <v>192</v>
      </c>
      <c r="B2232" t="s">
        <v>170</v>
      </c>
      <c r="C2232" t="s">
        <v>166</v>
      </c>
      <c r="D2232">
        <v>2014</v>
      </c>
      <c r="E2232">
        <v>0</v>
      </c>
      <c r="F2232" t="s">
        <v>185</v>
      </c>
    </row>
    <row r="2233" spans="1:6" x14ac:dyDescent="0.25">
      <c r="A2233" t="s">
        <v>192</v>
      </c>
      <c r="B2233" t="s">
        <v>170</v>
      </c>
      <c r="C2233" t="s">
        <v>166</v>
      </c>
      <c r="D2233">
        <v>2013</v>
      </c>
      <c r="E2233">
        <v>0</v>
      </c>
      <c r="F2233" t="s">
        <v>185</v>
      </c>
    </row>
    <row r="2234" spans="1:6" x14ac:dyDescent="0.25">
      <c r="A2234" t="s">
        <v>192</v>
      </c>
      <c r="B2234" t="s">
        <v>170</v>
      </c>
      <c r="C2234" t="s">
        <v>166</v>
      </c>
      <c r="D2234">
        <v>2012</v>
      </c>
      <c r="E2234">
        <v>0</v>
      </c>
      <c r="F2234" t="s">
        <v>185</v>
      </c>
    </row>
    <row r="2235" spans="1:6" x14ac:dyDescent="0.25">
      <c r="A2235" t="s">
        <v>192</v>
      </c>
      <c r="B2235" t="s">
        <v>170</v>
      </c>
      <c r="C2235" t="s">
        <v>166</v>
      </c>
      <c r="D2235">
        <v>2011</v>
      </c>
      <c r="E2235">
        <v>0</v>
      </c>
      <c r="F2235" t="s">
        <v>185</v>
      </c>
    </row>
    <row r="2236" spans="1:6" x14ac:dyDescent="0.25">
      <c r="A2236" t="s">
        <v>192</v>
      </c>
      <c r="B2236" t="s">
        <v>170</v>
      </c>
      <c r="C2236" t="s">
        <v>166</v>
      </c>
      <c r="D2236">
        <v>2010</v>
      </c>
      <c r="E2236">
        <v>0</v>
      </c>
      <c r="F2236" t="s">
        <v>185</v>
      </c>
    </row>
    <row r="2237" spans="1:6" x14ac:dyDescent="0.25">
      <c r="A2237" t="s">
        <v>192</v>
      </c>
      <c r="B2237" t="s">
        <v>170</v>
      </c>
      <c r="C2237" t="s">
        <v>143</v>
      </c>
      <c r="D2237">
        <v>2014</v>
      </c>
      <c r="E2237">
        <v>2E-3</v>
      </c>
      <c r="F2237" t="s">
        <v>185</v>
      </c>
    </row>
    <row r="2238" spans="1:6" x14ac:dyDescent="0.25">
      <c r="A2238" t="s">
        <v>192</v>
      </c>
      <c r="B2238" t="s">
        <v>170</v>
      </c>
      <c r="C2238" t="s">
        <v>143</v>
      </c>
      <c r="D2238">
        <v>2013</v>
      </c>
      <c r="E2238">
        <v>1.7000000000000001E-2</v>
      </c>
      <c r="F2238" t="s">
        <v>185</v>
      </c>
    </row>
    <row r="2239" spans="1:6" x14ac:dyDescent="0.25">
      <c r="A2239" t="s">
        <v>192</v>
      </c>
      <c r="B2239" t="s">
        <v>170</v>
      </c>
      <c r="C2239" t="s">
        <v>143</v>
      </c>
      <c r="D2239">
        <v>2012</v>
      </c>
      <c r="E2239">
        <v>3.6999999999999998E-2</v>
      </c>
      <c r="F2239" t="s">
        <v>185</v>
      </c>
    </row>
    <row r="2240" spans="1:6" x14ac:dyDescent="0.25">
      <c r="A2240" t="s">
        <v>192</v>
      </c>
      <c r="B2240" t="s">
        <v>170</v>
      </c>
      <c r="C2240" t="s">
        <v>143</v>
      </c>
      <c r="D2240">
        <v>2011</v>
      </c>
      <c r="E2240">
        <v>5.1999999999999998E-2</v>
      </c>
      <c r="F2240" t="s">
        <v>185</v>
      </c>
    </row>
    <row r="2241" spans="1:6" x14ac:dyDescent="0.25">
      <c r="A2241" t="s">
        <v>192</v>
      </c>
      <c r="B2241" t="s">
        <v>170</v>
      </c>
      <c r="C2241" t="s">
        <v>143</v>
      </c>
      <c r="D2241">
        <v>2010</v>
      </c>
      <c r="E2241">
        <v>0.02</v>
      </c>
      <c r="F2241" t="s">
        <v>185</v>
      </c>
    </row>
    <row r="2242" spans="1:6" x14ac:dyDescent="0.25">
      <c r="A2242" t="s">
        <v>192</v>
      </c>
      <c r="B2242" t="s">
        <v>170</v>
      </c>
      <c r="C2242" t="s">
        <v>144</v>
      </c>
      <c r="D2242">
        <v>2014</v>
      </c>
      <c r="E2242">
        <v>0</v>
      </c>
      <c r="F2242" t="s">
        <v>185</v>
      </c>
    </row>
    <row r="2243" spans="1:6" x14ac:dyDescent="0.25">
      <c r="A2243" t="s">
        <v>192</v>
      </c>
      <c r="B2243" t="s">
        <v>170</v>
      </c>
      <c r="C2243" t="s">
        <v>144</v>
      </c>
      <c r="D2243">
        <v>2013</v>
      </c>
      <c r="E2243">
        <v>0</v>
      </c>
      <c r="F2243" t="s">
        <v>185</v>
      </c>
    </row>
    <row r="2244" spans="1:6" x14ac:dyDescent="0.25">
      <c r="A2244" t="s">
        <v>192</v>
      </c>
      <c r="B2244" t="s">
        <v>170</v>
      </c>
      <c r="C2244" t="s">
        <v>144</v>
      </c>
      <c r="D2244">
        <v>2012</v>
      </c>
      <c r="E2244">
        <v>0</v>
      </c>
      <c r="F2244" t="s">
        <v>185</v>
      </c>
    </row>
    <row r="2245" spans="1:6" x14ac:dyDescent="0.25">
      <c r="A2245" t="s">
        <v>192</v>
      </c>
      <c r="B2245" t="s">
        <v>170</v>
      </c>
      <c r="C2245" t="s">
        <v>144</v>
      </c>
      <c r="D2245">
        <v>2011</v>
      </c>
      <c r="E2245">
        <v>0</v>
      </c>
      <c r="F2245" t="s">
        <v>185</v>
      </c>
    </row>
    <row r="2246" spans="1:6" x14ac:dyDescent="0.25">
      <c r="A2246" t="s">
        <v>192</v>
      </c>
      <c r="B2246" t="s">
        <v>170</v>
      </c>
      <c r="C2246" t="s">
        <v>144</v>
      </c>
      <c r="D2246">
        <v>2010</v>
      </c>
      <c r="E2246">
        <v>0</v>
      </c>
      <c r="F2246" t="s">
        <v>185</v>
      </c>
    </row>
    <row r="2247" spans="1:6" x14ac:dyDescent="0.25">
      <c r="A2247" t="s">
        <v>192</v>
      </c>
      <c r="B2247" t="s">
        <v>170</v>
      </c>
      <c r="C2247" t="s">
        <v>145</v>
      </c>
      <c r="D2247">
        <v>2014</v>
      </c>
      <c r="E2247">
        <v>0.19500000000000001</v>
      </c>
      <c r="F2247" t="s">
        <v>185</v>
      </c>
    </row>
    <row r="2248" spans="1:6" x14ac:dyDescent="0.25">
      <c r="A2248" t="s">
        <v>192</v>
      </c>
      <c r="B2248" t="s">
        <v>170</v>
      </c>
      <c r="C2248" t="s">
        <v>145</v>
      </c>
      <c r="D2248">
        <v>2013</v>
      </c>
      <c r="E2248">
        <v>0.35299999999999998</v>
      </c>
      <c r="F2248" t="s">
        <v>185</v>
      </c>
    </row>
    <row r="2249" spans="1:6" x14ac:dyDescent="0.25">
      <c r="A2249" t="s">
        <v>192</v>
      </c>
      <c r="B2249" t="s">
        <v>170</v>
      </c>
      <c r="C2249" t="s">
        <v>145</v>
      </c>
      <c r="D2249">
        <v>2012</v>
      </c>
      <c r="E2249">
        <v>0.26600000000000001</v>
      </c>
      <c r="F2249" t="s">
        <v>185</v>
      </c>
    </row>
    <row r="2250" spans="1:6" x14ac:dyDescent="0.25">
      <c r="A2250" t="s">
        <v>192</v>
      </c>
      <c r="B2250" t="s">
        <v>170</v>
      </c>
      <c r="C2250" t="s">
        <v>145</v>
      </c>
      <c r="D2250">
        <v>2011</v>
      </c>
      <c r="E2250">
        <v>0.42699999999999999</v>
      </c>
      <c r="F2250" t="s">
        <v>185</v>
      </c>
    </row>
    <row r="2251" spans="1:6" x14ac:dyDescent="0.25">
      <c r="A2251" t="s">
        <v>192</v>
      </c>
      <c r="B2251" t="s">
        <v>170</v>
      </c>
      <c r="C2251" t="s">
        <v>145</v>
      </c>
      <c r="D2251">
        <v>2010</v>
      </c>
      <c r="E2251">
        <v>0.46800000000000003</v>
      </c>
      <c r="F2251" t="s">
        <v>185</v>
      </c>
    </row>
    <row r="2252" spans="1:6" x14ac:dyDescent="0.25">
      <c r="A2252" t="s">
        <v>192</v>
      </c>
      <c r="B2252" t="s">
        <v>170</v>
      </c>
      <c r="C2252" t="s">
        <v>146</v>
      </c>
      <c r="D2252">
        <v>2014</v>
      </c>
      <c r="E2252">
        <v>0</v>
      </c>
      <c r="F2252" t="s">
        <v>185</v>
      </c>
    </row>
    <row r="2253" spans="1:6" x14ac:dyDescent="0.25">
      <c r="A2253" t="s">
        <v>192</v>
      </c>
      <c r="B2253" t="s">
        <v>170</v>
      </c>
      <c r="C2253" t="s">
        <v>146</v>
      </c>
      <c r="D2253">
        <v>2013</v>
      </c>
      <c r="E2253">
        <v>0</v>
      </c>
      <c r="F2253" t="s">
        <v>185</v>
      </c>
    </row>
    <row r="2254" spans="1:6" x14ac:dyDescent="0.25">
      <c r="A2254" t="s">
        <v>192</v>
      </c>
      <c r="B2254" t="s">
        <v>170</v>
      </c>
      <c r="C2254" t="s">
        <v>146</v>
      </c>
      <c r="D2254">
        <v>2012</v>
      </c>
      <c r="E2254">
        <v>0</v>
      </c>
      <c r="F2254" t="s">
        <v>185</v>
      </c>
    </row>
    <row r="2255" spans="1:6" x14ac:dyDescent="0.25">
      <c r="A2255" t="s">
        <v>192</v>
      </c>
      <c r="B2255" t="s">
        <v>170</v>
      </c>
      <c r="C2255" t="s">
        <v>146</v>
      </c>
      <c r="D2255">
        <v>2011</v>
      </c>
      <c r="E2255">
        <v>0</v>
      </c>
      <c r="F2255" t="s">
        <v>185</v>
      </c>
    </row>
    <row r="2256" spans="1:6" x14ac:dyDescent="0.25">
      <c r="A2256" t="s">
        <v>192</v>
      </c>
      <c r="B2256" t="s">
        <v>170</v>
      </c>
      <c r="C2256" t="s">
        <v>146</v>
      </c>
      <c r="D2256">
        <v>2010</v>
      </c>
      <c r="E2256">
        <v>0</v>
      </c>
      <c r="F2256" t="s">
        <v>185</v>
      </c>
    </row>
    <row r="2257" spans="1:6" x14ac:dyDescent="0.25">
      <c r="A2257" t="s">
        <v>192</v>
      </c>
      <c r="B2257" t="s">
        <v>170</v>
      </c>
      <c r="C2257" t="s">
        <v>147</v>
      </c>
      <c r="D2257">
        <v>2014</v>
      </c>
      <c r="E2257">
        <v>0</v>
      </c>
      <c r="F2257" t="s">
        <v>185</v>
      </c>
    </row>
    <row r="2258" spans="1:6" x14ac:dyDescent="0.25">
      <c r="A2258" t="s">
        <v>192</v>
      </c>
      <c r="B2258" t="s">
        <v>170</v>
      </c>
      <c r="C2258" t="s">
        <v>147</v>
      </c>
      <c r="D2258">
        <v>2013</v>
      </c>
      <c r="E2258">
        <v>0</v>
      </c>
      <c r="F2258" t="s">
        <v>185</v>
      </c>
    </row>
    <row r="2259" spans="1:6" x14ac:dyDescent="0.25">
      <c r="A2259" t="s">
        <v>192</v>
      </c>
      <c r="B2259" t="s">
        <v>170</v>
      </c>
      <c r="C2259" t="s">
        <v>147</v>
      </c>
      <c r="D2259">
        <v>2012</v>
      </c>
      <c r="E2259">
        <v>0</v>
      </c>
      <c r="F2259" t="s">
        <v>185</v>
      </c>
    </row>
    <row r="2260" spans="1:6" x14ac:dyDescent="0.25">
      <c r="A2260" t="s">
        <v>192</v>
      </c>
      <c r="B2260" t="s">
        <v>170</v>
      </c>
      <c r="C2260" t="s">
        <v>147</v>
      </c>
      <c r="D2260">
        <v>2011</v>
      </c>
      <c r="E2260">
        <v>4.8000000000000001E-2</v>
      </c>
      <c r="F2260" t="s">
        <v>185</v>
      </c>
    </row>
    <row r="2261" spans="1:6" x14ac:dyDescent="0.25">
      <c r="A2261" t="s">
        <v>192</v>
      </c>
      <c r="B2261" t="s">
        <v>170</v>
      </c>
      <c r="C2261" t="s">
        <v>147</v>
      </c>
      <c r="D2261">
        <v>2010</v>
      </c>
      <c r="E2261">
        <v>0.03</v>
      </c>
      <c r="F2261" t="s">
        <v>185</v>
      </c>
    </row>
    <row r="2262" spans="1:6" x14ac:dyDescent="0.25">
      <c r="A2262" t="s">
        <v>192</v>
      </c>
      <c r="B2262" t="s">
        <v>170</v>
      </c>
      <c r="C2262" t="s">
        <v>167</v>
      </c>
      <c r="D2262">
        <v>2014</v>
      </c>
      <c r="E2262">
        <v>0</v>
      </c>
      <c r="F2262" t="s">
        <v>185</v>
      </c>
    </row>
    <row r="2263" spans="1:6" x14ac:dyDescent="0.25">
      <c r="A2263" t="s">
        <v>192</v>
      </c>
      <c r="B2263" t="s">
        <v>170</v>
      </c>
      <c r="C2263" t="s">
        <v>167</v>
      </c>
      <c r="D2263">
        <v>2013</v>
      </c>
      <c r="E2263">
        <v>0</v>
      </c>
      <c r="F2263" t="s">
        <v>185</v>
      </c>
    </row>
    <row r="2264" spans="1:6" x14ac:dyDescent="0.25">
      <c r="A2264" t="s">
        <v>192</v>
      </c>
      <c r="B2264" t="s">
        <v>170</v>
      </c>
      <c r="C2264" t="s">
        <v>167</v>
      </c>
      <c r="D2264">
        <v>2012</v>
      </c>
      <c r="E2264">
        <v>0</v>
      </c>
      <c r="F2264" t="s">
        <v>185</v>
      </c>
    </row>
    <row r="2265" spans="1:6" x14ac:dyDescent="0.25">
      <c r="A2265" t="s">
        <v>192</v>
      </c>
      <c r="B2265" t="s">
        <v>170</v>
      </c>
      <c r="C2265" t="s">
        <v>167</v>
      </c>
      <c r="D2265">
        <v>2011</v>
      </c>
      <c r="E2265">
        <v>0</v>
      </c>
      <c r="F2265" t="s">
        <v>185</v>
      </c>
    </row>
    <row r="2266" spans="1:6" x14ac:dyDescent="0.25">
      <c r="A2266" t="s">
        <v>192</v>
      </c>
      <c r="B2266" t="s">
        <v>170</v>
      </c>
      <c r="C2266" t="s">
        <v>167</v>
      </c>
      <c r="D2266">
        <v>2010</v>
      </c>
      <c r="E2266">
        <v>0</v>
      </c>
      <c r="F2266" t="s">
        <v>185</v>
      </c>
    </row>
    <row r="2267" spans="1:6" x14ac:dyDescent="0.25">
      <c r="A2267" t="s">
        <v>192</v>
      </c>
      <c r="B2267" t="s">
        <v>170</v>
      </c>
      <c r="C2267" t="s">
        <v>168</v>
      </c>
      <c r="D2267">
        <v>2014</v>
      </c>
      <c r="E2267">
        <v>0</v>
      </c>
      <c r="F2267" t="s">
        <v>185</v>
      </c>
    </row>
    <row r="2268" spans="1:6" x14ac:dyDescent="0.25">
      <c r="A2268" t="s">
        <v>192</v>
      </c>
      <c r="B2268" t="s">
        <v>170</v>
      </c>
      <c r="C2268" t="s">
        <v>168</v>
      </c>
      <c r="D2268">
        <v>2013</v>
      </c>
      <c r="E2268">
        <v>0</v>
      </c>
      <c r="F2268" t="s">
        <v>185</v>
      </c>
    </row>
    <row r="2269" spans="1:6" x14ac:dyDescent="0.25">
      <c r="A2269" t="s">
        <v>192</v>
      </c>
      <c r="B2269" t="s">
        <v>170</v>
      </c>
      <c r="C2269" t="s">
        <v>168</v>
      </c>
      <c r="D2269">
        <v>2012</v>
      </c>
      <c r="E2269">
        <v>0</v>
      </c>
      <c r="F2269" t="s">
        <v>185</v>
      </c>
    </row>
    <row r="2270" spans="1:6" x14ac:dyDescent="0.25">
      <c r="A2270" t="s">
        <v>192</v>
      </c>
      <c r="B2270" t="s">
        <v>170</v>
      </c>
      <c r="C2270" t="s">
        <v>168</v>
      </c>
      <c r="D2270">
        <v>2011</v>
      </c>
      <c r="E2270">
        <v>0</v>
      </c>
      <c r="F2270" t="s">
        <v>185</v>
      </c>
    </row>
    <row r="2271" spans="1:6" x14ac:dyDescent="0.25">
      <c r="A2271" t="s">
        <v>192</v>
      </c>
      <c r="B2271" t="s">
        <v>170</v>
      </c>
      <c r="C2271" t="s">
        <v>168</v>
      </c>
      <c r="D2271">
        <v>2010</v>
      </c>
      <c r="E2271">
        <v>0</v>
      </c>
      <c r="F2271" t="s">
        <v>185</v>
      </c>
    </row>
    <row r="2272" spans="1:6" x14ac:dyDescent="0.25">
      <c r="A2272" t="s">
        <v>192</v>
      </c>
      <c r="B2272" t="s">
        <v>170</v>
      </c>
      <c r="C2272" t="s">
        <v>148</v>
      </c>
      <c r="D2272">
        <v>2014</v>
      </c>
      <c r="E2272">
        <v>0</v>
      </c>
      <c r="F2272" t="s">
        <v>185</v>
      </c>
    </row>
    <row r="2273" spans="1:6" x14ac:dyDescent="0.25">
      <c r="A2273" t="s">
        <v>192</v>
      </c>
      <c r="B2273" t="s">
        <v>170</v>
      </c>
      <c r="C2273" t="s">
        <v>148</v>
      </c>
      <c r="D2273">
        <v>2013</v>
      </c>
      <c r="E2273">
        <v>0</v>
      </c>
      <c r="F2273" t="s">
        <v>185</v>
      </c>
    </row>
    <row r="2274" spans="1:6" x14ac:dyDescent="0.25">
      <c r="A2274" t="s">
        <v>192</v>
      </c>
      <c r="B2274" t="s">
        <v>170</v>
      </c>
      <c r="C2274" t="s">
        <v>148</v>
      </c>
      <c r="D2274">
        <v>2012</v>
      </c>
      <c r="E2274">
        <v>0</v>
      </c>
      <c r="F2274" t="s">
        <v>185</v>
      </c>
    </row>
    <row r="2275" spans="1:6" x14ac:dyDescent="0.25">
      <c r="A2275" t="s">
        <v>192</v>
      </c>
      <c r="B2275" t="s">
        <v>170</v>
      </c>
      <c r="C2275" t="s">
        <v>148</v>
      </c>
      <c r="D2275">
        <v>2011</v>
      </c>
      <c r="E2275">
        <v>0</v>
      </c>
      <c r="F2275" t="s">
        <v>185</v>
      </c>
    </row>
    <row r="2276" spans="1:6" x14ac:dyDescent="0.25">
      <c r="A2276" t="s">
        <v>192</v>
      </c>
      <c r="B2276" t="s">
        <v>170</v>
      </c>
      <c r="C2276" t="s">
        <v>148</v>
      </c>
      <c r="D2276">
        <v>2010</v>
      </c>
      <c r="E2276">
        <v>0</v>
      </c>
      <c r="F2276" t="s">
        <v>185</v>
      </c>
    </row>
    <row r="2277" spans="1:6" x14ac:dyDescent="0.25">
      <c r="A2277" t="s">
        <v>192</v>
      </c>
      <c r="B2277" t="s">
        <v>170</v>
      </c>
      <c r="C2277" t="s">
        <v>149</v>
      </c>
      <c r="D2277">
        <v>2014</v>
      </c>
      <c r="E2277">
        <v>0</v>
      </c>
      <c r="F2277" t="s">
        <v>185</v>
      </c>
    </row>
    <row r="2278" spans="1:6" x14ac:dyDescent="0.25">
      <c r="A2278" t="s">
        <v>192</v>
      </c>
      <c r="B2278" t="s">
        <v>170</v>
      </c>
      <c r="C2278" t="s">
        <v>149</v>
      </c>
      <c r="D2278">
        <v>2013</v>
      </c>
      <c r="E2278">
        <v>0</v>
      </c>
      <c r="F2278" t="s">
        <v>185</v>
      </c>
    </row>
    <row r="2279" spans="1:6" x14ac:dyDescent="0.25">
      <c r="A2279" t="s">
        <v>192</v>
      </c>
      <c r="B2279" t="s">
        <v>170</v>
      </c>
      <c r="C2279" t="s">
        <v>149</v>
      </c>
      <c r="D2279">
        <v>2012</v>
      </c>
      <c r="E2279">
        <v>0</v>
      </c>
      <c r="F2279" t="s">
        <v>185</v>
      </c>
    </row>
    <row r="2280" spans="1:6" x14ac:dyDescent="0.25">
      <c r="A2280" t="s">
        <v>192</v>
      </c>
      <c r="B2280" t="s">
        <v>170</v>
      </c>
      <c r="C2280" t="s">
        <v>149</v>
      </c>
      <c r="D2280">
        <v>2011</v>
      </c>
      <c r="E2280">
        <v>0</v>
      </c>
      <c r="F2280" t="s">
        <v>185</v>
      </c>
    </row>
    <row r="2281" spans="1:6" x14ac:dyDescent="0.25">
      <c r="A2281" t="s">
        <v>192</v>
      </c>
      <c r="B2281" t="s">
        <v>170</v>
      </c>
      <c r="C2281" t="s">
        <v>149</v>
      </c>
      <c r="D2281">
        <v>2010</v>
      </c>
      <c r="E2281">
        <v>0</v>
      </c>
      <c r="F2281" t="s">
        <v>185</v>
      </c>
    </row>
    <row r="2282" spans="1:6" x14ac:dyDescent="0.25">
      <c r="A2282" t="s">
        <v>192</v>
      </c>
      <c r="B2282" t="s">
        <v>170</v>
      </c>
      <c r="C2282" t="s">
        <v>121</v>
      </c>
      <c r="D2282">
        <v>2014</v>
      </c>
      <c r="E2282">
        <v>0</v>
      </c>
      <c r="F2282" t="s">
        <v>181</v>
      </c>
    </row>
    <row r="2283" spans="1:6" x14ac:dyDescent="0.25">
      <c r="A2283" t="s">
        <v>192</v>
      </c>
      <c r="B2283" t="s">
        <v>170</v>
      </c>
      <c r="C2283" t="s">
        <v>121</v>
      </c>
      <c r="D2283">
        <v>2013</v>
      </c>
      <c r="E2283">
        <v>0</v>
      </c>
      <c r="F2283" t="s">
        <v>181</v>
      </c>
    </row>
    <row r="2284" spans="1:6" x14ac:dyDescent="0.25">
      <c r="A2284" t="s">
        <v>192</v>
      </c>
      <c r="B2284" t="s">
        <v>170</v>
      </c>
      <c r="C2284" t="s">
        <v>121</v>
      </c>
      <c r="D2284">
        <v>2012</v>
      </c>
      <c r="E2284">
        <v>0</v>
      </c>
      <c r="F2284" t="s">
        <v>181</v>
      </c>
    </row>
    <row r="2285" spans="1:6" x14ac:dyDescent="0.25">
      <c r="A2285" t="s">
        <v>192</v>
      </c>
      <c r="B2285" t="s">
        <v>170</v>
      </c>
      <c r="C2285" t="s">
        <v>121</v>
      </c>
      <c r="D2285">
        <v>2011</v>
      </c>
      <c r="E2285">
        <v>0</v>
      </c>
      <c r="F2285" t="s">
        <v>181</v>
      </c>
    </row>
    <row r="2286" spans="1:6" x14ac:dyDescent="0.25">
      <c r="A2286" t="s">
        <v>192</v>
      </c>
      <c r="B2286" t="s">
        <v>170</v>
      </c>
      <c r="C2286" t="s">
        <v>121</v>
      </c>
      <c r="D2286">
        <v>2010</v>
      </c>
      <c r="E2286">
        <v>0</v>
      </c>
      <c r="F2286" t="s">
        <v>181</v>
      </c>
    </row>
    <row r="2287" spans="1:6" x14ac:dyDescent="0.25">
      <c r="A2287" t="s">
        <v>192</v>
      </c>
      <c r="B2287" t="s">
        <v>170</v>
      </c>
      <c r="C2287" t="s">
        <v>122</v>
      </c>
      <c r="D2287">
        <v>2014</v>
      </c>
      <c r="E2287">
        <v>0.83099999999999996</v>
      </c>
      <c r="F2287" t="s">
        <v>181</v>
      </c>
    </row>
    <row r="2288" spans="1:6" x14ac:dyDescent="0.25">
      <c r="A2288" t="s">
        <v>192</v>
      </c>
      <c r="B2288" t="s">
        <v>170</v>
      </c>
      <c r="C2288" t="s">
        <v>122</v>
      </c>
      <c r="D2288">
        <v>2013</v>
      </c>
      <c r="E2288">
        <v>0.82499999999999996</v>
      </c>
      <c r="F2288" t="s">
        <v>181</v>
      </c>
    </row>
    <row r="2289" spans="1:6" x14ac:dyDescent="0.25">
      <c r="A2289" t="s">
        <v>192</v>
      </c>
      <c r="B2289" t="s">
        <v>170</v>
      </c>
      <c r="C2289" t="s">
        <v>122</v>
      </c>
      <c r="D2289">
        <v>2012</v>
      </c>
      <c r="E2289">
        <v>0.85299999999999998</v>
      </c>
      <c r="F2289" t="s">
        <v>181</v>
      </c>
    </row>
    <row r="2290" spans="1:6" x14ac:dyDescent="0.25">
      <c r="A2290" t="s">
        <v>192</v>
      </c>
      <c r="B2290" t="s">
        <v>170</v>
      </c>
      <c r="C2290" t="s">
        <v>122</v>
      </c>
      <c r="D2290">
        <v>2011</v>
      </c>
      <c r="E2290">
        <v>0.77500000000000002</v>
      </c>
      <c r="F2290" t="s">
        <v>181</v>
      </c>
    </row>
    <row r="2291" spans="1:6" x14ac:dyDescent="0.25">
      <c r="A2291" t="s">
        <v>192</v>
      </c>
      <c r="B2291" t="s">
        <v>170</v>
      </c>
      <c r="C2291" t="s">
        <v>122</v>
      </c>
      <c r="D2291">
        <v>2010</v>
      </c>
      <c r="E2291">
        <v>0.71199999999999997</v>
      </c>
      <c r="F2291" t="s">
        <v>181</v>
      </c>
    </row>
    <row r="2292" spans="1:6" x14ac:dyDescent="0.25">
      <c r="A2292" t="s">
        <v>192</v>
      </c>
      <c r="B2292" t="s">
        <v>170</v>
      </c>
      <c r="C2292" t="s">
        <v>123</v>
      </c>
      <c r="D2292">
        <v>2014</v>
      </c>
      <c r="E2292">
        <v>0.17199999999999999</v>
      </c>
      <c r="F2292" t="s">
        <v>181</v>
      </c>
    </row>
    <row r="2293" spans="1:6" x14ac:dyDescent="0.25">
      <c r="A2293" t="s">
        <v>192</v>
      </c>
      <c r="B2293" t="s">
        <v>170</v>
      </c>
      <c r="C2293" t="s">
        <v>123</v>
      </c>
      <c r="D2293">
        <v>2013</v>
      </c>
      <c r="E2293">
        <v>0.17699999999999999</v>
      </c>
      <c r="F2293" t="s">
        <v>181</v>
      </c>
    </row>
    <row r="2294" spans="1:6" x14ac:dyDescent="0.25">
      <c r="A2294" t="s">
        <v>192</v>
      </c>
      <c r="B2294" t="s">
        <v>170</v>
      </c>
      <c r="C2294" t="s">
        <v>123</v>
      </c>
      <c r="D2294">
        <v>2012</v>
      </c>
      <c r="E2294">
        <v>0.17699999999999999</v>
      </c>
      <c r="F2294" t="s">
        <v>181</v>
      </c>
    </row>
    <row r="2295" spans="1:6" x14ac:dyDescent="0.25">
      <c r="A2295" t="s">
        <v>192</v>
      </c>
      <c r="B2295" t="s">
        <v>170</v>
      </c>
      <c r="C2295" t="s">
        <v>123</v>
      </c>
      <c r="D2295">
        <v>2011</v>
      </c>
      <c r="E2295">
        <v>0</v>
      </c>
      <c r="F2295" t="s">
        <v>181</v>
      </c>
    </row>
    <row r="2296" spans="1:6" x14ac:dyDescent="0.25">
      <c r="A2296" t="s">
        <v>192</v>
      </c>
      <c r="B2296" t="s">
        <v>170</v>
      </c>
      <c r="C2296" t="s">
        <v>123</v>
      </c>
      <c r="D2296">
        <v>2010</v>
      </c>
      <c r="E2296">
        <v>0</v>
      </c>
      <c r="F2296" t="s">
        <v>181</v>
      </c>
    </row>
    <row r="2297" spans="1:6" x14ac:dyDescent="0.25">
      <c r="A2297" t="s">
        <v>192</v>
      </c>
      <c r="B2297" t="s">
        <v>170</v>
      </c>
      <c r="C2297" t="s">
        <v>124</v>
      </c>
      <c r="D2297">
        <v>2014</v>
      </c>
      <c r="E2297">
        <v>0</v>
      </c>
      <c r="F2297" t="s">
        <v>181</v>
      </c>
    </row>
    <row r="2298" spans="1:6" x14ac:dyDescent="0.25">
      <c r="A2298" t="s">
        <v>192</v>
      </c>
      <c r="B2298" t="s">
        <v>170</v>
      </c>
      <c r="C2298" t="s">
        <v>124</v>
      </c>
      <c r="D2298">
        <v>2013</v>
      </c>
      <c r="E2298">
        <v>0</v>
      </c>
      <c r="F2298" t="s">
        <v>181</v>
      </c>
    </row>
    <row r="2299" spans="1:6" x14ac:dyDescent="0.25">
      <c r="A2299" t="s">
        <v>192</v>
      </c>
      <c r="B2299" t="s">
        <v>170</v>
      </c>
      <c r="C2299" t="s">
        <v>124</v>
      </c>
      <c r="D2299">
        <v>2012</v>
      </c>
      <c r="E2299">
        <v>0</v>
      </c>
      <c r="F2299" t="s">
        <v>181</v>
      </c>
    </row>
    <row r="2300" spans="1:6" x14ac:dyDescent="0.25">
      <c r="A2300" t="s">
        <v>192</v>
      </c>
      <c r="B2300" t="s">
        <v>170</v>
      </c>
      <c r="C2300" t="s">
        <v>124</v>
      </c>
      <c r="D2300">
        <v>2011</v>
      </c>
      <c r="E2300">
        <v>0</v>
      </c>
      <c r="F2300" t="s">
        <v>181</v>
      </c>
    </row>
    <row r="2301" spans="1:6" x14ac:dyDescent="0.25">
      <c r="A2301" t="s">
        <v>192</v>
      </c>
      <c r="B2301" t="s">
        <v>170</v>
      </c>
      <c r="C2301" t="s">
        <v>124</v>
      </c>
      <c r="D2301">
        <v>2010</v>
      </c>
      <c r="E2301">
        <v>0</v>
      </c>
      <c r="F2301" t="s">
        <v>181</v>
      </c>
    </row>
    <row r="2302" spans="1:6" x14ac:dyDescent="0.25">
      <c r="A2302" t="s">
        <v>192</v>
      </c>
      <c r="B2302" t="s">
        <v>170</v>
      </c>
      <c r="C2302" t="s">
        <v>160</v>
      </c>
      <c r="D2302">
        <v>2014</v>
      </c>
      <c r="E2302">
        <v>0</v>
      </c>
      <c r="F2302" t="s">
        <v>181</v>
      </c>
    </row>
    <row r="2303" spans="1:6" x14ac:dyDescent="0.25">
      <c r="A2303" t="s">
        <v>192</v>
      </c>
      <c r="B2303" t="s">
        <v>170</v>
      </c>
      <c r="C2303" t="s">
        <v>160</v>
      </c>
      <c r="D2303">
        <v>2013</v>
      </c>
      <c r="E2303">
        <v>0</v>
      </c>
      <c r="F2303" t="s">
        <v>181</v>
      </c>
    </row>
    <row r="2304" spans="1:6" x14ac:dyDescent="0.25">
      <c r="A2304" t="s">
        <v>192</v>
      </c>
      <c r="B2304" t="s">
        <v>170</v>
      </c>
      <c r="C2304" t="s">
        <v>160</v>
      </c>
      <c r="D2304">
        <v>2012</v>
      </c>
      <c r="E2304">
        <v>0</v>
      </c>
      <c r="F2304" t="s">
        <v>181</v>
      </c>
    </row>
    <row r="2305" spans="1:6" x14ac:dyDescent="0.25">
      <c r="A2305" t="s">
        <v>192</v>
      </c>
      <c r="B2305" t="s">
        <v>170</v>
      </c>
      <c r="C2305" t="s">
        <v>160</v>
      </c>
      <c r="D2305">
        <v>2011</v>
      </c>
      <c r="E2305">
        <v>0</v>
      </c>
      <c r="F2305" t="s">
        <v>181</v>
      </c>
    </row>
    <row r="2306" spans="1:6" x14ac:dyDescent="0.25">
      <c r="A2306" t="s">
        <v>192</v>
      </c>
      <c r="B2306" t="s">
        <v>170</v>
      </c>
      <c r="C2306" t="s">
        <v>160</v>
      </c>
      <c r="D2306">
        <v>2010</v>
      </c>
      <c r="E2306">
        <v>0</v>
      </c>
      <c r="F2306" t="s">
        <v>181</v>
      </c>
    </row>
    <row r="2307" spans="1:6" x14ac:dyDescent="0.25">
      <c r="A2307" t="s">
        <v>192</v>
      </c>
      <c r="B2307" t="s">
        <v>170</v>
      </c>
      <c r="C2307" t="s">
        <v>125</v>
      </c>
      <c r="D2307">
        <v>2014</v>
      </c>
      <c r="E2307">
        <v>0</v>
      </c>
      <c r="F2307" t="s">
        <v>181</v>
      </c>
    </row>
    <row r="2308" spans="1:6" x14ac:dyDescent="0.25">
      <c r="A2308" t="s">
        <v>192</v>
      </c>
      <c r="B2308" t="s">
        <v>170</v>
      </c>
      <c r="C2308" t="s">
        <v>125</v>
      </c>
      <c r="D2308">
        <v>2013</v>
      </c>
      <c r="E2308">
        <v>0</v>
      </c>
      <c r="F2308" t="s">
        <v>181</v>
      </c>
    </row>
    <row r="2309" spans="1:6" x14ac:dyDescent="0.25">
      <c r="A2309" t="s">
        <v>192</v>
      </c>
      <c r="B2309" t="s">
        <v>170</v>
      </c>
      <c r="C2309" t="s">
        <v>125</v>
      </c>
      <c r="D2309">
        <v>2012</v>
      </c>
      <c r="E2309">
        <v>0</v>
      </c>
      <c r="F2309" t="s">
        <v>181</v>
      </c>
    </row>
    <row r="2310" spans="1:6" x14ac:dyDescent="0.25">
      <c r="A2310" t="s">
        <v>192</v>
      </c>
      <c r="B2310" t="s">
        <v>170</v>
      </c>
      <c r="C2310" t="s">
        <v>125</v>
      </c>
      <c r="D2310">
        <v>2011</v>
      </c>
      <c r="E2310">
        <v>0</v>
      </c>
      <c r="F2310" t="s">
        <v>181</v>
      </c>
    </row>
    <row r="2311" spans="1:6" x14ac:dyDescent="0.25">
      <c r="A2311" t="s">
        <v>192</v>
      </c>
      <c r="B2311" t="s">
        <v>170</v>
      </c>
      <c r="C2311" t="s">
        <v>125</v>
      </c>
      <c r="D2311">
        <v>2010</v>
      </c>
      <c r="E2311">
        <v>0</v>
      </c>
      <c r="F2311" t="s">
        <v>181</v>
      </c>
    </row>
    <row r="2312" spans="1:6" x14ac:dyDescent="0.25">
      <c r="A2312" t="s">
        <v>192</v>
      </c>
      <c r="B2312" t="s">
        <v>170</v>
      </c>
      <c r="C2312" t="s">
        <v>126</v>
      </c>
      <c r="D2312">
        <v>2014</v>
      </c>
      <c r="E2312">
        <v>17.109000000000002</v>
      </c>
      <c r="F2312" t="s">
        <v>181</v>
      </c>
    </row>
    <row r="2313" spans="1:6" x14ac:dyDescent="0.25">
      <c r="A2313" t="s">
        <v>192</v>
      </c>
      <c r="B2313" t="s">
        <v>170</v>
      </c>
      <c r="C2313" t="s">
        <v>126</v>
      </c>
      <c r="D2313">
        <v>2013</v>
      </c>
      <c r="E2313">
        <v>18.574999999999999</v>
      </c>
      <c r="F2313" t="s">
        <v>181</v>
      </c>
    </row>
    <row r="2314" spans="1:6" x14ac:dyDescent="0.25">
      <c r="A2314" t="s">
        <v>192</v>
      </c>
      <c r="B2314" t="s">
        <v>170</v>
      </c>
      <c r="C2314" t="s">
        <v>126</v>
      </c>
      <c r="D2314">
        <v>2012</v>
      </c>
      <c r="E2314">
        <v>21.402999999999999</v>
      </c>
      <c r="F2314" t="s">
        <v>181</v>
      </c>
    </row>
    <row r="2315" spans="1:6" x14ac:dyDescent="0.25">
      <c r="A2315" t="s">
        <v>192</v>
      </c>
      <c r="B2315" t="s">
        <v>170</v>
      </c>
      <c r="C2315" t="s">
        <v>126</v>
      </c>
      <c r="D2315">
        <v>2011</v>
      </c>
      <c r="E2315">
        <v>19.082999999999998</v>
      </c>
      <c r="F2315" t="s">
        <v>181</v>
      </c>
    </row>
    <row r="2316" spans="1:6" x14ac:dyDescent="0.25">
      <c r="A2316" t="s">
        <v>192</v>
      </c>
      <c r="B2316" t="s">
        <v>170</v>
      </c>
      <c r="C2316" t="s">
        <v>126</v>
      </c>
      <c r="D2316">
        <v>2010</v>
      </c>
      <c r="E2316">
        <v>16.995999999999999</v>
      </c>
      <c r="F2316" t="s">
        <v>181</v>
      </c>
    </row>
    <row r="2317" spans="1:6" x14ac:dyDescent="0.25">
      <c r="A2317" t="s">
        <v>192</v>
      </c>
      <c r="B2317" t="s">
        <v>170</v>
      </c>
      <c r="C2317" t="s">
        <v>127</v>
      </c>
      <c r="D2317">
        <v>2014</v>
      </c>
      <c r="E2317">
        <v>1.653</v>
      </c>
      <c r="F2317" t="s">
        <v>181</v>
      </c>
    </row>
    <row r="2318" spans="1:6" x14ac:dyDescent="0.25">
      <c r="A2318" t="s">
        <v>192</v>
      </c>
      <c r="B2318" t="s">
        <v>170</v>
      </c>
      <c r="C2318" t="s">
        <v>127</v>
      </c>
      <c r="D2318">
        <v>2013</v>
      </c>
      <c r="E2318">
        <v>1.7509999999999999</v>
      </c>
      <c r="F2318" t="s">
        <v>181</v>
      </c>
    </row>
    <row r="2319" spans="1:6" x14ac:dyDescent="0.25">
      <c r="A2319" t="s">
        <v>192</v>
      </c>
      <c r="B2319" t="s">
        <v>170</v>
      </c>
      <c r="C2319" t="s">
        <v>127</v>
      </c>
      <c r="D2319">
        <v>2012</v>
      </c>
      <c r="E2319">
        <v>1.6859999999999999</v>
      </c>
      <c r="F2319" t="s">
        <v>181</v>
      </c>
    </row>
    <row r="2320" spans="1:6" x14ac:dyDescent="0.25">
      <c r="A2320" t="s">
        <v>192</v>
      </c>
      <c r="B2320" t="s">
        <v>170</v>
      </c>
      <c r="C2320" t="s">
        <v>127</v>
      </c>
      <c r="D2320">
        <v>2011</v>
      </c>
      <c r="E2320">
        <v>1.92</v>
      </c>
      <c r="F2320" t="s">
        <v>181</v>
      </c>
    </row>
    <row r="2321" spans="1:6" x14ac:dyDescent="0.25">
      <c r="A2321" t="s">
        <v>192</v>
      </c>
      <c r="B2321" t="s">
        <v>170</v>
      </c>
      <c r="C2321" t="s">
        <v>127</v>
      </c>
      <c r="D2321">
        <v>2010</v>
      </c>
      <c r="E2321">
        <v>1.85</v>
      </c>
      <c r="F2321" t="s">
        <v>181</v>
      </c>
    </row>
    <row r="2322" spans="1:6" x14ac:dyDescent="0.25">
      <c r="A2322" t="s">
        <v>192</v>
      </c>
      <c r="B2322" t="s">
        <v>170</v>
      </c>
      <c r="C2322" t="s">
        <v>128</v>
      </c>
      <c r="D2322">
        <v>2014</v>
      </c>
      <c r="E2322">
        <v>0</v>
      </c>
      <c r="F2322" t="s">
        <v>181</v>
      </c>
    </row>
    <row r="2323" spans="1:6" x14ac:dyDescent="0.25">
      <c r="A2323" t="s">
        <v>192</v>
      </c>
      <c r="B2323" t="s">
        <v>170</v>
      </c>
      <c r="C2323" t="s">
        <v>128</v>
      </c>
      <c r="D2323">
        <v>2013</v>
      </c>
      <c r="E2323">
        <v>0</v>
      </c>
      <c r="F2323" t="s">
        <v>181</v>
      </c>
    </row>
    <row r="2324" spans="1:6" x14ac:dyDescent="0.25">
      <c r="A2324" t="s">
        <v>192</v>
      </c>
      <c r="B2324" t="s">
        <v>170</v>
      </c>
      <c r="C2324" t="s">
        <v>128</v>
      </c>
      <c r="D2324">
        <v>2012</v>
      </c>
      <c r="E2324">
        <v>0</v>
      </c>
      <c r="F2324" t="s">
        <v>181</v>
      </c>
    </row>
    <row r="2325" spans="1:6" x14ac:dyDescent="0.25">
      <c r="A2325" t="s">
        <v>192</v>
      </c>
      <c r="B2325" t="s">
        <v>170</v>
      </c>
      <c r="C2325" t="s">
        <v>128</v>
      </c>
      <c r="D2325">
        <v>2011</v>
      </c>
      <c r="E2325">
        <v>0</v>
      </c>
      <c r="F2325" t="s">
        <v>181</v>
      </c>
    </row>
    <row r="2326" spans="1:6" x14ac:dyDescent="0.25">
      <c r="A2326" t="s">
        <v>192</v>
      </c>
      <c r="B2326" t="s">
        <v>170</v>
      </c>
      <c r="C2326" t="s">
        <v>128</v>
      </c>
      <c r="D2326">
        <v>2010</v>
      </c>
      <c r="E2326">
        <v>0</v>
      </c>
      <c r="F2326" t="s">
        <v>181</v>
      </c>
    </row>
    <row r="2327" spans="1:6" x14ac:dyDescent="0.25">
      <c r="A2327" t="s">
        <v>192</v>
      </c>
      <c r="B2327" t="s">
        <v>170</v>
      </c>
      <c r="C2327" t="s">
        <v>161</v>
      </c>
      <c r="D2327">
        <v>2014</v>
      </c>
      <c r="E2327">
        <v>0</v>
      </c>
      <c r="F2327" t="s">
        <v>181</v>
      </c>
    </row>
    <row r="2328" spans="1:6" x14ac:dyDescent="0.25">
      <c r="A2328" t="s">
        <v>192</v>
      </c>
      <c r="B2328" t="s">
        <v>170</v>
      </c>
      <c r="C2328" t="s">
        <v>161</v>
      </c>
      <c r="D2328">
        <v>2013</v>
      </c>
      <c r="E2328">
        <v>0</v>
      </c>
      <c r="F2328" t="s">
        <v>181</v>
      </c>
    </row>
    <row r="2329" spans="1:6" x14ac:dyDescent="0.25">
      <c r="A2329" t="s">
        <v>192</v>
      </c>
      <c r="B2329" t="s">
        <v>170</v>
      </c>
      <c r="C2329" t="s">
        <v>161</v>
      </c>
      <c r="D2329">
        <v>2012</v>
      </c>
      <c r="E2329">
        <v>0</v>
      </c>
      <c r="F2329" t="s">
        <v>181</v>
      </c>
    </row>
    <row r="2330" spans="1:6" x14ac:dyDescent="0.25">
      <c r="A2330" t="s">
        <v>192</v>
      </c>
      <c r="B2330" t="s">
        <v>170</v>
      </c>
      <c r="C2330" t="s">
        <v>161</v>
      </c>
      <c r="D2330">
        <v>2011</v>
      </c>
      <c r="E2330">
        <v>0</v>
      </c>
      <c r="F2330" t="s">
        <v>181</v>
      </c>
    </row>
    <row r="2331" spans="1:6" x14ac:dyDescent="0.25">
      <c r="A2331" t="s">
        <v>192</v>
      </c>
      <c r="B2331" t="s">
        <v>170</v>
      </c>
      <c r="C2331" t="s">
        <v>161</v>
      </c>
      <c r="D2331">
        <v>2010</v>
      </c>
      <c r="E2331">
        <v>0</v>
      </c>
      <c r="F2331" t="s">
        <v>181</v>
      </c>
    </row>
    <row r="2332" spans="1:6" x14ac:dyDescent="0.25">
      <c r="A2332" t="s">
        <v>192</v>
      </c>
      <c r="B2332" t="s">
        <v>170</v>
      </c>
      <c r="C2332" t="s">
        <v>162</v>
      </c>
      <c r="D2332">
        <v>2014</v>
      </c>
      <c r="E2332">
        <v>0</v>
      </c>
      <c r="F2332" t="s">
        <v>181</v>
      </c>
    </row>
    <row r="2333" spans="1:6" x14ac:dyDescent="0.25">
      <c r="A2333" t="s">
        <v>192</v>
      </c>
      <c r="B2333" t="s">
        <v>170</v>
      </c>
      <c r="C2333" t="s">
        <v>162</v>
      </c>
      <c r="D2333">
        <v>2013</v>
      </c>
      <c r="E2333">
        <v>0</v>
      </c>
      <c r="F2333" t="s">
        <v>181</v>
      </c>
    </row>
    <row r="2334" spans="1:6" x14ac:dyDescent="0.25">
      <c r="A2334" t="s">
        <v>192</v>
      </c>
      <c r="B2334" t="s">
        <v>170</v>
      </c>
      <c r="C2334" t="s">
        <v>162</v>
      </c>
      <c r="D2334">
        <v>2012</v>
      </c>
      <c r="E2334">
        <v>0</v>
      </c>
      <c r="F2334" t="s">
        <v>181</v>
      </c>
    </row>
    <row r="2335" spans="1:6" x14ac:dyDescent="0.25">
      <c r="A2335" t="s">
        <v>192</v>
      </c>
      <c r="B2335" t="s">
        <v>170</v>
      </c>
      <c r="C2335" t="s">
        <v>162</v>
      </c>
      <c r="D2335">
        <v>2011</v>
      </c>
      <c r="E2335">
        <v>0</v>
      </c>
      <c r="F2335" t="s">
        <v>181</v>
      </c>
    </row>
    <row r="2336" spans="1:6" x14ac:dyDescent="0.25">
      <c r="A2336" t="s">
        <v>192</v>
      </c>
      <c r="B2336" t="s">
        <v>170</v>
      </c>
      <c r="C2336" t="s">
        <v>162</v>
      </c>
      <c r="D2336">
        <v>2010</v>
      </c>
      <c r="E2336">
        <v>0</v>
      </c>
      <c r="F2336" t="s">
        <v>181</v>
      </c>
    </row>
    <row r="2337" spans="1:6" x14ac:dyDescent="0.25">
      <c r="A2337" t="s">
        <v>192</v>
      </c>
      <c r="B2337" t="s">
        <v>170</v>
      </c>
      <c r="C2337" t="s">
        <v>129</v>
      </c>
      <c r="D2337">
        <v>2014</v>
      </c>
      <c r="E2337">
        <v>0.69099999999999995</v>
      </c>
      <c r="F2337" t="s">
        <v>181</v>
      </c>
    </row>
    <row r="2338" spans="1:6" x14ac:dyDescent="0.25">
      <c r="A2338" t="s">
        <v>192</v>
      </c>
      <c r="B2338" t="s">
        <v>170</v>
      </c>
      <c r="C2338" t="s">
        <v>129</v>
      </c>
      <c r="D2338">
        <v>2013</v>
      </c>
      <c r="E2338">
        <v>0.32200000000000001</v>
      </c>
      <c r="F2338" t="s">
        <v>181</v>
      </c>
    </row>
    <row r="2339" spans="1:6" x14ac:dyDescent="0.25">
      <c r="A2339" t="s">
        <v>192</v>
      </c>
      <c r="B2339" t="s">
        <v>170</v>
      </c>
      <c r="C2339" t="s">
        <v>129</v>
      </c>
      <c r="D2339">
        <v>2012</v>
      </c>
      <c r="E2339">
        <v>0.55300000000000005</v>
      </c>
      <c r="F2339" t="s">
        <v>181</v>
      </c>
    </row>
    <row r="2340" spans="1:6" x14ac:dyDescent="0.25">
      <c r="A2340" t="s">
        <v>192</v>
      </c>
      <c r="B2340" t="s">
        <v>170</v>
      </c>
      <c r="C2340" t="s">
        <v>129</v>
      </c>
      <c r="D2340">
        <v>2011</v>
      </c>
      <c r="E2340">
        <v>0.45700000000000002</v>
      </c>
      <c r="F2340" t="s">
        <v>181</v>
      </c>
    </row>
    <row r="2341" spans="1:6" x14ac:dyDescent="0.25">
      <c r="A2341" t="s">
        <v>192</v>
      </c>
      <c r="B2341" t="s">
        <v>170</v>
      </c>
      <c r="C2341" t="s">
        <v>129</v>
      </c>
      <c r="D2341">
        <v>2010</v>
      </c>
      <c r="E2341">
        <v>0.61799999999999999</v>
      </c>
      <c r="F2341" t="s">
        <v>181</v>
      </c>
    </row>
    <row r="2342" spans="1:6" x14ac:dyDescent="0.25">
      <c r="A2342" t="s">
        <v>192</v>
      </c>
      <c r="B2342" t="s">
        <v>170</v>
      </c>
      <c r="C2342" t="s">
        <v>130</v>
      </c>
      <c r="D2342">
        <v>2014</v>
      </c>
      <c r="E2342">
        <v>4.6710000000000003</v>
      </c>
      <c r="F2342" t="s">
        <v>181</v>
      </c>
    </row>
    <row r="2343" spans="1:6" x14ac:dyDescent="0.25">
      <c r="A2343" t="s">
        <v>192</v>
      </c>
      <c r="B2343" t="s">
        <v>170</v>
      </c>
      <c r="C2343" t="s">
        <v>130</v>
      </c>
      <c r="D2343">
        <v>2013</v>
      </c>
      <c r="E2343">
        <v>4.6710000000000003</v>
      </c>
      <c r="F2343" t="s">
        <v>181</v>
      </c>
    </row>
    <row r="2344" spans="1:6" x14ac:dyDescent="0.25">
      <c r="A2344" t="s">
        <v>192</v>
      </c>
      <c r="B2344" t="s">
        <v>170</v>
      </c>
      <c r="C2344" t="s">
        <v>130</v>
      </c>
      <c r="D2344">
        <v>2012</v>
      </c>
      <c r="E2344">
        <v>5.1529999999999996</v>
      </c>
      <c r="F2344" t="s">
        <v>181</v>
      </c>
    </row>
    <row r="2345" spans="1:6" x14ac:dyDescent="0.25">
      <c r="A2345" t="s">
        <v>192</v>
      </c>
      <c r="B2345" t="s">
        <v>170</v>
      </c>
      <c r="C2345" t="s">
        <v>130</v>
      </c>
      <c r="D2345">
        <v>2011</v>
      </c>
      <c r="E2345">
        <v>3.6389999999999998</v>
      </c>
      <c r="F2345" t="s">
        <v>181</v>
      </c>
    </row>
    <row r="2346" spans="1:6" x14ac:dyDescent="0.25">
      <c r="A2346" t="s">
        <v>192</v>
      </c>
      <c r="B2346" t="s">
        <v>170</v>
      </c>
      <c r="C2346" t="s">
        <v>130</v>
      </c>
      <c r="D2346">
        <v>2010</v>
      </c>
      <c r="E2346">
        <v>6.9089999999999998</v>
      </c>
      <c r="F2346" t="s">
        <v>181</v>
      </c>
    </row>
    <row r="2347" spans="1:6" x14ac:dyDescent="0.25">
      <c r="A2347" t="s">
        <v>192</v>
      </c>
      <c r="B2347" t="s">
        <v>170</v>
      </c>
      <c r="C2347" t="s">
        <v>131</v>
      </c>
      <c r="D2347">
        <v>2014</v>
      </c>
      <c r="E2347">
        <v>0</v>
      </c>
      <c r="F2347" t="s">
        <v>181</v>
      </c>
    </row>
    <row r="2348" spans="1:6" x14ac:dyDescent="0.25">
      <c r="A2348" t="s">
        <v>192</v>
      </c>
      <c r="B2348" t="s">
        <v>170</v>
      </c>
      <c r="C2348" t="s">
        <v>131</v>
      </c>
      <c r="D2348">
        <v>2013</v>
      </c>
      <c r="E2348">
        <v>0</v>
      </c>
      <c r="F2348" t="s">
        <v>181</v>
      </c>
    </row>
    <row r="2349" spans="1:6" x14ac:dyDescent="0.25">
      <c r="A2349" t="s">
        <v>192</v>
      </c>
      <c r="B2349" t="s">
        <v>170</v>
      </c>
      <c r="C2349" t="s">
        <v>131</v>
      </c>
      <c r="D2349">
        <v>2012</v>
      </c>
      <c r="E2349">
        <v>0</v>
      </c>
      <c r="F2349" t="s">
        <v>181</v>
      </c>
    </row>
    <row r="2350" spans="1:6" x14ac:dyDescent="0.25">
      <c r="A2350" t="s">
        <v>192</v>
      </c>
      <c r="B2350" t="s">
        <v>170</v>
      </c>
      <c r="C2350" t="s">
        <v>131</v>
      </c>
      <c r="D2350">
        <v>2011</v>
      </c>
      <c r="E2350">
        <v>0</v>
      </c>
      <c r="F2350" t="s">
        <v>181</v>
      </c>
    </row>
    <row r="2351" spans="1:6" x14ac:dyDescent="0.25">
      <c r="A2351" t="s">
        <v>192</v>
      </c>
      <c r="B2351" t="s">
        <v>170</v>
      </c>
      <c r="C2351" t="s">
        <v>131</v>
      </c>
      <c r="D2351">
        <v>2010</v>
      </c>
      <c r="E2351">
        <v>0</v>
      </c>
      <c r="F2351" t="s">
        <v>181</v>
      </c>
    </row>
    <row r="2352" spans="1:6" x14ac:dyDescent="0.25">
      <c r="A2352" t="s">
        <v>192</v>
      </c>
      <c r="B2352" t="s">
        <v>170</v>
      </c>
      <c r="C2352" t="s">
        <v>132</v>
      </c>
      <c r="D2352">
        <v>2014</v>
      </c>
      <c r="E2352">
        <v>0</v>
      </c>
      <c r="F2352" t="s">
        <v>181</v>
      </c>
    </row>
    <row r="2353" spans="1:6" x14ac:dyDescent="0.25">
      <c r="A2353" t="s">
        <v>192</v>
      </c>
      <c r="B2353" t="s">
        <v>170</v>
      </c>
      <c r="C2353" t="s">
        <v>132</v>
      </c>
      <c r="D2353">
        <v>2013</v>
      </c>
      <c r="E2353">
        <v>0</v>
      </c>
      <c r="F2353" t="s">
        <v>181</v>
      </c>
    </row>
    <row r="2354" spans="1:6" x14ac:dyDescent="0.25">
      <c r="A2354" t="s">
        <v>192</v>
      </c>
      <c r="B2354" t="s">
        <v>170</v>
      </c>
      <c r="C2354" t="s">
        <v>132</v>
      </c>
      <c r="D2354">
        <v>2012</v>
      </c>
      <c r="E2354">
        <v>0</v>
      </c>
      <c r="F2354" t="s">
        <v>181</v>
      </c>
    </row>
    <row r="2355" spans="1:6" x14ac:dyDescent="0.25">
      <c r="A2355" t="s">
        <v>192</v>
      </c>
      <c r="B2355" t="s">
        <v>170</v>
      </c>
      <c r="C2355" t="s">
        <v>132</v>
      </c>
      <c r="D2355">
        <v>2011</v>
      </c>
      <c r="E2355">
        <v>0</v>
      </c>
      <c r="F2355" t="s">
        <v>181</v>
      </c>
    </row>
    <row r="2356" spans="1:6" x14ac:dyDescent="0.25">
      <c r="A2356" t="s">
        <v>192</v>
      </c>
      <c r="B2356" t="s">
        <v>170</v>
      </c>
      <c r="C2356" t="s">
        <v>132</v>
      </c>
      <c r="D2356">
        <v>2010</v>
      </c>
      <c r="E2356">
        <v>0</v>
      </c>
      <c r="F2356" t="s">
        <v>181</v>
      </c>
    </row>
    <row r="2357" spans="1:6" x14ac:dyDescent="0.25">
      <c r="A2357" t="s">
        <v>192</v>
      </c>
      <c r="B2357" t="s">
        <v>170</v>
      </c>
      <c r="C2357" t="s">
        <v>163</v>
      </c>
      <c r="D2357">
        <v>2014</v>
      </c>
      <c r="E2357">
        <v>0</v>
      </c>
      <c r="F2357" t="s">
        <v>181</v>
      </c>
    </row>
    <row r="2358" spans="1:6" x14ac:dyDescent="0.25">
      <c r="A2358" t="s">
        <v>192</v>
      </c>
      <c r="B2358" t="s">
        <v>170</v>
      </c>
      <c r="C2358" t="s">
        <v>163</v>
      </c>
      <c r="D2358">
        <v>2013</v>
      </c>
      <c r="E2358">
        <v>0</v>
      </c>
      <c r="F2358" t="s">
        <v>181</v>
      </c>
    </row>
    <row r="2359" spans="1:6" x14ac:dyDescent="0.25">
      <c r="A2359" t="s">
        <v>192</v>
      </c>
      <c r="B2359" t="s">
        <v>170</v>
      </c>
      <c r="C2359" t="s">
        <v>163</v>
      </c>
      <c r="D2359">
        <v>2012</v>
      </c>
      <c r="E2359">
        <v>0</v>
      </c>
      <c r="F2359" t="s">
        <v>181</v>
      </c>
    </row>
    <row r="2360" spans="1:6" x14ac:dyDescent="0.25">
      <c r="A2360" t="s">
        <v>192</v>
      </c>
      <c r="B2360" t="s">
        <v>170</v>
      </c>
      <c r="C2360" t="s">
        <v>163</v>
      </c>
      <c r="D2360">
        <v>2011</v>
      </c>
      <c r="E2360">
        <v>0</v>
      </c>
      <c r="F2360" t="s">
        <v>181</v>
      </c>
    </row>
    <row r="2361" spans="1:6" x14ac:dyDescent="0.25">
      <c r="A2361" t="s">
        <v>192</v>
      </c>
      <c r="B2361" t="s">
        <v>170</v>
      </c>
      <c r="C2361" t="s">
        <v>163</v>
      </c>
      <c r="D2361">
        <v>2010</v>
      </c>
      <c r="E2361">
        <v>0</v>
      </c>
      <c r="F2361" t="s">
        <v>181</v>
      </c>
    </row>
    <row r="2362" spans="1:6" x14ac:dyDescent="0.25">
      <c r="A2362" t="s">
        <v>192</v>
      </c>
      <c r="B2362" t="s">
        <v>170</v>
      </c>
      <c r="C2362" t="s">
        <v>133</v>
      </c>
      <c r="D2362">
        <v>2014</v>
      </c>
      <c r="E2362">
        <v>0</v>
      </c>
      <c r="F2362" t="s">
        <v>181</v>
      </c>
    </row>
    <row r="2363" spans="1:6" x14ac:dyDescent="0.25">
      <c r="A2363" t="s">
        <v>192</v>
      </c>
      <c r="B2363" t="s">
        <v>170</v>
      </c>
      <c r="C2363" t="s">
        <v>133</v>
      </c>
      <c r="D2363">
        <v>2013</v>
      </c>
      <c r="E2363">
        <v>0</v>
      </c>
      <c r="F2363" t="s">
        <v>181</v>
      </c>
    </row>
    <row r="2364" spans="1:6" x14ac:dyDescent="0.25">
      <c r="A2364" t="s">
        <v>192</v>
      </c>
      <c r="B2364" t="s">
        <v>170</v>
      </c>
      <c r="C2364" t="s">
        <v>133</v>
      </c>
      <c r="D2364">
        <v>2012</v>
      </c>
      <c r="E2364">
        <v>0</v>
      </c>
      <c r="F2364" t="s">
        <v>181</v>
      </c>
    </row>
    <row r="2365" spans="1:6" x14ac:dyDescent="0.25">
      <c r="A2365" t="s">
        <v>192</v>
      </c>
      <c r="B2365" t="s">
        <v>170</v>
      </c>
      <c r="C2365" t="s">
        <v>133</v>
      </c>
      <c r="D2365">
        <v>2011</v>
      </c>
      <c r="E2365">
        <v>0</v>
      </c>
      <c r="F2365" t="s">
        <v>181</v>
      </c>
    </row>
    <row r="2366" spans="1:6" x14ac:dyDescent="0.25">
      <c r="A2366" t="s">
        <v>192</v>
      </c>
      <c r="B2366" t="s">
        <v>170</v>
      </c>
      <c r="C2366" t="s">
        <v>133</v>
      </c>
      <c r="D2366">
        <v>2010</v>
      </c>
      <c r="E2366">
        <v>1.7999999999999999E-2</v>
      </c>
      <c r="F2366" t="s">
        <v>181</v>
      </c>
    </row>
    <row r="2367" spans="1:6" x14ac:dyDescent="0.25">
      <c r="A2367" t="s">
        <v>192</v>
      </c>
      <c r="B2367" t="s">
        <v>170</v>
      </c>
      <c r="C2367" t="s">
        <v>134</v>
      </c>
      <c r="D2367">
        <v>2014</v>
      </c>
      <c r="E2367">
        <v>0</v>
      </c>
      <c r="F2367" t="s">
        <v>181</v>
      </c>
    </row>
    <row r="2368" spans="1:6" x14ac:dyDescent="0.25">
      <c r="A2368" t="s">
        <v>192</v>
      </c>
      <c r="B2368" t="s">
        <v>170</v>
      </c>
      <c r="C2368" t="s">
        <v>134</v>
      </c>
      <c r="D2368">
        <v>2013</v>
      </c>
      <c r="E2368">
        <v>0</v>
      </c>
      <c r="F2368" t="s">
        <v>181</v>
      </c>
    </row>
    <row r="2369" spans="1:6" x14ac:dyDescent="0.25">
      <c r="A2369" t="s">
        <v>192</v>
      </c>
      <c r="B2369" t="s">
        <v>170</v>
      </c>
      <c r="C2369" t="s">
        <v>134</v>
      </c>
      <c r="D2369">
        <v>2012</v>
      </c>
      <c r="E2369">
        <v>0</v>
      </c>
      <c r="F2369" t="s">
        <v>181</v>
      </c>
    </row>
    <row r="2370" spans="1:6" x14ac:dyDescent="0.25">
      <c r="A2370" t="s">
        <v>192</v>
      </c>
      <c r="B2370" t="s">
        <v>170</v>
      </c>
      <c r="C2370" t="s">
        <v>134</v>
      </c>
      <c r="D2370">
        <v>2011</v>
      </c>
      <c r="E2370">
        <v>0</v>
      </c>
      <c r="F2370" t="s">
        <v>181</v>
      </c>
    </row>
    <row r="2371" spans="1:6" x14ac:dyDescent="0.25">
      <c r="A2371" t="s">
        <v>192</v>
      </c>
      <c r="B2371" t="s">
        <v>170</v>
      </c>
      <c r="C2371" t="s">
        <v>134</v>
      </c>
      <c r="D2371">
        <v>2010</v>
      </c>
      <c r="E2371">
        <v>0</v>
      </c>
      <c r="F2371" t="s">
        <v>181</v>
      </c>
    </row>
    <row r="2372" spans="1:6" x14ac:dyDescent="0.25">
      <c r="A2372" t="s">
        <v>192</v>
      </c>
      <c r="B2372" t="s">
        <v>170</v>
      </c>
      <c r="C2372" t="s">
        <v>135</v>
      </c>
      <c r="D2372">
        <v>2014</v>
      </c>
      <c r="E2372">
        <v>0</v>
      </c>
      <c r="F2372" t="s">
        <v>181</v>
      </c>
    </row>
    <row r="2373" spans="1:6" x14ac:dyDescent="0.25">
      <c r="A2373" t="s">
        <v>192</v>
      </c>
      <c r="B2373" t="s">
        <v>170</v>
      </c>
      <c r="C2373" t="s">
        <v>135</v>
      </c>
      <c r="D2373">
        <v>2013</v>
      </c>
      <c r="E2373">
        <v>0</v>
      </c>
      <c r="F2373" t="s">
        <v>181</v>
      </c>
    </row>
    <row r="2374" spans="1:6" x14ac:dyDescent="0.25">
      <c r="A2374" t="s">
        <v>192</v>
      </c>
      <c r="B2374" t="s">
        <v>170</v>
      </c>
      <c r="C2374" t="s">
        <v>135</v>
      </c>
      <c r="D2374">
        <v>2012</v>
      </c>
      <c r="E2374">
        <v>0</v>
      </c>
      <c r="F2374" t="s">
        <v>181</v>
      </c>
    </row>
    <row r="2375" spans="1:6" x14ac:dyDescent="0.25">
      <c r="A2375" t="s">
        <v>192</v>
      </c>
      <c r="B2375" t="s">
        <v>170</v>
      </c>
      <c r="C2375" t="s">
        <v>135</v>
      </c>
      <c r="D2375">
        <v>2011</v>
      </c>
      <c r="E2375">
        <v>0</v>
      </c>
      <c r="F2375" t="s">
        <v>181</v>
      </c>
    </row>
    <row r="2376" spans="1:6" x14ac:dyDescent="0.25">
      <c r="A2376" t="s">
        <v>192</v>
      </c>
      <c r="B2376" t="s">
        <v>170</v>
      </c>
      <c r="C2376" t="s">
        <v>135</v>
      </c>
      <c r="D2376">
        <v>2010</v>
      </c>
      <c r="E2376">
        <v>0</v>
      </c>
      <c r="F2376" t="s">
        <v>181</v>
      </c>
    </row>
    <row r="2377" spans="1:6" x14ac:dyDescent="0.25">
      <c r="A2377" t="s">
        <v>192</v>
      </c>
      <c r="B2377" t="s">
        <v>170</v>
      </c>
      <c r="C2377" t="s">
        <v>136</v>
      </c>
      <c r="D2377">
        <v>2014</v>
      </c>
      <c r="E2377">
        <v>0</v>
      </c>
      <c r="F2377" t="s">
        <v>181</v>
      </c>
    </row>
    <row r="2378" spans="1:6" x14ac:dyDescent="0.25">
      <c r="A2378" t="s">
        <v>192</v>
      </c>
      <c r="B2378" t="s">
        <v>170</v>
      </c>
      <c r="C2378" t="s">
        <v>136</v>
      </c>
      <c r="D2378">
        <v>2013</v>
      </c>
      <c r="E2378">
        <v>0</v>
      </c>
      <c r="F2378" t="s">
        <v>181</v>
      </c>
    </row>
    <row r="2379" spans="1:6" x14ac:dyDescent="0.25">
      <c r="A2379" t="s">
        <v>192</v>
      </c>
      <c r="B2379" t="s">
        <v>170</v>
      </c>
      <c r="C2379" t="s">
        <v>136</v>
      </c>
      <c r="D2379">
        <v>2012</v>
      </c>
      <c r="E2379">
        <v>0</v>
      </c>
      <c r="F2379" t="s">
        <v>181</v>
      </c>
    </row>
    <row r="2380" spans="1:6" x14ac:dyDescent="0.25">
      <c r="A2380" t="s">
        <v>192</v>
      </c>
      <c r="B2380" t="s">
        <v>170</v>
      </c>
      <c r="C2380" t="s">
        <v>136</v>
      </c>
      <c r="D2380">
        <v>2011</v>
      </c>
      <c r="E2380">
        <v>0</v>
      </c>
      <c r="F2380" t="s">
        <v>181</v>
      </c>
    </row>
    <row r="2381" spans="1:6" x14ac:dyDescent="0.25">
      <c r="A2381" t="s">
        <v>192</v>
      </c>
      <c r="B2381" t="s">
        <v>170</v>
      </c>
      <c r="C2381" t="s">
        <v>136</v>
      </c>
      <c r="D2381">
        <v>2010</v>
      </c>
      <c r="E2381">
        <v>0</v>
      </c>
      <c r="F2381" t="s">
        <v>181</v>
      </c>
    </row>
    <row r="2382" spans="1:6" x14ac:dyDescent="0.25">
      <c r="A2382" t="s">
        <v>192</v>
      </c>
      <c r="B2382" t="s">
        <v>170</v>
      </c>
      <c r="C2382" t="s">
        <v>137</v>
      </c>
      <c r="D2382">
        <v>2014</v>
      </c>
      <c r="E2382">
        <v>0</v>
      </c>
      <c r="F2382" t="s">
        <v>181</v>
      </c>
    </row>
    <row r="2383" spans="1:6" x14ac:dyDescent="0.25">
      <c r="A2383" t="s">
        <v>192</v>
      </c>
      <c r="B2383" t="s">
        <v>170</v>
      </c>
      <c r="C2383" t="s">
        <v>137</v>
      </c>
      <c r="D2383">
        <v>2013</v>
      </c>
      <c r="E2383">
        <v>0</v>
      </c>
      <c r="F2383" t="s">
        <v>181</v>
      </c>
    </row>
    <row r="2384" spans="1:6" x14ac:dyDescent="0.25">
      <c r="A2384" t="s">
        <v>192</v>
      </c>
      <c r="B2384" t="s">
        <v>170</v>
      </c>
      <c r="C2384" t="s">
        <v>137</v>
      </c>
      <c r="D2384">
        <v>2012</v>
      </c>
      <c r="E2384">
        <v>0</v>
      </c>
      <c r="F2384" t="s">
        <v>181</v>
      </c>
    </row>
    <row r="2385" spans="1:6" x14ac:dyDescent="0.25">
      <c r="A2385" t="s">
        <v>192</v>
      </c>
      <c r="B2385" t="s">
        <v>170</v>
      </c>
      <c r="C2385" t="s">
        <v>137</v>
      </c>
      <c r="D2385">
        <v>2011</v>
      </c>
      <c r="E2385">
        <v>0</v>
      </c>
      <c r="F2385" t="s">
        <v>181</v>
      </c>
    </row>
    <row r="2386" spans="1:6" x14ac:dyDescent="0.25">
      <c r="A2386" t="s">
        <v>192</v>
      </c>
      <c r="B2386" t="s">
        <v>170</v>
      </c>
      <c r="C2386" t="s">
        <v>137</v>
      </c>
      <c r="D2386">
        <v>2010</v>
      </c>
      <c r="E2386">
        <v>0</v>
      </c>
      <c r="F2386" t="s">
        <v>181</v>
      </c>
    </row>
    <row r="2387" spans="1:6" x14ac:dyDescent="0.25">
      <c r="A2387" t="s">
        <v>192</v>
      </c>
      <c r="B2387" t="s">
        <v>170</v>
      </c>
      <c r="C2387" t="s">
        <v>138</v>
      </c>
      <c r="D2387">
        <v>2014</v>
      </c>
      <c r="E2387">
        <v>0</v>
      </c>
      <c r="F2387" t="s">
        <v>181</v>
      </c>
    </row>
    <row r="2388" spans="1:6" x14ac:dyDescent="0.25">
      <c r="A2388" t="s">
        <v>192</v>
      </c>
      <c r="B2388" t="s">
        <v>170</v>
      </c>
      <c r="C2388" t="s">
        <v>138</v>
      </c>
      <c r="D2388">
        <v>2013</v>
      </c>
      <c r="E2388">
        <v>0</v>
      </c>
      <c r="F2388" t="s">
        <v>181</v>
      </c>
    </row>
    <row r="2389" spans="1:6" x14ac:dyDescent="0.25">
      <c r="A2389" t="s">
        <v>192</v>
      </c>
      <c r="B2389" t="s">
        <v>170</v>
      </c>
      <c r="C2389" t="s">
        <v>138</v>
      </c>
      <c r="D2389">
        <v>2012</v>
      </c>
      <c r="E2389">
        <v>0</v>
      </c>
      <c r="F2389" t="s">
        <v>181</v>
      </c>
    </row>
    <row r="2390" spans="1:6" x14ac:dyDescent="0.25">
      <c r="A2390" t="s">
        <v>192</v>
      </c>
      <c r="B2390" t="s">
        <v>170</v>
      </c>
      <c r="C2390" t="s">
        <v>138</v>
      </c>
      <c r="D2390">
        <v>2011</v>
      </c>
      <c r="E2390">
        <v>0</v>
      </c>
      <c r="F2390" t="s">
        <v>181</v>
      </c>
    </row>
    <row r="2391" spans="1:6" x14ac:dyDescent="0.25">
      <c r="A2391" t="s">
        <v>192</v>
      </c>
      <c r="B2391" t="s">
        <v>170</v>
      </c>
      <c r="C2391" t="s">
        <v>138</v>
      </c>
      <c r="D2391">
        <v>2010</v>
      </c>
      <c r="E2391">
        <v>0</v>
      </c>
      <c r="F2391" t="s">
        <v>181</v>
      </c>
    </row>
    <row r="2392" spans="1:6" x14ac:dyDescent="0.25">
      <c r="A2392" t="s">
        <v>192</v>
      </c>
      <c r="B2392" t="s">
        <v>170</v>
      </c>
      <c r="C2392" t="s">
        <v>164</v>
      </c>
      <c r="D2392">
        <v>2014</v>
      </c>
      <c r="E2392">
        <v>0</v>
      </c>
      <c r="F2392" t="s">
        <v>181</v>
      </c>
    </row>
    <row r="2393" spans="1:6" x14ac:dyDescent="0.25">
      <c r="A2393" t="s">
        <v>192</v>
      </c>
      <c r="B2393" t="s">
        <v>170</v>
      </c>
      <c r="C2393" t="s">
        <v>164</v>
      </c>
      <c r="D2393">
        <v>2013</v>
      </c>
      <c r="E2393">
        <v>0</v>
      </c>
      <c r="F2393" t="s">
        <v>181</v>
      </c>
    </row>
    <row r="2394" spans="1:6" x14ac:dyDescent="0.25">
      <c r="A2394" t="s">
        <v>192</v>
      </c>
      <c r="B2394" t="s">
        <v>170</v>
      </c>
      <c r="C2394" t="s">
        <v>164</v>
      </c>
      <c r="D2394">
        <v>2012</v>
      </c>
      <c r="E2394">
        <v>0</v>
      </c>
      <c r="F2394" t="s">
        <v>181</v>
      </c>
    </row>
    <row r="2395" spans="1:6" x14ac:dyDescent="0.25">
      <c r="A2395" t="s">
        <v>192</v>
      </c>
      <c r="B2395" t="s">
        <v>170</v>
      </c>
      <c r="C2395" t="s">
        <v>164</v>
      </c>
      <c r="D2395">
        <v>2011</v>
      </c>
      <c r="E2395">
        <v>0</v>
      </c>
      <c r="F2395" t="s">
        <v>181</v>
      </c>
    </row>
    <row r="2396" spans="1:6" x14ac:dyDescent="0.25">
      <c r="A2396" t="s">
        <v>192</v>
      </c>
      <c r="B2396" t="s">
        <v>170</v>
      </c>
      <c r="C2396" t="s">
        <v>164</v>
      </c>
      <c r="D2396">
        <v>2010</v>
      </c>
      <c r="E2396">
        <v>0</v>
      </c>
      <c r="F2396" t="s">
        <v>181</v>
      </c>
    </row>
    <row r="2397" spans="1:6" x14ac:dyDescent="0.25">
      <c r="A2397" t="s">
        <v>192</v>
      </c>
      <c r="B2397" t="s">
        <v>170</v>
      </c>
      <c r="C2397" t="s">
        <v>139</v>
      </c>
      <c r="D2397">
        <v>2014</v>
      </c>
      <c r="E2397">
        <v>0</v>
      </c>
      <c r="F2397" t="s">
        <v>181</v>
      </c>
    </row>
    <row r="2398" spans="1:6" x14ac:dyDescent="0.25">
      <c r="A2398" t="s">
        <v>192</v>
      </c>
      <c r="B2398" t="s">
        <v>170</v>
      </c>
      <c r="C2398" t="s">
        <v>139</v>
      </c>
      <c r="D2398">
        <v>2013</v>
      </c>
      <c r="E2398">
        <v>0</v>
      </c>
      <c r="F2398" t="s">
        <v>181</v>
      </c>
    </row>
    <row r="2399" spans="1:6" x14ac:dyDescent="0.25">
      <c r="A2399" t="s">
        <v>192</v>
      </c>
      <c r="B2399" t="s">
        <v>170</v>
      </c>
      <c r="C2399" t="s">
        <v>139</v>
      </c>
      <c r="D2399">
        <v>2012</v>
      </c>
      <c r="E2399">
        <v>0</v>
      </c>
      <c r="F2399" t="s">
        <v>181</v>
      </c>
    </row>
    <row r="2400" spans="1:6" x14ac:dyDescent="0.25">
      <c r="A2400" t="s">
        <v>192</v>
      </c>
      <c r="B2400" t="s">
        <v>170</v>
      </c>
      <c r="C2400" t="s">
        <v>139</v>
      </c>
      <c r="D2400">
        <v>2011</v>
      </c>
      <c r="E2400">
        <v>0</v>
      </c>
      <c r="F2400" t="s">
        <v>181</v>
      </c>
    </row>
    <row r="2401" spans="1:6" x14ac:dyDescent="0.25">
      <c r="A2401" t="s">
        <v>192</v>
      </c>
      <c r="B2401" t="s">
        <v>170</v>
      </c>
      <c r="C2401" t="s">
        <v>139</v>
      </c>
      <c r="D2401">
        <v>2010</v>
      </c>
      <c r="E2401">
        <v>0</v>
      </c>
      <c r="F2401" t="s">
        <v>181</v>
      </c>
    </row>
    <row r="2402" spans="1:6" x14ac:dyDescent="0.25">
      <c r="A2402" t="s">
        <v>192</v>
      </c>
      <c r="B2402" t="s">
        <v>170</v>
      </c>
      <c r="C2402" t="s">
        <v>165</v>
      </c>
      <c r="D2402">
        <v>2014</v>
      </c>
      <c r="E2402">
        <v>0</v>
      </c>
      <c r="F2402" t="s">
        <v>181</v>
      </c>
    </row>
    <row r="2403" spans="1:6" x14ac:dyDescent="0.25">
      <c r="A2403" t="s">
        <v>192</v>
      </c>
      <c r="B2403" t="s">
        <v>170</v>
      </c>
      <c r="C2403" t="s">
        <v>165</v>
      </c>
      <c r="D2403">
        <v>2013</v>
      </c>
      <c r="E2403">
        <v>0</v>
      </c>
      <c r="F2403" t="s">
        <v>181</v>
      </c>
    </row>
    <row r="2404" spans="1:6" x14ac:dyDescent="0.25">
      <c r="A2404" t="s">
        <v>192</v>
      </c>
      <c r="B2404" t="s">
        <v>170</v>
      </c>
      <c r="C2404" t="s">
        <v>165</v>
      </c>
      <c r="D2404">
        <v>2012</v>
      </c>
      <c r="E2404">
        <v>0</v>
      </c>
      <c r="F2404" t="s">
        <v>181</v>
      </c>
    </row>
    <row r="2405" spans="1:6" x14ac:dyDescent="0.25">
      <c r="A2405" t="s">
        <v>192</v>
      </c>
      <c r="B2405" t="s">
        <v>170</v>
      </c>
      <c r="C2405" t="s">
        <v>165</v>
      </c>
      <c r="D2405">
        <v>2011</v>
      </c>
      <c r="E2405">
        <v>0</v>
      </c>
      <c r="F2405" t="s">
        <v>181</v>
      </c>
    </row>
    <row r="2406" spans="1:6" x14ac:dyDescent="0.25">
      <c r="A2406" t="s">
        <v>192</v>
      </c>
      <c r="B2406" t="s">
        <v>170</v>
      </c>
      <c r="C2406" t="s">
        <v>165</v>
      </c>
      <c r="D2406">
        <v>2010</v>
      </c>
      <c r="E2406">
        <v>0</v>
      </c>
      <c r="F2406" t="s">
        <v>181</v>
      </c>
    </row>
    <row r="2407" spans="1:6" x14ac:dyDescent="0.25">
      <c r="A2407" t="s">
        <v>192</v>
      </c>
      <c r="B2407" t="s">
        <v>170</v>
      </c>
      <c r="C2407" t="s">
        <v>140</v>
      </c>
      <c r="D2407">
        <v>2014</v>
      </c>
      <c r="E2407">
        <v>0</v>
      </c>
      <c r="F2407" t="s">
        <v>181</v>
      </c>
    </row>
    <row r="2408" spans="1:6" x14ac:dyDescent="0.25">
      <c r="A2408" t="s">
        <v>192</v>
      </c>
      <c r="B2408" t="s">
        <v>170</v>
      </c>
      <c r="C2408" t="s">
        <v>140</v>
      </c>
      <c r="D2408">
        <v>2013</v>
      </c>
      <c r="E2408">
        <v>0</v>
      </c>
      <c r="F2408" t="s">
        <v>181</v>
      </c>
    </row>
    <row r="2409" spans="1:6" x14ac:dyDescent="0.25">
      <c r="A2409" t="s">
        <v>192</v>
      </c>
      <c r="B2409" t="s">
        <v>170</v>
      </c>
      <c r="C2409" t="s">
        <v>140</v>
      </c>
      <c r="D2409">
        <v>2012</v>
      </c>
      <c r="E2409">
        <v>0</v>
      </c>
      <c r="F2409" t="s">
        <v>181</v>
      </c>
    </row>
    <row r="2410" spans="1:6" x14ac:dyDescent="0.25">
      <c r="A2410" t="s">
        <v>192</v>
      </c>
      <c r="B2410" t="s">
        <v>170</v>
      </c>
      <c r="C2410" t="s">
        <v>140</v>
      </c>
      <c r="D2410">
        <v>2011</v>
      </c>
      <c r="E2410">
        <v>5.3220000000000001</v>
      </c>
      <c r="F2410" t="s">
        <v>181</v>
      </c>
    </row>
    <row r="2411" spans="1:6" x14ac:dyDescent="0.25">
      <c r="A2411" t="s">
        <v>192</v>
      </c>
      <c r="B2411" t="s">
        <v>170</v>
      </c>
      <c r="C2411" t="s">
        <v>140</v>
      </c>
      <c r="D2411">
        <v>2010</v>
      </c>
      <c r="E2411">
        <v>5.5229999999999997</v>
      </c>
      <c r="F2411" t="s">
        <v>181</v>
      </c>
    </row>
    <row r="2412" spans="1:6" x14ac:dyDescent="0.25">
      <c r="A2412" t="s">
        <v>192</v>
      </c>
      <c r="B2412" t="s">
        <v>170</v>
      </c>
      <c r="C2412" t="s">
        <v>141</v>
      </c>
      <c r="D2412">
        <v>2014</v>
      </c>
      <c r="E2412">
        <v>2.5430000000000001</v>
      </c>
      <c r="F2412" t="s">
        <v>181</v>
      </c>
    </row>
    <row r="2413" spans="1:6" x14ac:dyDescent="0.25">
      <c r="A2413" t="s">
        <v>192</v>
      </c>
      <c r="B2413" t="s">
        <v>170</v>
      </c>
      <c r="C2413" t="s">
        <v>141</v>
      </c>
      <c r="D2413">
        <v>2013</v>
      </c>
      <c r="E2413">
        <v>2.08</v>
      </c>
      <c r="F2413" t="s">
        <v>181</v>
      </c>
    </row>
    <row r="2414" spans="1:6" x14ac:dyDescent="0.25">
      <c r="A2414" t="s">
        <v>192</v>
      </c>
      <c r="B2414" t="s">
        <v>170</v>
      </c>
      <c r="C2414" t="s">
        <v>141</v>
      </c>
      <c r="D2414">
        <v>2012</v>
      </c>
      <c r="E2414">
        <v>1.95</v>
      </c>
      <c r="F2414" t="s">
        <v>181</v>
      </c>
    </row>
    <row r="2415" spans="1:6" x14ac:dyDescent="0.25">
      <c r="A2415" t="s">
        <v>192</v>
      </c>
      <c r="B2415" t="s">
        <v>170</v>
      </c>
      <c r="C2415" t="s">
        <v>141</v>
      </c>
      <c r="D2415">
        <v>2011</v>
      </c>
      <c r="E2415">
        <v>1.8</v>
      </c>
      <c r="F2415" t="s">
        <v>181</v>
      </c>
    </row>
    <row r="2416" spans="1:6" x14ac:dyDescent="0.25">
      <c r="A2416" t="s">
        <v>192</v>
      </c>
      <c r="B2416" t="s">
        <v>170</v>
      </c>
      <c r="C2416" t="s">
        <v>141</v>
      </c>
      <c r="D2416">
        <v>2010</v>
      </c>
      <c r="E2416">
        <v>1.62</v>
      </c>
      <c r="F2416" t="s">
        <v>181</v>
      </c>
    </row>
    <row r="2417" spans="1:6" x14ac:dyDescent="0.25">
      <c r="A2417" t="s">
        <v>192</v>
      </c>
      <c r="B2417" t="s">
        <v>170</v>
      </c>
      <c r="C2417" t="s">
        <v>142</v>
      </c>
      <c r="D2417">
        <v>2014</v>
      </c>
      <c r="E2417">
        <v>1.6E-2</v>
      </c>
      <c r="F2417" t="s">
        <v>181</v>
      </c>
    </row>
    <row r="2418" spans="1:6" x14ac:dyDescent="0.25">
      <c r="A2418" t="s">
        <v>192</v>
      </c>
      <c r="B2418" t="s">
        <v>170</v>
      </c>
      <c r="C2418" t="s">
        <v>142</v>
      </c>
      <c r="D2418">
        <v>2013</v>
      </c>
      <c r="E2418">
        <v>0</v>
      </c>
      <c r="F2418" t="s">
        <v>181</v>
      </c>
    </row>
    <row r="2419" spans="1:6" x14ac:dyDescent="0.25">
      <c r="A2419" t="s">
        <v>192</v>
      </c>
      <c r="B2419" t="s">
        <v>170</v>
      </c>
      <c r="C2419" t="s">
        <v>142</v>
      </c>
      <c r="D2419">
        <v>2012</v>
      </c>
      <c r="E2419">
        <v>0</v>
      </c>
      <c r="F2419" t="s">
        <v>181</v>
      </c>
    </row>
    <row r="2420" spans="1:6" x14ac:dyDescent="0.25">
      <c r="A2420" t="s">
        <v>192</v>
      </c>
      <c r="B2420" t="s">
        <v>170</v>
      </c>
      <c r="C2420" t="s">
        <v>142</v>
      </c>
      <c r="D2420">
        <v>2011</v>
      </c>
      <c r="E2420">
        <v>0</v>
      </c>
      <c r="F2420" t="s">
        <v>181</v>
      </c>
    </row>
    <row r="2421" spans="1:6" x14ac:dyDescent="0.25">
      <c r="A2421" t="s">
        <v>192</v>
      </c>
      <c r="B2421" t="s">
        <v>170</v>
      </c>
      <c r="C2421" t="s">
        <v>142</v>
      </c>
      <c r="D2421">
        <v>2010</v>
      </c>
      <c r="E2421">
        <v>0</v>
      </c>
      <c r="F2421" t="s">
        <v>181</v>
      </c>
    </row>
    <row r="2422" spans="1:6" x14ac:dyDescent="0.25">
      <c r="A2422" t="s">
        <v>192</v>
      </c>
      <c r="B2422" t="s">
        <v>170</v>
      </c>
      <c r="C2422" t="s">
        <v>166</v>
      </c>
      <c r="D2422">
        <v>2014</v>
      </c>
      <c r="E2422">
        <v>0</v>
      </c>
      <c r="F2422" t="s">
        <v>181</v>
      </c>
    </row>
    <row r="2423" spans="1:6" x14ac:dyDescent="0.25">
      <c r="A2423" t="s">
        <v>192</v>
      </c>
      <c r="B2423" t="s">
        <v>170</v>
      </c>
      <c r="C2423" t="s">
        <v>166</v>
      </c>
      <c r="D2423">
        <v>2013</v>
      </c>
      <c r="E2423">
        <v>0</v>
      </c>
      <c r="F2423" t="s">
        <v>181</v>
      </c>
    </row>
    <row r="2424" spans="1:6" x14ac:dyDescent="0.25">
      <c r="A2424" t="s">
        <v>192</v>
      </c>
      <c r="B2424" t="s">
        <v>170</v>
      </c>
      <c r="C2424" t="s">
        <v>166</v>
      </c>
      <c r="D2424">
        <v>2012</v>
      </c>
      <c r="E2424">
        <v>0</v>
      </c>
      <c r="F2424" t="s">
        <v>181</v>
      </c>
    </row>
    <row r="2425" spans="1:6" x14ac:dyDescent="0.25">
      <c r="A2425" t="s">
        <v>192</v>
      </c>
      <c r="B2425" t="s">
        <v>170</v>
      </c>
      <c r="C2425" t="s">
        <v>166</v>
      </c>
      <c r="D2425">
        <v>2011</v>
      </c>
      <c r="E2425">
        <v>0</v>
      </c>
      <c r="F2425" t="s">
        <v>181</v>
      </c>
    </row>
    <row r="2426" spans="1:6" x14ac:dyDescent="0.25">
      <c r="A2426" t="s">
        <v>192</v>
      </c>
      <c r="B2426" t="s">
        <v>170</v>
      </c>
      <c r="C2426" t="s">
        <v>166</v>
      </c>
      <c r="D2426">
        <v>2010</v>
      </c>
      <c r="E2426">
        <v>0</v>
      </c>
      <c r="F2426" t="s">
        <v>181</v>
      </c>
    </row>
    <row r="2427" spans="1:6" x14ac:dyDescent="0.25">
      <c r="A2427" t="s">
        <v>192</v>
      </c>
      <c r="B2427" t="s">
        <v>170</v>
      </c>
      <c r="C2427" t="s">
        <v>143</v>
      </c>
      <c r="D2427">
        <v>2014</v>
      </c>
      <c r="E2427">
        <v>4.1000000000000002E-2</v>
      </c>
      <c r="F2427" t="s">
        <v>181</v>
      </c>
    </row>
    <row r="2428" spans="1:6" x14ac:dyDescent="0.25">
      <c r="A2428" t="s">
        <v>192</v>
      </c>
      <c r="B2428" t="s">
        <v>170</v>
      </c>
      <c r="C2428" t="s">
        <v>143</v>
      </c>
      <c r="D2428">
        <v>2013</v>
      </c>
      <c r="E2428">
        <v>0</v>
      </c>
      <c r="F2428" t="s">
        <v>181</v>
      </c>
    </row>
    <row r="2429" spans="1:6" x14ac:dyDescent="0.25">
      <c r="A2429" t="s">
        <v>192</v>
      </c>
      <c r="B2429" t="s">
        <v>170</v>
      </c>
      <c r="C2429" t="s">
        <v>143</v>
      </c>
      <c r="D2429">
        <v>2012</v>
      </c>
      <c r="E2429">
        <v>0</v>
      </c>
      <c r="F2429" t="s">
        <v>181</v>
      </c>
    </row>
    <row r="2430" spans="1:6" x14ac:dyDescent="0.25">
      <c r="A2430" t="s">
        <v>192</v>
      </c>
      <c r="B2430" t="s">
        <v>170</v>
      </c>
      <c r="C2430" t="s">
        <v>143</v>
      </c>
      <c r="D2430">
        <v>2011</v>
      </c>
      <c r="E2430">
        <v>0</v>
      </c>
      <c r="F2430" t="s">
        <v>181</v>
      </c>
    </row>
    <row r="2431" spans="1:6" x14ac:dyDescent="0.25">
      <c r="A2431" t="s">
        <v>192</v>
      </c>
      <c r="B2431" t="s">
        <v>170</v>
      </c>
      <c r="C2431" t="s">
        <v>143</v>
      </c>
      <c r="D2431">
        <v>2010</v>
      </c>
      <c r="E2431">
        <v>0</v>
      </c>
      <c r="F2431" t="s">
        <v>181</v>
      </c>
    </row>
    <row r="2432" spans="1:6" x14ac:dyDescent="0.25">
      <c r="A2432" t="s">
        <v>192</v>
      </c>
      <c r="B2432" t="s">
        <v>170</v>
      </c>
      <c r="C2432" t="s">
        <v>144</v>
      </c>
      <c r="D2432">
        <v>2014</v>
      </c>
      <c r="E2432">
        <v>0</v>
      </c>
      <c r="F2432" t="s">
        <v>181</v>
      </c>
    </row>
    <row r="2433" spans="1:6" x14ac:dyDescent="0.25">
      <c r="A2433" t="s">
        <v>192</v>
      </c>
      <c r="B2433" t="s">
        <v>170</v>
      </c>
      <c r="C2433" t="s">
        <v>144</v>
      </c>
      <c r="D2433">
        <v>2013</v>
      </c>
      <c r="E2433">
        <v>0</v>
      </c>
      <c r="F2433" t="s">
        <v>181</v>
      </c>
    </row>
    <row r="2434" spans="1:6" x14ac:dyDescent="0.25">
      <c r="A2434" t="s">
        <v>192</v>
      </c>
      <c r="B2434" t="s">
        <v>170</v>
      </c>
      <c r="C2434" t="s">
        <v>144</v>
      </c>
      <c r="D2434">
        <v>2012</v>
      </c>
      <c r="E2434">
        <v>0</v>
      </c>
      <c r="F2434" t="s">
        <v>181</v>
      </c>
    </row>
    <row r="2435" spans="1:6" x14ac:dyDescent="0.25">
      <c r="A2435" t="s">
        <v>192</v>
      </c>
      <c r="B2435" t="s">
        <v>170</v>
      </c>
      <c r="C2435" t="s">
        <v>144</v>
      </c>
      <c r="D2435">
        <v>2011</v>
      </c>
      <c r="E2435">
        <v>0</v>
      </c>
      <c r="F2435" t="s">
        <v>181</v>
      </c>
    </row>
    <row r="2436" spans="1:6" x14ac:dyDescent="0.25">
      <c r="A2436" t="s">
        <v>192</v>
      </c>
      <c r="B2436" t="s">
        <v>170</v>
      </c>
      <c r="C2436" t="s">
        <v>144</v>
      </c>
      <c r="D2436">
        <v>2010</v>
      </c>
      <c r="E2436">
        <v>0</v>
      </c>
      <c r="F2436" t="s">
        <v>181</v>
      </c>
    </row>
    <row r="2437" spans="1:6" x14ac:dyDescent="0.25">
      <c r="A2437" t="s">
        <v>192</v>
      </c>
      <c r="B2437" t="s">
        <v>170</v>
      </c>
      <c r="C2437" t="s">
        <v>145</v>
      </c>
      <c r="D2437">
        <v>2014</v>
      </c>
      <c r="E2437">
        <v>2.0390000000000001</v>
      </c>
      <c r="F2437" t="s">
        <v>181</v>
      </c>
    </row>
    <row r="2438" spans="1:6" x14ac:dyDescent="0.25">
      <c r="A2438" t="s">
        <v>192</v>
      </c>
      <c r="B2438" t="s">
        <v>170</v>
      </c>
      <c r="C2438" t="s">
        <v>145</v>
      </c>
      <c r="D2438">
        <v>2013</v>
      </c>
      <c r="E2438">
        <v>2.2429999999999999</v>
      </c>
      <c r="F2438" t="s">
        <v>181</v>
      </c>
    </row>
    <row r="2439" spans="1:6" x14ac:dyDescent="0.25">
      <c r="A2439" t="s">
        <v>192</v>
      </c>
      <c r="B2439" t="s">
        <v>170</v>
      </c>
      <c r="C2439" t="s">
        <v>145</v>
      </c>
      <c r="D2439">
        <v>2012</v>
      </c>
      <c r="E2439">
        <v>2.3780000000000001</v>
      </c>
      <c r="F2439" t="s">
        <v>181</v>
      </c>
    </row>
    <row r="2440" spans="1:6" x14ac:dyDescent="0.25">
      <c r="A2440" t="s">
        <v>192</v>
      </c>
      <c r="B2440" t="s">
        <v>170</v>
      </c>
      <c r="C2440" t="s">
        <v>145</v>
      </c>
      <c r="D2440">
        <v>2011</v>
      </c>
      <c r="E2440">
        <v>2.4369999999999998</v>
      </c>
      <c r="F2440" t="s">
        <v>181</v>
      </c>
    </row>
    <row r="2441" spans="1:6" x14ac:dyDescent="0.25">
      <c r="A2441" t="s">
        <v>192</v>
      </c>
      <c r="B2441" t="s">
        <v>170</v>
      </c>
      <c r="C2441" t="s">
        <v>145</v>
      </c>
      <c r="D2441">
        <v>2010</v>
      </c>
      <c r="E2441">
        <v>4.8</v>
      </c>
      <c r="F2441" t="s">
        <v>181</v>
      </c>
    </row>
    <row r="2442" spans="1:6" x14ac:dyDescent="0.25">
      <c r="A2442" t="s">
        <v>192</v>
      </c>
      <c r="B2442" t="s">
        <v>170</v>
      </c>
      <c r="C2442" t="s">
        <v>146</v>
      </c>
      <c r="D2442">
        <v>2014</v>
      </c>
      <c r="E2442">
        <v>0</v>
      </c>
      <c r="F2442" t="s">
        <v>181</v>
      </c>
    </row>
    <row r="2443" spans="1:6" x14ac:dyDescent="0.25">
      <c r="A2443" t="s">
        <v>192</v>
      </c>
      <c r="B2443" t="s">
        <v>170</v>
      </c>
      <c r="C2443" t="s">
        <v>146</v>
      </c>
      <c r="D2443">
        <v>2013</v>
      </c>
      <c r="E2443">
        <v>0</v>
      </c>
      <c r="F2443" t="s">
        <v>181</v>
      </c>
    </row>
    <row r="2444" spans="1:6" x14ac:dyDescent="0.25">
      <c r="A2444" t="s">
        <v>192</v>
      </c>
      <c r="B2444" t="s">
        <v>170</v>
      </c>
      <c r="C2444" t="s">
        <v>146</v>
      </c>
      <c r="D2444">
        <v>2012</v>
      </c>
      <c r="E2444">
        <v>0</v>
      </c>
      <c r="F2444" t="s">
        <v>181</v>
      </c>
    </row>
    <row r="2445" spans="1:6" x14ac:dyDescent="0.25">
      <c r="A2445" t="s">
        <v>192</v>
      </c>
      <c r="B2445" t="s">
        <v>170</v>
      </c>
      <c r="C2445" t="s">
        <v>146</v>
      </c>
      <c r="D2445">
        <v>2011</v>
      </c>
      <c r="E2445">
        <v>0</v>
      </c>
      <c r="F2445" t="s">
        <v>181</v>
      </c>
    </row>
    <row r="2446" spans="1:6" x14ac:dyDescent="0.25">
      <c r="A2446" t="s">
        <v>192</v>
      </c>
      <c r="B2446" t="s">
        <v>170</v>
      </c>
      <c r="C2446" t="s">
        <v>146</v>
      </c>
      <c r="D2446">
        <v>2010</v>
      </c>
      <c r="E2446">
        <v>0</v>
      </c>
      <c r="F2446" t="s">
        <v>181</v>
      </c>
    </row>
    <row r="2447" spans="1:6" x14ac:dyDescent="0.25">
      <c r="A2447" t="s">
        <v>192</v>
      </c>
      <c r="B2447" t="s">
        <v>170</v>
      </c>
      <c r="C2447" t="s">
        <v>147</v>
      </c>
      <c r="D2447">
        <v>2014</v>
      </c>
      <c r="E2447">
        <v>0</v>
      </c>
      <c r="F2447" t="s">
        <v>181</v>
      </c>
    </row>
    <row r="2448" spans="1:6" x14ac:dyDescent="0.25">
      <c r="A2448" t="s">
        <v>192</v>
      </c>
      <c r="B2448" t="s">
        <v>170</v>
      </c>
      <c r="C2448" t="s">
        <v>147</v>
      </c>
      <c r="D2448">
        <v>2013</v>
      </c>
      <c r="E2448">
        <v>4.3999999999999997E-2</v>
      </c>
      <c r="F2448" t="s">
        <v>181</v>
      </c>
    </row>
    <row r="2449" spans="1:6" x14ac:dyDescent="0.25">
      <c r="A2449" t="s">
        <v>192</v>
      </c>
      <c r="B2449" t="s">
        <v>170</v>
      </c>
      <c r="C2449" t="s">
        <v>147</v>
      </c>
      <c r="D2449">
        <v>2012</v>
      </c>
      <c r="E2449">
        <v>5.1999999999999998E-2</v>
      </c>
      <c r="F2449" t="s">
        <v>181</v>
      </c>
    </row>
    <row r="2450" spans="1:6" x14ac:dyDescent="0.25">
      <c r="A2450" t="s">
        <v>192</v>
      </c>
      <c r="B2450" t="s">
        <v>170</v>
      </c>
      <c r="C2450" t="s">
        <v>147</v>
      </c>
      <c r="D2450">
        <v>2011</v>
      </c>
      <c r="E2450">
        <v>0.06</v>
      </c>
      <c r="F2450" t="s">
        <v>181</v>
      </c>
    </row>
    <row r="2451" spans="1:6" x14ac:dyDescent="0.25">
      <c r="A2451" t="s">
        <v>192</v>
      </c>
      <c r="B2451" t="s">
        <v>170</v>
      </c>
      <c r="C2451" t="s">
        <v>147</v>
      </c>
      <c r="D2451">
        <v>2010</v>
      </c>
      <c r="E2451">
        <v>6.7000000000000004E-2</v>
      </c>
      <c r="F2451" t="s">
        <v>181</v>
      </c>
    </row>
    <row r="2452" spans="1:6" x14ac:dyDescent="0.25">
      <c r="A2452" t="s">
        <v>192</v>
      </c>
      <c r="B2452" t="s">
        <v>170</v>
      </c>
      <c r="C2452" t="s">
        <v>167</v>
      </c>
      <c r="D2452">
        <v>2014</v>
      </c>
      <c r="E2452">
        <v>0</v>
      </c>
      <c r="F2452" t="s">
        <v>181</v>
      </c>
    </row>
    <row r="2453" spans="1:6" x14ac:dyDescent="0.25">
      <c r="A2453" t="s">
        <v>192</v>
      </c>
      <c r="B2453" t="s">
        <v>170</v>
      </c>
      <c r="C2453" t="s">
        <v>167</v>
      </c>
      <c r="D2453">
        <v>2013</v>
      </c>
      <c r="E2453">
        <v>0</v>
      </c>
      <c r="F2453" t="s">
        <v>181</v>
      </c>
    </row>
    <row r="2454" spans="1:6" x14ac:dyDescent="0.25">
      <c r="A2454" t="s">
        <v>192</v>
      </c>
      <c r="B2454" t="s">
        <v>170</v>
      </c>
      <c r="C2454" t="s">
        <v>167</v>
      </c>
      <c r="D2454">
        <v>2012</v>
      </c>
      <c r="E2454">
        <v>0</v>
      </c>
      <c r="F2454" t="s">
        <v>181</v>
      </c>
    </row>
    <row r="2455" spans="1:6" x14ac:dyDescent="0.25">
      <c r="A2455" t="s">
        <v>192</v>
      </c>
      <c r="B2455" t="s">
        <v>170</v>
      </c>
      <c r="C2455" t="s">
        <v>167</v>
      </c>
      <c r="D2455">
        <v>2011</v>
      </c>
      <c r="E2455">
        <v>0</v>
      </c>
      <c r="F2455" t="s">
        <v>181</v>
      </c>
    </row>
    <row r="2456" spans="1:6" x14ac:dyDescent="0.25">
      <c r="A2456" t="s">
        <v>192</v>
      </c>
      <c r="B2456" t="s">
        <v>170</v>
      </c>
      <c r="C2456" t="s">
        <v>167</v>
      </c>
      <c r="D2456">
        <v>2010</v>
      </c>
      <c r="E2456">
        <v>0</v>
      </c>
      <c r="F2456" t="s">
        <v>181</v>
      </c>
    </row>
    <row r="2457" spans="1:6" x14ac:dyDescent="0.25">
      <c r="A2457" t="s">
        <v>192</v>
      </c>
      <c r="B2457" t="s">
        <v>170</v>
      </c>
      <c r="C2457" t="s">
        <v>168</v>
      </c>
      <c r="D2457">
        <v>2014</v>
      </c>
      <c r="E2457">
        <v>0</v>
      </c>
      <c r="F2457" t="s">
        <v>181</v>
      </c>
    </row>
    <row r="2458" spans="1:6" x14ac:dyDescent="0.25">
      <c r="A2458" t="s">
        <v>192</v>
      </c>
      <c r="B2458" t="s">
        <v>170</v>
      </c>
      <c r="C2458" t="s">
        <v>168</v>
      </c>
      <c r="D2458">
        <v>2013</v>
      </c>
      <c r="E2458">
        <v>0</v>
      </c>
      <c r="F2458" t="s">
        <v>181</v>
      </c>
    </row>
    <row r="2459" spans="1:6" x14ac:dyDescent="0.25">
      <c r="A2459" t="s">
        <v>192</v>
      </c>
      <c r="B2459" t="s">
        <v>170</v>
      </c>
      <c r="C2459" t="s">
        <v>168</v>
      </c>
      <c r="D2459">
        <v>2012</v>
      </c>
      <c r="E2459">
        <v>0</v>
      </c>
      <c r="F2459" t="s">
        <v>181</v>
      </c>
    </row>
    <row r="2460" spans="1:6" x14ac:dyDescent="0.25">
      <c r="A2460" t="s">
        <v>192</v>
      </c>
      <c r="B2460" t="s">
        <v>170</v>
      </c>
      <c r="C2460" t="s">
        <v>168</v>
      </c>
      <c r="D2460">
        <v>2011</v>
      </c>
      <c r="E2460">
        <v>0</v>
      </c>
      <c r="F2460" t="s">
        <v>181</v>
      </c>
    </row>
    <row r="2461" spans="1:6" x14ac:dyDescent="0.25">
      <c r="A2461" t="s">
        <v>192</v>
      </c>
      <c r="B2461" t="s">
        <v>170</v>
      </c>
      <c r="C2461" t="s">
        <v>168</v>
      </c>
      <c r="D2461">
        <v>2010</v>
      </c>
      <c r="E2461">
        <v>0</v>
      </c>
      <c r="F2461" t="s">
        <v>181</v>
      </c>
    </row>
    <row r="2462" spans="1:6" x14ac:dyDescent="0.25">
      <c r="A2462" t="s">
        <v>192</v>
      </c>
      <c r="B2462" t="s">
        <v>170</v>
      </c>
      <c r="C2462" t="s">
        <v>148</v>
      </c>
      <c r="D2462">
        <v>2014</v>
      </c>
      <c r="E2462">
        <v>1.355</v>
      </c>
      <c r="F2462" t="s">
        <v>181</v>
      </c>
    </row>
    <row r="2463" spans="1:6" x14ac:dyDescent="0.25">
      <c r="A2463" t="s">
        <v>192</v>
      </c>
      <c r="B2463" t="s">
        <v>170</v>
      </c>
      <c r="C2463" t="s">
        <v>148</v>
      </c>
      <c r="D2463">
        <v>2013</v>
      </c>
      <c r="E2463">
        <v>1.1080000000000001</v>
      </c>
      <c r="F2463" t="s">
        <v>181</v>
      </c>
    </row>
    <row r="2464" spans="1:6" x14ac:dyDescent="0.25">
      <c r="A2464" t="s">
        <v>192</v>
      </c>
      <c r="B2464" t="s">
        <v>170</v>
      </c>
      <c r="C2464" t="s">
        <v>148</v>
      </c>
      <c r="D2464">
        <v>2012</v>
      </c>
      <c r="E2464">
        <v>1.383</v>
      </c>
      <c r="F2464" t="s">
        <v>181</v>
      </c>
    </row>
    <row r="2465" spans="1:6" x14ac:dyDescent="0.25">
      <c r="A2465" t="s">
        <v>192</v>
      </c>
      <c r="B2465" t="s">
        <v>170</v>
      </c>
      <c r="C2465" t="s">
        <v>148</v>
      </c>
      <c r="D2465">
        <v>2011</v>
      </c>
      <c r="E2465">
        <v>1.1879999999999999</v>
      </c>
      <c r="F2465" t="s">
        <v>181</v>
      </c>
    </row>
    <row r="2466" spans="1:6" x14ac:dyDescent="0.25">
      <c r="A2466" t="s">
        <v>192</v>
      </c>
      <c r="B2466" t="s">
        <v>170</v>
      </c>
      <c r="C2466" t="s">
        <v>148</v>
      </c>
      <c r="D2466">
        <v>2010</v>
      </c>
      <c r="E2466">
        <v>0.94199999999999995</v>
      </c>
      <c r="F2466" t="s">
        <v>181</v>
      </c>
    </row>
    <row r="2467" spans="1:6" x14ac:dyDescent="0.25">
      <c r="A2467" t="s">
        <v>192</v>
      </c>
      <c r="B2467" t="s">
        <v>170</v>
      </c>
      <c r="C2467" t="s">
        <v>149</v>
      </c>
      <c r="D2467">
        <v>2014</v>
      </c>
      <c r="E2467">
        <v>0</v>
      </c>
      <c r="F2467" t="s">
        <v>181</v>
      </c>
    </row>
    <row r="2468" spans="1:6" x14ac:dyDescent="0.25">
      <c r="A2468" t="s">
        <v>192</v>
      </c>
      <c r="B2468" t="s">
        <v>170</v>
      </c>
      <c r="C2468" t="s">
        <v>149</v>
      </c>
      <c r="D2468">
        <v>2013</v>
      </c>
      <c r="E2468">
        <v>0</v>
      </c>
      <c r="F2468" t="s">
        <v>181</v>
      </c>
    </row>
    <row r="2469" spans="1:6" x14ac:dyDescent="0.25">
      <c r="A2469" t="s">
        <v>192</v>
      </c>
      <c r="B2469" t="s">
        <v>170</v>
      </c>
      <c r="C2469" t="s">
        <v>149</v>
      </c>
      <c r="D2469">
        <v>2012</v>
      </c>
      <c r="E2469">
        <v>0</v>
      </c>
      <c r="F2469" t="s">
        <v>181</v>
      </c>
    </row>
    <row r="2470" spans="1:6" x14ac:dyDescent="0.25">
      <c r="A2470" t="s">
        <v>192</v>
      </c>
      <c r="B2470" t="s">
        <v>170</v>
      </c>
      <c r="C2470" t="s">
        <v>149</v>
      </c>
      <c r="D2470">
        <v>2011</v>
      </c>
      <c r="E2470">
        <v>0</v>
      </c>
      <c r="F2470" t="s">
        <v>181</v>
      </c>
    </row>
    <row r="2471" spans="1:6" x14ac:dyDescent="0.25">
      <c r="A2471" t="s">
        <v>192</v>
      </c>
      <c r="B2471" t="s">
        <v>170</v>
      </c>
      <c r="C2471" t="s">
        <v>149</v>
      </c>
      <c r="D2471">
        <v>2010</v>
      </c>
      <c r="E2471">
        <v>0</v>
      </c>
      <c r="F2471" t="s">
        <v>181</v>
      </c>
    </row>
    <row r="2472" spans="1:6" x14ac:dyDescent="0.25">
      <c r="A2472" t="s">
        <v>192</v>
      </c>
      <c r="B2472" t="s">
        <v>170</v>
      </c>
      <c r="C2472" t="s">
        <v>121</v>
      </c>
      <c r="D2472">
        <v>2014</v>
      </c>
      <c r="E2472">
        <v>0</v>
      </c>
      <c r="F2472" t="s">
        <v>187</v>
      </c>
    </row>
    <row r="2473" spans="1:6" x14ac:dyDescent="0.25">
      <c r="A2473" t="s">
        <v>192</v>
      </c>
      <c r="B2473" t="s">
        <v>170</v>
      </c>
      <c r="C2473" t="s">
        <v>121</v>
      </c>
      <c r="D2473">
        <v>2013</v>
      </c>
      <c r="E2473">
        <v>0</v>
      </c>
      <c r="F2473" t="s">
        <v>187</v>
      </c>
    </row>
    <row r="2474" spans="1:6" x14ac:dyDescent="0.25">
      <c r="A2474" t="s">
        <v>192</v>
      </c>
      <c r="B2474" t="s">
        <v>170</v>
      </c>
      <c r="C2474" t="s">
        <v>121</v>
      </c>
      <c r="D2474">
        <v>2012</v>
      </c>
      <c r="E2474">
        <v>0</v>
      </c>
      <c r="F2474" t="s">
        <v>187</v>
      </c>
    </row>
    <row r="2475" spans="1:6" x14ac:dyDescent="0.25">
      <c r="A2475" t="s">
        <v>192</v>
      </c>
      <c r="B2475" t="s">
        <v>170</v>
      </c>
      <c r="C2475" t="s">
        <v>121</v>
      </c>
      <c r="D2475">
        <v>2011</v>
      </c>
      <c r="E2475">
        <v>0</v>
      </c>
      <c r="F2475" t="s">
        <v>187</v>
      </c>
    </row>
    <row r="2476" spans="1:6" x14ac:dyDescent="0.25">
      <c r="A2476" t="s">
        <v>192</v>
      </c>
      <c r="B2476" t="s">
        <v>170</v>
      </c>
      <c r="C2476" t="s">
        <v>121</v>
      </c>
      <c r="D2476">
        <v>2010</v>
      </c>
      <c r="E2476">
        <v>0</v>
      </c>
      <c r="F2476" t="s">
        <v>187</v>
      </c>
    </row>
    <row r="2477" spans="1:6" x14ac:dyDescent="0.25">
      <c r="A2477" t="s">
        <v>192</v>
      </c>
      <c r="B2477" t="s">
        <v>170</v>
      </c>
      <c r="C2477" t="s">
        <v>122</v>
      </c>
      <c r="D2477">
        <v>2014</v>
      </c>
      <c r="E2477">
        <v>2.2800000000000001E-2</v>
      </c>
      <c r="F2477" t="s">
        <v>187</v>
      </c>
    </row>
    <row r="2478" spans="1:6" x14ac:dyDescent="0.25">
      <c r="A2478" t="s">
        <v>192</v>
      </c>
      <c r="B2478" t="s">
        <v>170</v>
      </c>
      <c r="C2478" t="s">
        <v>122</v>
      </c>
      <c r="D2478">
        <v>2013</v>
      </c>
      <c r="E2478">
        <v>1.18E-2</v>
      </c>
      <c r="F2478" t="s">
        <v>187</v>
      </c>
    </row>
    <row r="2479" spans="1:6" x14ac:dyDescent="0.25">
      <c r="A2479" t="s">
        <v>192</v>
      </c>
      <c r="B2479" t="s">
        <v>170</v>
      </c>
      <c r="C2479" t="s">
        <v>122</v>
      </c>
      <c r="D2479">
        <v>2012</v>
      </c>
      <c r="E2479">
        <v>0</v>
      </c>
      <c r="F2479" t="s">
        <v>187</v>
      </c>
    </row>
    <row r="2480" spans="1:6" x14ac:dyDescent="0.25">
      <c r="A2480" t="s">
        <v>192</v>
      </c>
      <c r="B2480" t="s">
        <v>170</v>
      </c>
      <c r="C2480" t="s">
        <v>122</v>
      </c>
      <c r="D2480">
        <v>2011</v>
      </c>
      <c r="E2480">
        <v>0</v>
      </c>
      <c r="F2480" t="s">
        <v>187</v>
      </c>
    </row>
    <row r="2481" spans="1:6" x14ac:dyDescent="0.25">
      <c r="A2481" t="s">
        <v>192</v>
      </c>
      <c r="B2481" t="s">
        <v>170</v>
      </c>
      <c r="C2481" t="s">
        <v>122</v>
      </c>
      <c r="D2481">
        <v>2010</v>
      </c>
      <c r="E2481">
        <v>1E-4</v>
      </c>
      <c r="F2481" t="s">
        <v>187</v>
      </c>
    </row>
    <row r="2482" spans="1:6" x14ac:dyDescent="0.25">
      <c r="A2482" t="s">
        <v>192</v>
      </c>
      <c r="B2482" t="s">
        <v>170</v>
      </c>
      <c r="C2482" t="s">
        <v>123</v>
      </c>
      <c r="D2482">
        <v>2014</v>
      </c>
      <c r="E2482">
        <v>0</v>
      </c>
      <c r="F2482" t="s">
        <v>187</v>
      </c>
    </row>
    <row r="2483" spans="1:6" x14ac:dyDescent="0.25">
      <c r="A2483" t="s">
        <v>192</v>
      </c>
      <c r="B2483" t="s">
        <v>170</v>
      </c>
      <c r="C2483" t="s">
        <v>123</v>
      </c>
      <c r="D2483">
        <v>2013</v>
      </c>
      <c r="E2483">
        <v>0</v>
      </c>
      <c r="F2483" t="s">
        <v>187</v>
      </c>
    </row>
    <row r="2484" spans="1:6" x14ac:dyDescent="0.25">
      <c r="A2484" t="s">
        <v>192</v>
      </c>
      <c r="B2484" t="s">
        <v>170</v>
      </c>
      <c r="C2484" t="s">
        <v>123</v>
      </c>
      <c r="D2484">
        <v>2012</v>
      </c>
      <c r="E2484">
        <v>0</v>
      </c>
      <c r="F2484" t="s">
        <v>187</v>
      </c>
    </row>
    <row r="2485" spans="1:6" x14ac:dyDescent="0.25">
      <c r="A2485" t="s">
        <v>192</v>
      </c>
      <c r="B2485" t="s">
        <v>170</v>
      </c>
      <c r="C2485" t="s">
        <v>123</v>
      </c>
      <c r="D2485">
        <v>2011</v>
      </c>
      <c r="E2485">
        <v>0</v>
      </c>
      <c r="F2485" t="s">
        <v>187</v>
      </c>
    </row>
    <row r="2486" spans="1:6" x14ac:dyDescent="0.25">
      <c r="A2486" t="s">
        <v>192</v>
      </c>
      <c r="B2486" t="s">
        <v>170</v>
      </c>
      <c r="C2486" t="s">
        <v>123</v>
      </c>
      <c r="D2486">
        <v>2010</v>
      </c>
      <c r="E2486">
        <v>0</v>
      </c>
      <c r="F2486" t="s">
        <v>187</v>
      </c>
    </row>
    <row r="2487" spans="1:6" x14ac:dyDescent="0.25">
      <c r="A2487" t="s">
        <v>192</v>
      </c>
      <c r="B2487" t="s">
        <v>170</v>
      </c>
      <c r="C2487" t="s">
        <v>124</v>
      </c>
      <c r="D2487">
        <v>2014</v>
      </c>
      <c r="E2487">
        <v>0</v>
      </c>
      <c r="F2487" t="s">
        <v>187</v>
      </c>
    </row>
    <row r="2488" spans="1:6" x14ac:dyDescent="0.25">
      <c r="A2488" t="s">
        <v>192</v>
      </c>
      <c r="B2488" t="s">
        <v>170</v>
      </c>
      <c r="C2488" t="s">
        <v>124</v>
      </c>
      <c r="D2488">
        <v>2013</v>
      </c>
      <c r="E2488">
        <v>0</v>
      </c>
      <c r="F2488" t="s">
        <v>187</v>
      </c>
    </row>
    <row r="2489" spans="1:6" x14ac:dyDescent="0.25">
      <c r="A2489" t="s">
        <v>192</v>
      </c>
      <c r="B2489" t="s">
        <v>170</v>
      </c>
      <c r="C2489" t="s">
        <v>124</v>
      </c>
      <c r="D2489">
        <v>2012</v>
      </c>
      <c r="E2489">
        <v>0</v>
      </c>
      <c r="F2489" t="s">
        <v>187</v>
      </c>
    </row>
    <row r="2490" spans="1:6" x14ac:dyDescent="0.25">
      <c r="A2490" t="s">
        <v>192</v>
      </c>
      <c r="B2490" t="s">
        <v>170</v>
      </c>
      <c r="C2490" t="s">
        <v>124</v>
      </c>
      <c r="D2490">
        <v>2011</v>
      </c>
      <c r="E2490">
        <v>0</v>
      </c>
      <c r="F2490" t="s">
        <v>187</v>
      </c>
    </row>
    <row r="2491" spans="1:6" x14ac:dyDescent="0.25">
      <c r="A2491" t="s">
        <v>192</v>
      </c>
      <c r="B2491" t="s">
        <v>170</v>
      </c>
      <c r="C2491" t="s">
        <v>124</v>
      </c>
      <c r="D2491">
        <v>2010</v>
      </c>
      <c r="E2491">
        <v>0</v>
      </c>
      <c r="F2491" t="s">
        <v>187</v>
      </c>
    </row>
    <row r="2492" spans="1:6" x14ac:dyDescent="0.25">
      <c r="A2492" t="s">
        <v>192</v>
      </c>
      <c r="B2492" t="s">
        <v>170</v>
      </c>
      <c r="C2492" t="s">
        <v>160</v>
      </c>
      <c r="D2492">
        <v>2014</v>
      </c>
      <c r="E2492">
        <v>0</v>
      </c>
      <c r="F2492" t="s">
        <v>187</v>
      </c>
    </row>
    <row r="2493" spans="1:6" x14ac:dyDescent="0.25">
      <c r="A2493" t="s">
        <v>192</v>
      </c>
      <c r="B2493" t="s">
        <v>170</v>
      </c>
      <c r="C2493" t="s">
        <v>160</v>
      </c>
      <c r="D2493">
        <v>2013</v>
      </c>
      <c r="E2493">
        <v>0</v>
      </c>
      <c r="F2493" t="s">
        <v>187</v>
      </c>
    </row>
    <row r="2494" spans="1:6" x14ac:dyDescent="0.25">
      <c r="A2494" t="s">
        <v>192</v>
      </c>
      <c r="B2494" t="s">
        <v>170</v>
      </c>
      <c r="C2494" t="s">
        <v>160</v>
      </c>
      <c r="D2494">
        <v>2012</v>
      </c>
      <c r="E2494">
        <v>0</v>
      </c>
      <c r="F2494" t="s">
        <v>187</v>
      </c>
    </row>
    <row r="2495" spans="1:6" x14ac:dyDescent="0.25">
      <c r="A2495" t="s">
        <v>192</v>
      </c>
      <c r="B2495" t="s">
        <v>170</v>
      </c>
      <c r="C2495" t="s">
        <v>160</v>
      </c>
      <c r="D2495">
        <v>2011</v>
      </c>
      <c r="E2495">
        <v>0</v>
      </c>
      <c r="F2495" t="s">
        <v>187</v>
      </c>
    </row>
    <row r="2496" spans="1:6" x14ac:dyDescent="0.25">
      <c r="A2496" t="s">
        <v>192</v>
      </c>
      <c r="B2496" t="s">
        <v>170</v>
      </c>
      <c r="C2496" t="s">
        <v>160</v>
      </c>
      <c r="D2496">
        <v>2010</v>
      </c>
      <c r="E2496">
        <v>0</v>
      </c>
      <c r="F2496" t="s">
        <v>187</v>
      </c>
    </row>
    <row r="2497" spans="1:6" x14ac:dyDescent="0.25">
      <c r="A2497" t="s">
        <v>192</v>
      </c>
      <c r="B2497" t="s">
        <v>170</v>
      </c>
      <c r="C2497" t="s">
        <v>125</v>
      </c>
      <c r="D2497">
        <v>2014</v>
      </c>
      <c r="E2497">
        <v>0</v>
      </c>
      <c r="F2497" t="s">
        <v>187</v>
      </c>
    </row>
    <row r="2498" spans="1:6" x14ac:dyDescent="0.25">
      <c r="A2498" t="s">
        <v>192</v>
      </c>
      <c r="B2498" t="s">
        <v>170</v>
      </c>
      <c r="C2498" t="s">
        <v>125</v>
      </c>
      <c r="D2498">
        <v>2013</v>
      </c>
      <c r="E2498">
        <v>0</v>
      </c>
      <c r="F2498" t="s">
        <v>187</v>
      </c>
    </row>
    <row r="2499" spans="1:6" x14ac:dyDescent="0.25">
      <c r="A2499" t="s">
        <v>192</v>
      </c>
      <c r="B2499" t="s">
        <v>170</v>
      </c>
      <c r="C2499" t="s">
        <v>125</v>
      </c>
      <c r="D2499">
        <v>2012</v>
      </c>
      <c r="E2499">
        <v>0</v>
      </c>
      <c r="F2499" t="s">
        <v>187</v>
      </c>
    </row>
    <row r="2500" spans="1:6" x14ac:dyDescent="0.25">
      <c r="A2500" t="s">
        <v>192</v>
      </c>
      <c r="B2500" t="s">
        <v>170</v>
      </c>
      <c r="C2500" t="s">
        <v>125</v>
      </c>
      <c r="D2500">
        <v>2011</v>
      </c>
      <c r="E2500">
        <v>0</v>
      </c>
      <c r="F2500" t="s">
        <v>187</v>
      </c>
    </row>
    <row r="2501" spans="1:6" x14ac:dyDescent="0.25">
      <c r="A2501" t="s">
        <v>192</v>
      </c>
      <c r="B2501" t="s">
        <v>170</v>
      </c>
      <c r="C2501" t="s">
        <v>125</v>
      </c>
      <c r="D2501">
        <v>2010</v>
      </c>
      <c r="E2501">
        <v>0</v>
      </c>
      <c r="F2501" t="s">
        <v>187</v>
      </c>
    </row>
    <row r="2502" spans="1:6" x14ac:dyDescent="0.25">
      <c r="A2502" t="s">
        <v>192</v>
      </c>
      <c r="B2502" t="s">
        <v>170</v>
      </c>
      <c r="C2502" t="s">
        <v>126</v>
      </c>
      <c r="D2502">
        <v>2014</v>
      </c>
      <c r="E2502">
        <v>2.81E-2</v>
      </c>
      <c r="F2502" t="s">
        <v>187</v>
      </c>
    </row>
    <row r="2503" spans="1:6" x14ac:dyDescent="0.25">
      <c r="A2503" t="s">
        <v>192</v>
      </c>
      <c r="B2503" t="s">
        <v>170</v>
      </c>
      <c r="C2503" t="s">
        <v>126</v>
      </c>
      <c r="D2503">
        <v>2013</v>
      </c>
      <c r="E2503">
        <v>2.81E-2</v>
      </c>
      <c r="F2503" t="s">
        <v>187</v>
      </c>
    </row>
    <row r="2504" spans="1:6" x14ac:dyDescent="0.25">
      <c r="A2504" t="s">
        <v>192</v>
      </c>
      <c r="B2504" t="s">
        <v>170</v>
      </c>
      <c r="C2504" t="s">
        <v>126</v>
      </c>
      <c r="D2504">
        <v>2012</v>
      </c>
      <c r="E2504">
        <v>5.9999999999999995E-4</v>
      </c>
      <c r="F2504" t="s">
        <v>187</v>
      </c>
    </row>
    <row r="2505" spans="1:6" x14ac:dyDescent="0.25">
      <c r="A2505" t="s">
        <v>192</v>
      </c>
      <c r="B2505" t="s">
        <v>170</v>
      </c>
      <c r="C2505" t="s">
        <v>126</v>
      </c>
      <c r="D2505">
        <v>2011</v>
      </c>
      <c r="E2505">
        <v>7.2700000000000001E-2</v>
      </c>
      <c r="F2505" t="s">
        <v>187</v>
      </c>
    </row>
    <row r="2506" spans="1:6" x14ac:dyDescent="0.25">
      <c r="A2506" t="s">
        <v>192</v>
      </c>
      <c r="B2506" t="s">
        <v>170</v>
      </c>
      <c r="C2506" t="s">
        <v>126</v>
      </c>
      <c r="D2506">
        <v>2010</v>
      </c>
      <c r="E2506">
        <v>0.2742</v>
      </c>
      <c r="F2506" t="s">
        <v>187</v>
      </c>
    </row>
    <row r="2507" spans="1:6" x14ac:dyDescent="0.25">
      <c r="A2507" t="s">
        <v>192</v>
      </c>
      <c r="B2507" t="s">
        <v>170</v>
      </c>
      <c r="C2507" t="s">
        <v>127</v>
      </c>
      <c r="D2507">
        <v>2014</v>
      </c>
      <c r="E2507">
        <v>0.78400000000000003</v>
      </c>
      <c r="F2507" t="s">
        <v>187</v>
      </c>
    </row>
    <row r="2508" spans="1:6" x14ac:dyDescent="0.25">
      <c r="A2508" t="s">
        <v>192</v>
      </c>
      <c r="B2508" t="s">
        <v>170</v>
      </c>
      <c r="C2508" t="s">
        <v>127</v>
      </c>
      <c r="D2508">
        <v>2013</v>
      </c>
      <c r="E2508">
        <v>0.82040000000000002</v>
      </c>
      <c r="F2508" t="s">
        <v>187</v>
      </c>
    </row>
    <row r="2509" spans="1:6" x14ac:dyDescent="0.25">
      <c r="A2509" t="s">
        <v>192</v>
      </c>
      <c r="B2509" t="s">
        <v>170</v>
      </c>
      <c r="C2509" t="s">
        <v>127</v>
      </c>
      <c r="D2509">
        <v>2012</v>
      </c>
      <c r="E2509">
        <v>0.93</v>
      </c>
      <c r="F2509" t="s">
        <v>187</v>
      </c>
    </row>
    <row r="2510" spans="1:6" x14ac:dyDescent="0.25">
      <c r="A2510" t="s">
        <v>192</v>
      </c>
      <c r="B2510" t="s">
        <v>170</v>
      </c>
      <c r="C2510" t="s">
        <v>127</v>
      </c>
      <c r="D2510">
        <v>2011</v>
      </c>
      <c r="E2510">
        <v>0.77529999999999999</v>
      </c>
      <c r="F2510" t="s">
        <v>187</v>
      </c>
    </row>
    <row r="2511" spans="1:6" x14ac:dyDescent="0.25">
      <c r="A2511" t="s">
        <v>192</v>
      </c>
      <c r="B2511" t="s">
        <v>170</v>
      </c>
      <c r="C2511" t="s">
        <v>127</v>
      </c>
      <c r="D2511">
        <v>2010</v>
      </c>
      <c r="E2511">
        <v>1.9279999999999999</v>
      </c>
      <c r="F2511" t="s">
        <v>187</v>
      </c>
    </row>
    <row r="2512" spans="1:6" x14ac:dyDescent="0.25">
      <c r="A2512" t="s">
        <v>192</v>
      </c>
      <c r="B2512" t="s">
        <v>170</v>
      </c>
      <c r="C2512" t="s">
        <v>128</v>
      </c>
      <c r="D2512">
        <v>2014</v>
      </c>
      <c r="E2512">
        <v>0</v>
      </c>
      <c r="F2512" t="s">
        <v>187</v>
      </c>
    </row>
    <row r="2513" spans="1:6" x14ac:dyDescent="0.25">
      <c r="A2513" t="s">
        <v>192</v>
      </c>
      <c r="B2513" t="s">
        <v>170</v>
      </c>
      <c r="C2513" t="s">
        <v>128</v>
      </c>
      <c r="D2513">
        <v>2013</v>
      </c>
      <c r="E2513">
        <v>0</v>
      </c>
      <c r="F2513" t="s">
        <v>187</v>
      </c>
    </row>
    <row r="2514" spans="1:6" x14ac:dyDescent="0.25">
      <c r="A2514" t="s">
        <v>192</v>
      </c>
      <c r="B2514" t="s">
        <v>170</v>
      </c>
      <c r="C2514" t="s">
        <v>128</v>
      </c>
      <c r="D2514">
        <v>2012</v>
      </c>
      <c r="E2514">
        <v>0</v>
      </c>
      <c r="F2514" t="s">
        <v>187</v>
      </c>
    </row>
    <row r="2515" spans="1:6" x14ac:dyDescent="0.25">
      <c r="A2515" t="s">
        <v>192</v>
      </c>
      <c r="B2515" t="s">
        <v>170</v>
      </c>
      <c r="C2515" t="s">
        <v>128</v>
      </c>
      <c r="D2515">
        <v>2011</v>
      </c>
      <c r="E2515">
        <v>0</v>
      </c>
      <c r="F2515" t="s">
        <v>187</v>
      </c>
    </row>
    <row r="2516" spans="1:6" x14ac:dyDescent="0.25">
      <c r="A2516" t="s">
        <v>192</v>
      </c>
      <c r="B2516" t="s">
        <v>170</v>
      </c>
      <c r="C2516" t="s">
        <v>128</v>
      </c>
      <c r="D2516">
        <v>2010</v>
      </c>
      <c r="E2516">
        <v>0</v>
      </c>
      <c r="F2516" t="s">
        <v>187</v>
      </c>
    </row>
    <row r="2517" spans="1:6" x14ac:dyDescent="0.25">
      <c r="A2517" t="s">
        <v>192</v>
      </c>
      <c r="B2517" t="s">
        <v>170</v>
      </c>
      <c r="C2517" t="s">
        <v>161</v>
      </c>
      <c r="D2517">
        <v>2014</v>
      </c>
      <c r="E2517">
        <v>0</v>
      </c>
      <c r="F2517" t="s">
        <v>187</v>
      </c>
    </row>
    <row r="2518" spans="1:6" x14ac:dyDescent="0.25">
      <c r="A2518" t="s">
        <v>192</v>
      </c>
      <c r="B2518" t="s">
        <v>170</v>
      </c>
      <c r="C2518" t="s">
        <v>161</v>
      </c>
      <c r="D2518">
        <v>2013</v>
      </c>
      <c r="E2518">
        <v>0</v>
      </c>
      <c r="F2518" t="s">
        <v>187</v>
      </c>
    </row>
    <row r="2519" spans="1:6" x14ac:dyDescent="0.25">
      <c r="A2519" t="s">
        <v>192</v>
      </c>
      <c r="B2519" t="s">
        <v>170</v>
      </c>
      <c r="C2519" t="s">
        <v>161</v>
      </c>
      <c r="D2519">
        <v>2012</v>
      </c>
      <c r="E2519">
        <v>0</v>
      </c>
      <c r="F2519" t="s">
        <v>187</v>
      </c>
    </row>
    <row r="2520" spans="1:6" x14ac:dyDescent="0.25">
      <c r="A2520" t="s">
        <v>192</v>
      </c>
      <c r="B2520" t="s">
        <v>170</v>
      </c>
      <c r="C2520" t="s">
        <v>161</v>
      </c>
      <c r="D2520">
        <v>2011</v>
      </c>
      <c r="E2520">
        <v>0</v>
      </c>
      <c r="F2520" t="s">
        <v>187</v>
      </c>
    </row>
    <row r="2521" spans="1:6" x14ac:dyDescent="0.25">
      <c r="A2521" t="s">
        <v>192</v>
      </c>
      <c r="B2521" t="s">
        <v>170</v>
      </c>
      <c r="C2521" t="s">
        <v>161</v>
      </c>
      <c r="D2521">
        <v>2010</v>
      </c>
      <c r="E2521">
        <v>0</v>
      </c>
      <c r="F2521" t="s">
        <v>187</v>
      </c>
    </row>
    <row r="2522" spans="1:6" x14ac:dyDescent="0.25">
      <c r="A2522" t="s">
        <v>192</v>
      </c>
      <c r="B2522" t="s">
        <v>170</v>
      </c>
      <c r="C2522" t="s">
        <v>162</v>
      </c>
      <c r="D2522">
        <v>2014</v>
      </c>
      <c r="E2522">
        <v>0</v>
      </c>
      <c r="F2522" t="s">
        <v>187</v>
      </c>
    </row>
    <row r="2523" spans="1:6" x14ac:dyDescent="0.25">
      <c r="A2523" t="s">
        <v>192</v>
      </c>
      <c r="B2523" t="s">
        <v>170</v>
      </c>
      <c r="C2523" t="s">
        <v>162</v>
      </c>
      <c r="D2523">
        <v>2013</v>
      </c>
      <c r="E2523">
        <v>0</v>
      </c>
      <c r="F2523" t="s">
        <v>187</v>
      </c>
    </row>
    <row r="2524" spans="1:6" x14ac:dyDescent="0.25">
      <c r="A2524" t="s">
        <v>192</v>
      </c>
      <c r="B2524" t="s">
        <v>170</v>
      </c>
      <c r="C2524" t="s">
        <v>162</v>
      </c>
      <c r="D2524">
        <v>2012</v>
      </c>
      <c r="E2524">
        <v>0</v>
      </c>
      <c r="F2524" t="s">
        <v>187</v>
      </c>
    </row>
    <row r="2525" spans="1:6" x14ac:dyDescent="0.25">
      <c r="A2525" t="s">
        <v>192</v>
      </c>
      <c r="B2525" t="s">
        <v>170</v>
      </c>
      <c r="C2525" t="s">
        <v>162</v>
      </c>
      <c r="D2525">
        <v>2011</v>
      </c>
      <c r="E2525">
        <v>0</v>
      </c>
      <c r="F2525" t="s">
        <v>187</v>
      </c>
    </row>
    <row r="2526" spans="1:6" x14ac:dyDescent="0.25">
      <c r="A2526" t="s">
        <v>192</v>
      </c>
      <c r="B2526" t="s">
        <v>170</v>
      </c>
      <c r="C2526" t="s">
        <v>162</v>
      </c>
      <c r="D2526">
        <v>2010</v>
      </c>
      <c r="E2526">
        <v>0</v>
      </c>
      <c r="F2526" t="s">
        <v>187</v>
      </c>
    </row>
    <row r="2527" spans="1:6" x14ac:dyDescent="0.25">
      <c r="A2527" t="s">
        <v>192</v>
      </c>
      <c r="B2527" t="s">
        <v>170</v>
      </c>
      <c r="C2527" t="s">
        <v>129</v>
      </c>
      <c r="D2527">
        <v>2014</v>
      </c>
      <c r="E2527">
        <v>7.4000000000000003E-3</v>
      </c>
      <c r="F2527" t="s">
        <v>187</v>
      </c>
    </row>
    <row r="2528" spans="1:6" x14ac:dyDescent="0.25">
      <c r="A2528" t="s">
        <v>192</v>
      </c>
      <c r="B2528" t="s">
        <v>170</v>
      </c>
      <c r="C2528" t="s">
        <v>129</v>
      </c>
      <c r="D2528">
        <v>2013</v>
      </c>
      <c r="E2528">
        <v>2.9999999999999997E-4</v>
      </c>
      <c r="F2528" t="s">
        <v>187</v>
      </c>
    </row>
    <row r="2529" spans="1:6" x14ac:dyDescent="0.25">
      <c r="A2529" t="s">
        <v>192</v>
      </c>
      <c r="B2529" t="s">
        <v>170</v>
      </c>
      <c r="C2529" t="s">
        <v>129</v>
      </c>
      <c r="D2529">
        <v>2012</v>
      </c>
      <c r="E2529">
        <v>0</v>
      </c>
      <c r="F2529" t="s">
        <v>187</v>
      </c>
    </row>
    <row r="2530" spans="1:6" x14ac:dyDescent="0.25">
      <c r="A2530" t="s">
        <v>192</v>
      </c>
      <c r="B2530" t="s">
        <v>170</v>
      </c>
      <c r="C2530" t="s">
        <v>129</v>
      </c>
      <c r="D2530">
        <v>2011</v>
      </c>
      <c r="E2530">
        <v>0</v>
      </c>
      <c r="F2530" t="s">
        <v>187</v>
      </c>
    </row>
    <row r="2531" spans="1:6" x14ac:dyDescent="0.25">
      <c r="A2531" t="s">
        <v>192</v>
      </c>
      <c r="B2531" t="s">
        <v>170</v>
      </c>
      <c r="C2531" t="s">
        <v>129</v>
      </c>
      <c r="D2531">
        <v>2010</v>
      </c>
      <c r="E2531">
        <v>0</v>
      </c>
      <c r="F2531" t="s">
        <v>187</v>
      </c>
    </row>
    <row r="2532" spans="1:6" x14ac:dyDescent="0.25">
      <c r="A2532" t="s">
        <v>192</v>
      </c>
      <c r="B2532" t="s">
        <v>170</v>
      </c>
      <c r="C2532" t="s">
        <v>130</v>
      </c>
      <c r="D2532">
        <v>2014</v>
      </c>
      <c r="E2532">
        <v>0</v>
      </c>
      <c r="F2532" t="s">
        <v>187</v>
      </c>
    </row>
    <row r="2533" spans="1:6" x14ac:dyDescent="0.25">
      <c r="A2533" t="s">
        <v>192</v>
      </c>
      <c r="B2533" t="s">
        <v>170</v>
      </c>
      <c r="C2533" t="s">
        <v>130</v>
      </c>
      <c r="D2533">
        <v>2013</v>
      </c>
      <c r="E2533">
        <v>0</v>
      </c>
      <c r="F2533" t="s">
        <v>187</v>
      </c>
    </row>
    <row r="2534" spans="1:6" x14ac:dyDescent="0.25">
      <c r="A2534" t="s">
        <v>192</v>
      </c>
      <c r="B2534" t="s">
        <v>170</v>
      </c>
      <c r="C2534" t="s">
        <v>130</v>
      </c>
      <c r="D2534">
        <v>2012</v>
      </c>
      <c r="E2534">
        <v>0</v>
      </c>
      <c r="F2534" t="s">
        <v>187</v>
      </c>
    </row>
    <row r="2535" spans="1:6" x14ac:dyDescent="0.25">
      <c r="A2535" t="s">
        <v>192</v>
      </c>
      <c r="B2535" t="s">
        <v>170</v>
      </c>
      <c r="C2535" t="s">
        <v>130</v>
      </c>
      <c r="D2535">
        <v>2011</v>
      </c>
      <c r="E2535">
        <v>0</v>
      </c>
      <c r="F2535" t="s">
        <v>187</v>
      </c>
    </row>
    <row r="2536" spans="1:6" x14ac:dyDescent="0.25">
      <c r="A2536" t="s">
        <v>192</v>
      </c>
      <c r="B2536" t="s">
        <v>170</v>
      </c>
      <c r="C2536" t="s">
        <v>130</v>
      </c>
      <c r="D2536">
        <v>2010</v>
      </c>
      <c r="E2536">
        <v>0</v>
      </c>
      <c r="F2536" t="s">
        <v>187</v>
      </c>
    </row>
    <row r="2537" spans="1:6" x14ac:dyDescent="0.25">
      <c r="A2537" t="s">
        <v>192</v>
      </c>
      <c r="B2537" t="s">
        <v>170</v>
      </c>
      <c r="C2537" t="s">
        <v>131</v>
      </c>
      <c r="D2537">
        <v>2014</v>
      </c>
      <c r="E2537">
        <v>0</v>
      </c>
      <c r="F2537" t="s">
        <v>187</v>
      </c>
    </row>
    <row r="2538" spans="1:6" x14ac:dyDescent="0.25">
      <c r="A2538" t="s">
        <v>192</v>
      </c>
      <c r="B2538" t="s">
        <v>170</v>
      </c>
      <c r="C2538" t="s">
        <v>131</v>
      </c>
      <c r="D2538">
        <v>2013</v>
      </c>
      <c r="E2538">
        <v>0</v>
      </c>
      <c r="F2538" t="s">
        <v>187</v>
      </c>
    </row>
    <row r="2539" spans="1:6" x14ac:dyDescent="0.25">
      <c r="A2539" t="s">
        <v>192</v>
      </c>
      <c r="B2539" t="s">
        <v>170</v>
      </c>
      <c r="C2539" t="s">
        <v>131</v>
      </c>
      <c r="D2539">
        <v>2012</v>
      </c>
      <c r="E2539">
        <v>0</v>
      </c>
      <c r="F2539" t="s">
        <v>187</v>
      </c>
    </row>
    <row r="2540" spans="1:6" x14ac:dyDescent="0.25">
      <c r="A2540" t="s">
        <v>192</v>
      </c>
      <c r="B2540" t="s">
        <v>170</v>
      </c>
      <c r="C2540" t="s">
        <v>131</v>
      </c>
      <c r="D2540">
        <v>2011</v>
      </c>
      <c r="E2540">
        <v>0</v>
      </c>
      <c r="F2540" t="s">
        <v>187</v>
      </c>
    </row>
    <row r="2541" spans="1:6" x14ac:dyDescent="0.25">
      <c r="A2541" t="s">
        <v>192</v>
      </c>
      <c r="B2541" t="s">
        <v>170</v>
      </c>
      <c r="C2541" t="s">
        <v>131</v>
      </c>
      <c r="D2541">
        <v>2010</v>
      </c>
      <c r="E2541">
        <v>0</v>
      </c>
      <c r="F2541" t="s">
        <v>187</v>
      </c>
    </row>
    <row r="2542" spans="1:6" x14ac:dyDescent="0.25">
      <c r="A2542" t="s">
        <v>192</v>
      </c>
      <c r="B2542" t="s">
        <v>170</v>
      </c>
      <c r="C2542" t="s">
        <v>132</v>
      </c>
      <c r="D2542">
        <v>2014</v>
      </c>
      <c r="E2542">
        <v>0</v>
      </c>
      <c r="F2542" t="s">
        <v>187</v>
      </c>
    </row>
    <row r="2543" spans="1:6" x14ac:dyDescent="0.25">
      <c r="A2543" t="s">
        <v>192</v>
      </c>
      <c r="B2543" t="s">
        <v>170</v>
      </c>
      <c r="C2543" t="s">
        <v>132</v>
      </c>
      <c r="D2543">
        <v>2013</v>
      </c>
      <c r="E2543">
        <v>0</v>
      </c>
      <c r="F2543" t="s">
        <v>187</v>
      </c>
    </row>
    <row r="2544" spans="1:6" x14ac:dyDescent="0.25">
      <c r="A2544" t="s">
        <v>192</v>
      </c>
      <c r="B2544" t="s">
        <v>170</v>
      </c>
      <c r="C2544" t="s">
        <v>132</v>
      </c>
      <c r="D2544">
        <v>2012</v>
      </c>
      <c r="E2544">
        <v>0</v>
      </c>
      <c r="F2544" t="s">
        <v>187</v>
      </c>
    </row>
    <row r="2545" spans="1:6" x14ac:dyDescent="0.25">
      <c r="A2545" t="s">
        <v>192</v>
      </c>
      <c r="B2545" t="s">
        <v>170</v>
      </c>
      <c r="C2545" t="s">
        <v>132</v>
      </c>
      <c r="D2545">
        <v>2011</v>
      </c>
      <c r="E2545">
        <v>0</v>
      </c>
      <c r="F2545" t="s">
        <v>187</v>
      </c>
    </row>
    <row r="2546" spans="1:6" x14ac:dyDescent="0.25">
      <c r="A2546" t="s">
        <v>192</v>
      </c>
      <c r="B2546" t="s">
        <v>170</v>
      </c>
      <c r="C2546" t="s">
        <v>132</v>
      </c>
      <c r="D2546">
        <v>2010</v>
      </c>
      <c r="E2546">
        <v>0</v>
      </c>
      <c r="F2546" t="s">
        <v>187</v>
      </c>
    </row>
    <row r="2547" spans="1:6" x14ac:dyDescent="0.25">
      <c r="A2547" t="s">
        <v>192</v>
      </c>
      <c r="B2547" t="s">
        <v>170</v>
      </c>
      <c r="C2547" t="s">
        <v>163</v>
      </c>
      <c r="D2547">
        <v>2014</v>
      </c>
      <c r="E2547">
        <v>0</v>
      </c>
      <c r="F2547" t="s">
        <v>187</v>
      </c>
    </row>
    <row r="2548" spans="1:6" x14ac:dyDescent="0.25">
      <c r="A2548" t="s">
        <v>192</v>
      </c>
      <c r="B2548" t="s">
        <v>170</v>
      </c>
      <c r="C2548" t="s">
        <v>163</v>
      </c>
      <c r="D2548">
        <v>2013</v>
      </c>
      <c r="E2548">
        <v>0</v>
      </c>
      <c r="F2548" t="s">
        <v>187</v>
      </c>
    </row>
    <row r="2549" spans="1:6" x14ac:dyDescent="0.25">
      <c r="A2549" t="s">
        <v>192</v>
      </c>
      <c r="B2549" t="s">
        <v>170</v>
      </c>
      <c r="C2549" t="s">
        <v>163</v>
      </c>
      <c r="D2549">
        <v>2012</v>
      </c>
      <c r="E2549">
        <v>0</v>
      </c>
      <c r="F2549" t="s">
        <v>187</v>
      </c>
    </row>
    <row r="2550" spans="1:6" x14ac:dyDescent="0.25">
      <c r="A2550" t="s">
        <v>192</v>
      </c>
      <c r="B2550" t="s">
        <v>170</v>
      </c>
      <c r="C2550" t="s">
        <v>163</v>
      </c>
      <c r="D2550">
        <v>2011</v>
      </c>
      <c r="E2550">
        <v>0</v>
      </c>
      <c r="F2550" t="s">
        <v>187</v>
      </c>
    </row>
    <row r="2551" spans="1:6" x14ac:dyDescent="0.25">
      <c r="A2551" t="s">
        <v>192</v>
      </c>
      <c r="B2551" t="s">
        <v>170</v>
      </c>
      <c r="C2551" t="s">
        <v>163</v>
      </c>
      <c r="D2551">
        <v>2010</v>
      </c>
      <c r="E2551">
        <v>0</v>
      </c>
      <c r="F2551" t="s">
        <v>187</v>
      </c>
    </row>
    <row r="2552" spans="1:6" x14ac:dyDescent="0.25">
      <c r="A2552" t="s">
        <v>192</v>
      </c>
      <c r="B2552" t="s">
        <v>170</v>
      </c>
      <c r="C2552" t="s">
        <v>133</v>
      </c>
      <c r="D2552">
        <v>2014</v>
      </c>
      <c r="E2552">
        <v>0</v>
      </c>
      <c r="F2552" t="s">
        <v>187</v>
      </c>
    </row>
    <row r="2553" spans="1:6" x14ac:dyDescent="0.25">
      <c r="A2553" t="s">
        <v>192</v>
      </c>
      <c r="B2553" t="s">
        <v>170</v>
      </c>
      <c r="C2553" t="s">
        <v>133</v>
      </c>
      <c r="D2553">
        <v>2013</v>
      </c>
      <c r="E2553">
        <v>0</v>
      </c>
      <c r="F2553" t="s">
        <v>187</v>
      </c>
    </row>
    <row r="2554" spans="1:6" x14ac:dyDescent="0.25">
      <c r="A2554" t="s">
        <v>192</v>
      </c>
      <c r="B2554" t="s">
        <v>170</v>
      </c>
      <c r="C2554" t="s">
        <v>133</v>
      </c>
      <c r="D2554">
        <v>2012</v>
      </c>
      <c r="E2554">
        <v>0</v>
      </c>
      <c r="F2554" t="s">
        <v>187</v>
      </c>
    </row>
    <row r="2555" spans="1:6" x14ac:dyDescent="0.25">
      <c r="A2555" t="s">
        <v>192</v>
      </c>
      <c r="B2555" t="s">
        <v>170</v>
      </c>
      <c r="C2555" t="s">
        <v>133</v>
      </c>
      <c r="D2555">
        <v>2011</v>
      </c>
      <c r="E2555">
        <v>0</v>
      </c>
      <c r="F2555" t="s">
        <v>187</v>
      </c>
    </row>
    <row r="2556" spans="1:6" x14ac:dyDescent="0.25">
      <c r="A2556" t="s">
        <v>192</v>
      </c>
      <c r="B2556" t="s">
        <v>170</v>
      </c>
      <c r="C2556" t="s">
        <v>133</v>
      </c>
      <c r="D2556">
        <v>2010</v>
      </c>
      <c r="E2556">
        <v>0</v>
      </c>
      <c r="F2556" t="s">
        <v>187</v>
      </c>
    </row>
    <row r="2557" spans="1:6" x14ac:dyDescent="0.25">
      <c r="A2557" t="s">
        <v>192</v>
      </c>
      <c r="B2557" t="s">
        <v>170</v>
      </c>
      <c r="C2557" t="s">
        <v>134</v>
      </c>
      <c r="D2557">
        <v>2014</v>
      </c>
      <c r="E2557">
        <v>1.2699999999999999E-2</v>
      </c>
      <c r="F2557" t="s">
        <v>187</v>
      </c>
    </row>
    <row r="2558" spans="1:6" x14ac:dyDescent="0.25">
      <c r="A2558" t="s">
        <v>192</v>
      </c>
      <c r="B2558" t="s">
        <v>170</v>
      </c>
      <c r="C2558" t="s">
        <v>134</v>
      </c>
      <c r="D2558">
        <v>2013</v>
      </c>
      <c r="E2558">
        <v>8.0000000000000004E-4</v>
      </c>
      <c r="F2558" t="s">
        <v>187</v>
      </c>
    </row>
    <row r="2559" spans="1:6" x14ac:dyDescent="0.25">
      <c r="A2559" t="s">
        <v>192</v>
      </c>
      <c r="B2559" t="s">
        <v>170</v>
      </c>
      <c r="C2559" t="s">
        <v>134</v>
      </c>
      <c r="D2559">
        <v>2012</v>
      </c>
      <c r="E2559">
        <v>1E-3</v>
      </c>
      <c r="F2559" t="s">
        <v>187</v>
      </c>
    </row>
    <row r="2560" spans="1:6" x14ac:dyDescent="0.25">
      <c r="A2560" t="s">
        <v>192</v>
      </c>
      <c r="B2560" t="s">
        <v>170</v>
      </c>
      <c r="C2560" t="s">
        <v>134</v>
      </c>
      <c r="D2560">
        <v>2011</v>
      </c>
      <c r="E2560">
        <v>6.9999999999999999E-4</v>
      </c>
      <c r="F2560" t="s">
        <v>187</v>
      </c>
    </row>
    <row r="2561" spans="1:6" x14ac:dyDescent="0.25">
      <c r="A2561" t="s">
        <v>192</v>
      </c>
      <c r="B2561" t="s">
        <v>170</v>
      </c>
      <c r="C2561" t="s">
        <v>134</v>
      </c>
      <c r="D2561">
        <v>2010</v>
      </c>
      <c r="E2561">
        <v>8.9999999999999998E-4</v>
      </c>
      <c r="F2561" t="s">
        <v>187</v>
      </c>
    </row>
    <row r="2562" spans="1:6" x14ac:dyDescent="0.25">
      <c r="A2562" t="s">
        <v>192</v>
      </c>
      <c r="B2562" t="s">
        <v>170</v>
      </c>
      <c r="C2562" t="s">
        <v>135</v>
      </c>
      <c r="D2562">
        <v>2014</v>
      </c>
      <c r="E2562">
        <v>0</v>
      </c>
      <c r="F2562" t="s">
        <v>187</v>
      </c>
    </row>
    <row r="2563" spans="1:6" x14ac:dyDescent="0.25">
      <c r="A2563" t="s">
        <v>192</v>
      </c>
      <c r="B2563" t="s">
        <v>170</v>
      </c>
      <c r="C2563" t="s">
        <v>135</v>
      </c>
      <c r="D2563">
        <v>2013</v>
      </c>
      <c r="E2563">
        <v>0</v>
      </c>
      <c r="F2563" t="s">
        <v>187</v>
      </c>
    </row>
    <row r="2564" spans="1:6" x14ac:dyDescent="0.25">
      <c r="A2564" t="s">
        <v>192</v>
      </c>
      <c r="B2564" t="s">
        <v>170</v>
      </c>
      <c r="C2564" t="s">
        <v>135</v>
      </c>
      <c r="D2564">
        <v>2012</v>
      </c>
      <c r="E2564">
        <v>0</v>
      </c>
      <c r="F2564" t="s">
        <v>187</v>
      </c>
    </row>
    <row r="2565" spans="1:6" x14ac:dyDescent="0.25">
      <c r="A2565" t="s">
        <v>192</v>
      </c>
      <c r="B2565" t="s">
        <v>170</v>
      </c>
      <c r="C2565" t="s">
        <v>135</v>
      </c>
      <c r="D2565">
        <v>2011</v>
      </c>
      <c r="E2565">
        <v>0</v>
      </c>
      <c r="F2565" t="s">
        <v>187</v>
      </c>
    </row>
    <row r="2566" spans="1:6" x14ac:dyDescent="0.25">
      <c r="A2566" t="s">
        <v>192</v>
      </c>
      <c r="B2566" t="s">
        <v>170</v>
      </c>
      <c r="C2566" t="s">
        <v>135</v>
      </c>
      <c r="D2566">
        <v>2010</v>
      </c>
      <c r="E2566">
        <v>0</v>
      </c>
      <c r="F2566" t="s">
        <v>187</v>
      </c>
    </row>
    <row r="2567" spans="1:6" x14ac:dyDescent="0.25">
      <c r="A2567" t="s">
        <v>192</v>
      </c>
      <c r="B2567" t="s">
        <v>170</v>
      </c>
      <c r="C2567" t="s">
        <v>136</v>
      </c>
      <c r="D2567">
        <v>2014</v>
      </c>
      <c r="E2567">
        <v>0</v>
      </c>
      <c r="F2567" t="s">
        <v>187</v>
      </c>
    </row>
    <row r="2568" spans="1:6" x14ac:dyDescent="0.25">
      <c r="A2568" t="s">
        <v>192</v>
      </c>
      <c r="B2568" t="s">
        <v>170</v>
      </c>
      <c r="C2568" t="s">
        <v>136</v>
      </c>
      <c r="D2568">
        <v>2013</v>
      </c>
      <c r="E2568">
        <v>0</v>
      </c>
      <c r="F2568" t="s">
        <v>187</v>
      </c>
    </row>
    <row r="2569" spans="1:6" x14ac:dyDescent="0.25">
      <c r="A2569" t="s">
        <v>192</v>
      </c>
      <c r="B2569" t="s">
        <v>170</v>
      </c>
      <c r="C2569" t="s">
        <v>136</v>
      </c>
      <c r="D2569">
        <v>2012</v>
      </c>
      <c r="E2569">
        <v>0</v>
      </c>
      <c r="F2569" t="s">
        <v>187</v>
      </c>
    </row>
    <row r="2570" spans="1:6" x14ac:dyDescent="0.25">
      <c r="A2570" t="s">
        <v>192</v>
      </c>
      <c r="B2570" t="s">
        <v>170</v>
      </c>
      <c r="C2570" t="s">
        <v>136</v>
      </c>
      <c r="D2570">
        <v>2011</v>
      </c>
      <c r="E2570">
        <v>0</v>
      </c>
      <c r="F2570" t="s">
        <v>187</v>
      </c>
    </row>
    <row r="2571" spans="1:6" x14ac:dyDescent="0.25">
      <c r="A2571" t="s">
        <v>192</v>
      </c>
      <c r="B2571" t="s">
        <v>170</v>
      </c>
      <c r="C2571" t="s">
        <v>136</v>
      </c>
      <c r="D2571">
        <v>2010</v>
      </c>
      <c r="E2571">
        <v>0</v>
      </c>
      <c r="F2571" t="s">
        <v>187</v>
      </c>
    </row>
    <row r="2572" spans="1:6" x14ac:dyDescent="0.25">
      <c r="A2572" t="s">
        <v>192</v>
      </c>
      <c r="B2572" t="s">
        <v>170</v>
      </c>
      <c r="C2572" t="s">
        <v>137</v>
      </c>
      <c r="D2572">
        <v>2014</v>
      </c>
      <c r="E2572">
        <v>0</v>
      </c>
      <c r="F2572" t="s">
        <v>187</v>
      </c>
    </row>
    <row r="2573" spans="1:6" x14ac:dyDescent="0.25">
      <c r="A2573" t="s">
        <v>192</v>
      </c>
      <c r="B2573" t="s">
        <v>170</v>
      </c>
      <c r="C2573" t="s">
        <v>137</v>
      </c>
      <c r="D2573">
        <v>2013</v>
      </c>
      <c r="E2573">
        <v>0</v>
      </c>
      <c r="F2573" t="s">
        <v>187</v>
      </c>
    </row>
    <row r="2574" spans="1:6" x14ac:dyDescent="0.25">
      <c r="A2574" t="s">
        <v>192</v>
      </c>
      <c r="B2574" t="s">
        <v>170</v>
      </c>
      <c r="C2574" t="s">
        <v>137</v>
      </c>
      <c r="D2574">
        <v>2012</v>
      </c>
      <c r="E2574">
        <v>0</v>
      </c>
      <c r="F2574" t="s">
        <v>187</v>
      </c>
    </row>
    <row r="2575" spans="1:6" x14ac:dyDescent="0.25">
      <c r="A2575" t="s">
        <v>192</v>
      </c>
      <c r="B2575" t="s">
        <v>170</v>
      </c>
      <c r="C2575" t="s">
        <v>137</v>
      </c>
      <c r="D2575">
        <v>2011</v>
      </c>
      <c r="E2575">
        <v>0</v>
      </c>
      <c r="F2575" t="s">
        <v>187</v>
      </c>
    </row>
    <row r="2576" spans="1:6" x14ac:dyDescent="0.25">
      <c r="A2576" t="s">
        <v>192</v>
      </c>
      <c r="B2576" t="s">
        <v>170</v>
      </c>
      <c r="C2576" t="s">
        <v>137</v>
      </c>
      <c r="D2576">
        <v>2010</v>
      </c>
      <c r="E2576">
        <v>0</v>
      </c>
      <c r="F2576" t="s">
        <v>187</v>
      </c>
    </row>
    <row r="2577" spans="1:6" x14ac:dyDescent="0.25">
      <c r="A2577" t="s">
        <v>192</v>
      </c>
      <c r="B2577" t="s">
        <v>170</v>
      </c>
      <c r="C2577" t="s">
        <v>138</v>
      </c>
      <c r="D2577">
        <v>2014</v>
      </c>
      <c r="E2577">
        <v>0</v>
      </c>
      <c r="F2577" t="s">
        <v>187</v>
      </c>
    </row>
    <row r="2578" spans="1:6" x14ac:dyDescent="0.25">
      <c r="A2578" t="s">
        <v>192</v>
      </c>
      <c r="B2578" t="s">
        <v>170</v>
      </c>
      <c r="C2578" t="s">
        <v>138</v>
      </c>
      <c r="D2578">
        <v>2013</v>
      </c>
      <c r="E2578">
        <v>0</v>
      </c>
      <c r="F2578" t="s">
        <v>187</v>
      </c>
    </row>
    <row r="2579" spans="1:6" x14ac:dyDescent="0.25">
      <c r="A2579" t="s">
        <v>192</v>
      </c>
      <c r="B2579" t="s">
        <v>170</v>
      </c>
      <c r="C2579" t="s">
        <v>138</v>
      </c>
      <c r="D2579">
        <v>2012</v>
      </c>
      <c r="E2579">
        <v>0</v>
      </c>
      <c r="F2579" t="s">
        <v>187</v>
      </c>
    </row>
    <row r="2580" spans="1:6" x14ac:dyDescent="0.25">
      <c r="A2580" t="s">
        <v>192</v>
      </c>
      <c r="B2580" t="s">
        <v>170</v>
      </c>
      <c r="C2580" t="s">
        <v>138</v>
      </c>
      <c r="D2580">
        <v>2011</v>
      </c>
      <c r="E2580">
        <v>0</v>
      </c>
      <c r="F2580" t="s">
        <v>187</v>
      </c>
    </row>
    <row r="2581" spans="1:6" x14ac:dyDescent="0.25">
      <c r="A2581" t="s">
        <v>192</v>
      </c>
      <c r="B2581" t="s">
        <v>170</v>
      </c>
      <c r="C2581" t="s">
        <v>138</v>
      </c>
      <c r="D2581">
        <v>2010</v>
      </c>
      <c r="E2581">
        <v>0</v>
      </c>
      <c r="F2581" t="s">
        <v>187</v>
      </c>
    </row>
    <row r="2582" spans="1:6" x14ac:dyDescent="0.25">
      <c r="A2582" t="s">
        <v>192</v>
      </c>
      <c r="B2582" t="s">
        <v>170</v>
      </c>
      <c r="C2582" t="s">
        <v>164</v>
      </c>
      <c r="D2582">
        <v>2014</v>
      </c>
      <c r="E2582">
        <v>0</v>
      </c>
      <c r="F2582" t="s">
        <v>187</v>
      </c>
    </row>
    <row r="2583" spans="1:6" x14ac:dyDescent="0.25">
      <c r="A2583" t="s">
        <v>192</v>
      </c>
      <c r="B2583" t="s">
        <v>170</v>
      </c>
      <c r="C2583" t="s">
        <v>164</v>
      </c>
      <c r="D2583">
        <v>2013</v>
      </c>
      <c r="E2583">
        <v>0</v>
      </c>
      <c r="F2583" t="s">
        <v>187</v>
      </c>
    </row>
    <row r="2584" spans="1:6" x14ac:dyDescent="0.25">
      <c r="A2584" t="s">
        <v>192</v>
      </c>
      <c r="B2584" t="s">
        <v>170</v>
      </c>
      <c r="C2584" t="s">
        <v>164</v>
      </c>
      <c r="D2584">
        <v>2012</v>
      </c>
      <c r="E2584">
        <v>0</v>
      </c>
      <c r="F2584" t="s">
        <v>187</v>
      </c>
    </row>
    <row r="2585" spans="1:6" x14ac:dyDescent="0.25">
      <c r="A2585" t="s">
        <v>192</v>
      </c>
      <c r="B2585" t="s">
        <v>170</v>
      </c>
      <c r="C2585" t="s">
        <v>164</v>
      </c>
      <c r="D2585">
        <v>2011</v>
      </c>
      <c r="E2585">
        <v>0</v>
      </c>
      <c r="F2585" t="s">
        <v>187</v>
      </c>
    </row>
    <row r="2586" spans="1:6" x14ac:dyDescent="0.25">
      <c r="A2586" t="s">
        <v>192</v>
      </c>
      <c r="B2586" t="s">
        <v>170</v>
      </c>
      <c r="C2586" t="s">
        <v>164</v>
      </c>
      <c r="D2586">
        <v>2010</v>
      </c>
      <c r="E2586">
        <v>0</v>
      </c>
      <c r="F2586" t="s">
        <v>187</v>
      </c>
    </row>
    <row r="2587" spans="1:6" x14ac:dyDescent="0.25">
      <c r="A2587" t="s">
        <v>192</v>
      </c>
      <c r="B2587" t="s">
        <v>170</v>
      </c>
      <c r="C2587" t="s">
        <v>139</v>
      </c>
      <c r="D2587">
        <v>2014</v>
      </c>
      <c r="E2587">
        <v>0</v>
      </c>
      <c r="F2587" t="s">
        <v>187</v>
      </c>
    </row>
    <row r="2588" spans="1:6" x14ac:dyDescent="0.25">
      <c r="A2588" t="s">
        <v>192</v>
      </c>
      <c r="B2588" t="s">
        <v>170</v>
      </c>
      <c r="C2588" t="s">
        <v>139</v>
      </c>
      <c r="D2588">
        <v>2013</v>
      </c>
      <c r="E2588">
        <v>0</v>
      </c>
      <c r="F2588" t="s">
        <v>187</v>
      </c>
    </row>
    <row r="2589" spans="1:6" x14ac:dyDescent="0.25">
      <c r="A2589" t="s">
        <v>192</v>
      </c>
      <c r="B2589" t="s">
        <v>170</v>
      </c>
      <c r="C2589" t="s">
        <v>139</v>
      </c>
      <c r="D2589">
        <v>2012</v>
      </c>
      <c r="E2589">
        <v>0</v>
      </c>
      <c r="F2589" t="s">
        <v>187</v>
      </c>
    </row>
    <row r="2590" spans="1:6" x14ac:dyDescent="0.25">
      <c r="A2590" t="s">
        <v>192</v>
      </c>
      <c r="B2590" t="s">
        <v>170</v>
      </c>
      <c r="C2590" t="s">
        <v>139</v>
      </c>
      <c r="D2590">
        <v>2011</v>
      </c>
      <c r="E2590">
        <v>0</v>
      </c>
      <c r="F2590" t="s">
        <v>187</v>
      </c>
    </row>
    <row r="2591" spans="1:6" x14ac:dyDescent="0.25">
      <c r="A2591" t="s">
        <v>192</v>
      </c>
      <c r="B2591" t="s">
        <v>170</v>
      </c>
      <c r="C2591" t="s">
        <v>139</v>
      </c>
      <c r="D2591">
        <v>2010</v>
      </c>
      <c r="E2591">
        <v>0</v>
      </c>
      <c r="F2591" t="s">
        <v>187</v>
      </c>
    </row>
    <row r="2592" spans="1:6" x14ac:dyDescent="0.25">
      <c r="A2592" t="s">
        <v>192</v>
      </c>
      <c r="B2592" t="s">
        <v>170</v>
      </c>
      <c r="C2592" t="s">
        <v>165</v>
      </c>
      <c r="D2592">
        <v>2014</v>
      </c>
      <c r="E2592">
        <v>0</v>
      </c>
      <c r="F2592" t="s">
        <v>187</v>
      </c>
    </row>
    <row r="2593" spans="1:6" x14ac:dyDescent="0.25">
      <c r="A2593" t="s">
        <v>192</v>
      </c>
      <c r="B2593" t="s">
        <v>170</v>
      </c>
      <c r="C2593" t="s">
        <v>165</v>
      </c>
      <c r="D2593">
        <v>2013</v>
      </c>
      <c r="E2593">
        <v>0</v>
      </c>
      <c r="F2593" t="s">
        <v>187</v>
      </c>
    </row>
    <row r="2594" spans="1:6" x14ac:dyDescent="0.25">
      <c r="A2594" t="s">
        <v>192</v>
      </c>
      <c r="B2594" t="s">
        <v>170</v>
      </c>
      <c r="C2594" t="s">
        <v>165</v>
      </c>
      <c r="D2594">
        <v>2012</v>
      </c>
      <c r="E2594">
        <v>0</v>
      </c>
      <c r="F2594" t="s">
        <v>187</v>
      </c>
    </row>
    <row r="2595" spans="1:6" x14ac:dyDescent="0.25">
      <c r="A2595" t="s">
        <v>192</v>
      </c>
      <c r="B2595" t="s">
        <v>170</v>
      </c>
      <c r="C2595" t="s">
        <v>165</v>
      </c>
      <c r="D2595">
        <v>2011</v>
      </c>
      <c r="E2595">
        <v>0</v>
      </c>
      <c r="F2595" t="s">
        <v>187</v>
      </c>
    </row>
    <row r="2596" spans="1:6" x14ac:dyDescent="0.25">
      <c r="A2596" t="s">
        <v>192</v>
      </c>
      <c r="B2596" t="s">
        <v>170</v>
      </c>
      <c r="C2596" t="s">
        <v>165</v>
      </c>
      <c r="D2596">
        <v>2010</v>
      </c>
      <c r="E2596">
        <v>0</v>
      </c>
      <c r="F2596" t="s">
        <v>187</v>
      </c>
    </row>
    <row r="2597" spans="1:6" x14ac:dyDescent="0.25">
      <c r="A2597" t="s">
        <v>192</v>
      </c>
      <c r="B2597" t="s">
        <v>170</v>
      </c>
      <c r="C2597" t="s">
        <v>140</v>
      </c>
      <c r="D2597">
        <v>2014</v>
      </c>
      <c r="E2597">
        <v>0</v>
      </c>
      <c r="F2597" t="s">
        <v>187</v>
      </c>
    </row>
    <row r="2598" spans="1:6" x14ac:dyDescent="0.25">
      <c r="A2598" t="s">
        <v>192</v>
      </c>
      <c r="B2598" t="s">
        <v>170</v>
      </c>
      <c r="C2598" t="s">
        <v>140</v>
      </c>
      <c r="D2598">
        <v>2013</v>
      </c>
      <c r="E2598">
        <v>0</v>
      </c>
      <c r="F2598" t="s">
        <v>187</v>
      </c>
    </row>
    <row r="2599" spans="1:6" x14ac:dyDescent="0.25">
      <c r="A2599" t="s">
        <v>192</v>
      </c>
      <c r="B2599" t="s">
        <v>170</v>
      </c>
      <c r="C2599" t="s">
        <v>140</v>
      </c>
      <c r="D2599">
        <v>2012</v>
      </c>
      <c r="E2599">
        <v>0</v>
      </c>
      <c r="F2599" t="s">
        <v>187</v>
      </c>
    </row>
    <row r="2600" spans="1:6" x14ac:dyDescent="0.25">
      <c r="A2600" t="s">
        <v>192</v>
      </c>
      <c r="B2600" t="s">
        <v>170</v>
      </c>
      <c r="C2600" t="s">
        <v>140</v>
      </c>
      <c r="D2600">
        <v>2011</v>
      </c>
      <c r="E2600">
        <v>0</v>
      </c>
      <c r="F2600" t="s">
        <v>187</v>
      </c>
    </row>
    <row r="2601" spans="1:6" x14ac:dyDescent="0.25">
      <c r="A2601" t="s">
        <v>192</v>
      </c>
      <c r="B2601" t="s">
        <v>170</v>
      </c>
      <c r="C2601" t="s">
        <v>140</v>
      </c>
      <c r="D2601">
        <v>2010</v>
      </c>
      <c r="E2601">
        <v>0</v>
      </c>
      <c r="F2601" t="s">
        <v>187</v>
      </c>
    </row>
    <row r="2602" spans="1:6" x14ac:dyDescent="0.25">
      <c r="A2602" t="s">
        <v>192</v>
      </c>
      <c r="B2602" t="s">
        <v>170</v>
      </c>
      <c r="C2602" t="s">
        <v>141</v>
      </c>
      <c r="D2602">
        <v>2014</v>
      </c>
      <c r="E2602">
        <v>0.1472</v>
      </c>
      <c r="F2602" t="s">
        <v>187</v>
      </c>
    </row>
    <row r="2603" spans="1:6" x14ac:dyDescent="0.25">
      <c r="A2603" t="s">
        <v>192</v>
      </c>
      <c r="B2603" t="s">
        <v>170</v>
      </c>
      <c r="C2603" t="s">
        <v>141</v>
      </c>
      <c r="D2603">
        <v>2013</v>
      </c>
      <c r="E2603">
        <v>0.2576</v>
      </c>
      <c r="F2603" t="s">
        <v>187</v>
      </c>
    </row>
    <row r="2604" spans="1:6" x14ac:dyDescent="0.25">
      <c r="A2604" t="s">
        <v>192</v>
      </c>
      <c r="B2604" t="s">
        <v>170</v>
      </c>
      <c r="C2604" t="s">
        <v>141</v>
      </c>
      <c r="D2604">
        <v>2012</v>
      </c>
      <c r="E2604">
        <v>0</v>
      </c>
      <c r="F2604" t="s">
        <v>187</v>
      </c>
    </row>
    <row r="2605" spans="1:6" x14ac:dyDescent="0.25">
      <c r="A2605" t="s">
        <v>192</v>
      </c>
      <c r="B2605" t="s">
        <v>170</v>
      </c>
      <c r="C2605" t="s">
        <v>141</v>
      </c>
      <c r="D2605">
        <v>2011</v>
      </c>
      <c r="E2605">
        <v>0</v>
      </c>
      <c r="F2605" t="s">
        <v>187</v>
      </c>
    </row>
    <row r="2606" spans="1:6" x14ac:dyDescent="0.25">
      <c r="A2606" t="s">
        <v>192</v>
      </c>
      <c r="B2606" t="s">
        <v>170</v>
      </c>
      <c r="C2606" t="s">
        <v>141</v>
      </c>
      <c r="D2606">
        <v>2010</v>
      </c>
      <c r="E2606">
        <v>0</v>
      </c>
      <c r="F2606" t="s">
        <v>187</v>
      </c>
    </row>
    <row r="2607" spans="1:6" x14ac:dyDescent="0.25">
      <c r="A2607" t="s">
        <v>192</v>
      </c>
      <c r="B2607" t="s">
        <v>170</v>
      </c>
      <c r="C2607" t="s">
        <v>142</v>
      </c>
      <c r="D2607">
        <v>2014</v>
      </c>
      <c r="E2607">
        <v>0</v>
      </c>
      <c r="F2607" t="s">
        <v>187</v>
      </c>
    </row>
    <row r="2608" spans="1:6" x14ac:dyDescent="0.25">
      <c r="A2608" t="s">
        <v>192</v>
      </c>
      <c r="B2608" t="s">
        <v>170</v>
      </c>
      <c r="C2608" t="s">
        <v>142</v>
      </c>
      <c r="D2608">
        <v>2013</v>
      </c>
      <c r="E2608">
        <v>0</v>
      </c>
      <c r="F2608" t="s">
        <v>187</v>
      </c>
    </row>
    <row r="2609" spans="1:6" x14ac:dyDescent="0.25">
      <c r="A2609" t="s">
        <v>192</v>
      </c>
      <c r="B2609" t="s">
        <v>170</v>
      </c>
      <c r="C2609" t="s">
        <v>142</v>
      </c>
      <c r="D2609">
        <v>2012</v>
      </c>
      <c r="E2609">
        <v>0</v>
      </c>
      <c r="F2609" t="s">
        <v>187</v>
      </c>
    </row>
    <row r="2610" spans="1:6" x14ac:dyDescent="0.25">
      <c r="A2610" t="s">
        <v>192</v>
      </c>
      <c r="B2610" t="s">
        <v>170</v>
      </c>
      <c r="C2610" t="s">
        <v>142</v>
      </c>
      <c r="D2610">
        <v>2011</v>
      </c>
      <c r="E2610">
        <v>0</v>
      </c>
      <c r="F2610" t="s">
        <v>187</v>
      </c>
    </row>
    <row r="2611" spans="1:6" x14ac:dyDescent="0.25">
      <c r="A2611" t="s">
        <v>192</v>
      </c>
      <c r="B2611" t="s">
        <v>170</v>
      </c>
      <c r="C2611" t="s">
        <v>142</v>
      </c>
      <c r="D2611">
        <v>2010</v>
      </c>
      <c r="E2611">
        <v>0</v>
      </c>
      <c r="F2611" t="s">
        <v>187</v>
      </c>
    </row>
    <row r="2612" spans="1:6" x14ac:dyDescent="0.25">
      <c r="A2612" t="s">
        <v>192</v>
      </c>
      <c r="B2612" t="s">
        <v>170</v>
      </c>
      <c r="C2612" t="s">
        <v>166</v>
      </c>
      <c r="D2612">
        <v>2014</v>
      </c>
      <c r="E2612">
        <v>0</v>
      </c>
      <c r="F2612" t="s">
        <v>187</v>
      </c>
    </row>
    <row r="2613" spans="1:6" x14ac:dyDescent="0.25">
      <c r="A2613" t="s">
        <v>192</v>
      </c>
      <c r="B2613" t="s">
        <v>170</v>
      </c>
      <c r="C2613" t="s">
        <v>166</v>
      </c>
      <c r="D2613">
        <v>2013</v>
      </c>
      <c r="E2613">
        <v>0</v>
      </c>
      <c r="F2613" t="s">
        <v>187</v>
      </c>
    </row>
    <row r="2614" spans="1:6" x14ac:dyDescent="0.25">
      <c r="A2614" t="s">
        <v>192</v>
      </c>
      <c r="B2614" t="s">
        <v>170</v>
      </c>
      <c r="C2614" t="s">
        <v>166</v>
      </c>
      <c r="D2614">
        <v>2012</v>
      </c>
      <c r="E2614">
        <v>0</v>
      </c>
      <c r="F2614" t="s">
        <v>187</v>
      </c>
    </row>
    <row r="2615" spans="1:6" x14ac:dyDescent="0.25">
      <c r="A2615" t="s">
        <v>192</v>
      </c>
      <c r="B2615" t="s">
        <v>170</v>
      </c>
      <c r="C2615" t="s">
        <v>166</v>
      </c>
      <c r="D2615">
        <v>2011</v>
      </c>
      <c r="E2615">
        <v>0</v>
      </c>
      <c r="F2615" t="s">
        <v>187</v>
      </c>
    </row>
    <row r="2616" spans="1:6" x14ac:dyDescent="0.25">
      <c r="A2616" t="s">
        <v>192</v>
      </c>
      <c r="B2616" t="s">
        <v>170</v>
      </c>
      <c r="C2616" t="s">
        <v>166</v>
      </c>
      <c r="D2616">
        <v>2010</v>
      </c>
      <c r="E2616">
        <v>0</v>
      </c>
      <c r="F2616" t="s">
        <v>187</v>
      </c>
    </row>
    <row r="2617" spans="1:6" x14ac:dyDescent="0.25">
      <c r="A2617" t="s">
        <v>192</v>
      </c>
      <c r="B2617" t="s">
        <v>170</v>
      </c>
      <c r="C2617" t="s">
        <v>143</v>
      </c>
      <c r="D2617">
        <v>2014</v>
      </c>
      <c r="E2617">
        <v>0</v>
      </c>
      <c r="F2617" t="s">
        <v>187</v>
      </c>
    </row>
    <row r="2618" spans="1:6" x14ac:dyDescent="0.25">
      <c r="A2618" t="s">
        <v>192</v>
      </c>
      <c r="B2618" t="s">
        <v>170</v>
      </c>
      <c r="C2618" t="s">
        <v>143</v>
      </c>
      <c r="D2618">
        <v>2013</v>
      </c>
      <c r="E2618">
        <v>0</v>
      </c>
      <c r="F2618" t="s">
        <v>187</v>
      </c>
    </row>
    <row r="2619" spans="1:6" x14ac:dyDescent="0.25">
      <c r="A2619" t="s">
        <v>192</v>
      </c>
      <c r="B2619" t="s">
        <v>170</v>
      </c>
      <c r="C2619" t="s">
        <v>143</v>
      </c>
      <c r="D2619">
        <v>2012</v>
      </c>
      <c r="E2619">
        <v>0</v>
      </c>
      <c r="F2619" t="s">
        <v>187</v>
      </c>
    </row>
    <row r="2620" spans="1:6" x14ac:dyDescent="0.25">
      <c r="A2620" t="s">
        <v>192</v>
      </c>
      <c r="B2620" t="s">
        <v>170</v>
      </c>
      <c r="C2620" t="s">
        <v>143</v>
      </c>
      <c r="D2620">
        <v>2011</v>
      </c>
      <c r="E2620">
        <v>0</v>
      </c>
      <c r="F2620" t="s">
        <v>187</v>
      </c>
    </row>
    <row r="2621" spans="1:6" x14ac:dyDescent="0.25">
      <c r="A2621" t="s">
        <v>192</v>
      </c>
      <c r="B2621" t="s">
        <v>170</v>
      </c>
      <c r="C2621" t="s">
        <v>143</v>
      </c>
      <c r="D2621">
        <v>2010</v>
      </c>
      <c r="E2621">
        <v>0</v>
      </c>
      <c r="F2621" t="s">
        <v>187</v>
      </c>
    </row>
    <row r="2622" spans="1:6" x14ac:dyDescent="0.25">
      <c r="A2622" t="s">
        <v>192</v>
      </c>
      <c r="B2622" t="s">
        <v>170</v>
      </c>
      <c r="C2622" t="s">
        <v>144</v>
      </c>
      <c r="D2622">
        <v>2014</v>
      </c>
      <c r="E2622">
        <v>0</v>
      </c>
      <c r="F2622" t="s">
        <v>187</v>
      </c>
    </row>
    <row r="2623" spans="1:6" x14ac:dyDescent="0.25">
      <c r="A2623" t="s">
        <v>192</v>
      </c>
      <c r="B2623" t="s">
        <v>170</v>
      </c>
      <c r="C2623" t="s">
        <v>144</v>
      </c>
      <c r="D2623">
        <v>2013</v>
      </c>
      <c r="E2623">
        <v>0</v>
      </c>
      <c r="F2623" t="s">
        <v>187</v>
      </c>
    </row>
    <row r="2624" spans="1:6" x14ac:dyDescent="0.25">
      <c r="A2624" t="s">
        <v>192</v>
      </c>
      <c r="B2624" t="s">
        <v>170</v>
      </c>
      <c r="C2624" t="s">
        <v>144</v>
      </c>
      <c r="D2624">
        <v>2012</v>
      </c>
      <c r="E2624">
        <v>0</v>
      </c>
      <c r="F2624" t="s">
        <v>187</v>
      </c>
    </row>
    <row r="2625" spans="1:6" x14ac:dyDescent="0.25">
      <c r="A2625" t="s">
        <v>192</v>
      </c>
      <c r="B2625" t="s">
        <v>170</v>
      </c>
      <c r="C2625" t="s">
        <v>144</v>
      </c>
      <c r="D2625">
        <v>2011</v>
      </c>
      <c r="E2625">
        <v>0</v>
      </c>
      <c r="F2625" t="s">
        <v>187</v>
      </c>
    </row>
    <row r="2626" spans="1:6" x14ac:dyDescent="0.25">
      <c r="A2626" t="s">
        <v>192</v>
      </c>
      <c r="B2626" t="s">
        <v>170</v>
      </c>
      <c r="C2626" t="s">
        <v>144</v>
      </c>
      <c r="D2626">
        <v>2010</v>
      </c>
      <c r="E2626">
        <v>0</v>
      </c>
      <c r="F2626" t="s">
        <v>187</v>
      </c>
    </row>
    <row r="2627" spans="1:6" x14ac:dyDescent="0.25">
      <c r="A2627" t="s">
        <v>192</v>
      </c>
      <c r="B2627" t="s">
        <v>170</v>
      </c>
      <c r="C2627" t="s">
        <v>145</v>
      </c>
      <c r="D2627">
        <v>2014</v>
      </c>
      <c r="E2627">
        <v>1.8480000000000001</v>
      </c>
      <c r="F2627" t="s">
        <v>187</v>
      </c>
    </row>
    <row r="2628" spans="1:6" x14ac:dyDescent="0.25">
      <c r="A2628" t="s">
        <v>192</v>
      </c>
      <c r="B2628" t="s">
        <v>170</v>
      </c>
      <c r="C2628" t="s">
        <v>145</v>
      </c>
      <c r="D2628">
        <v>2013</v>
      </c>
      <c r="E2628">
        <v>3.234</v>
      </c>
      <c r="F2628" t="s">
        <v>187</v>
      </c>
    </row>
    <row r="2629" spans="1:6" x14ac:dyDescent="0.25">
      <c r="A2629" t="s">
        <v>192</v>
      </c>
      <c r="B2629" t="s">
        <v>170</v>
      </c>
      <c r="C2629" t="s">
        <v>145</v>
      </c>
      <c r="D2629">
        <v>2012</v>
      </c>
      <c r="E2629">
        <v>4.4542000000000002</v>
      </c>
      <c r="F2629" t="s">
        <v>187</v>
      </c>
    </row>
    <row r="2630" spans="1:6" x14ac:dyDescent="0.25">
      <c r="A2630" t="s">
        <v>192</v>
      </c>
      <c r="B2630" t="s">
        <v>170</v>
      </c>
      <c r="C2630" t="s">
        <v>145</v>
      </c>
      <c r="D2630">
        <v>2011</v>
      </c>
      <c r="E2630">
        <v>3.6120000000000001</v>
      </c>
      <c r="F2630" t="s">
        <v>187</v>
      </c>
    </row>
    <row r="2631" spans="1:6" x14ac:dyDescent="0.25">
      <c r="A2631" t="s">
        <v>192</v>
      </c>
      <c r="B2631" t="s">
        <v>170</v>
      </c>
      <c r="C2631" t="s">
        <v>145</v>
      </c>
      <c r="D2631">
        <v>2010</v>
      </c>
      <c r="E2631">
        <v>7.2824</v>
      </c>
      <c r="F2631" t="s">
        <v>187</v>
      </c>
    </row>
    <row r="2632" spans="1:6" x14ac:dyDescent="0.25">
      <c r="A2632" t="s">
        <v>192</v>
      </c>
      <c r="B2632" t="s">
        <v>170</v>
      </c>
      <c r="C2632" t="s">
        <v>146</v>
      </c>
      <c r="D2632">
        <v>2014</v>
      </c>
      <c r="E2632">
        <v>0</v>
      </c>
      <c r="F2632" t="s">
        <v>187</v>
      </c>
    </row>
    <row r="2633" spans="1:6" x14ac:dyDescent="0.25">
      <c r="A2633" t="s">
        <v>192</v>
      </c>
      <c r="B2633" t="s">
        <v>170</v>
      </c>
      <c r="C2633" t="s">
        <v>146</v>
      </c>
      <c r="D2633">
        <v>2013</v>
      </c>
      <c r="E2633">
        <v>0</v>
      </c>
      <c r="F2633" t="s">
        <v>187</v>
      </c>
    </row>
    <row r="2634" spans="1:6" x14ac:dyDescent="0.25">
      <c r="A2634" t="s">
        <v>192</v>
      </c>
      <c r="B2634" t="s">
        <v>170</v>
      </c>
      <c r="C2634" t="s">
        <v>146</v>
      </c>
      <c r="D2634">
        <v>2012</v>
      </c>
      <c r="E2634">
        <v>0</v>
      </c>
      <c r="F2634" t="s">
        <v>187</v>
      </c>
    </row>
    <row r="2635" spans="1:6" x14ac:dyDescent="0.25">
      <c r="A2635" t="s">
        <v>192</v>
      </c>
      <c r="B2635" t="s">
        <v>170</v>
      </c>
      <c r="C2635" t="s">
        <v>146</v>
      </c>
      <c r="D2635">
        <v>2011</v>
      </c>
      <c r="E2635">
        <v>0</v>
      </c>
      <c r="F2635" t="s">
        <v>187</v>
      </c>
    </row>
    <row r="2636" spans="1:6" x14ac:dyDescent="0.25">
      <c r="A2636" t="s">
        <v>192</v>
      </c>
      <c r="B2636" t="s">
        <v>170</v>
      </c>
      <c r="C2636" t="s">
        <v>146</v>
      </c>
      <c r="D2636">
        <v>2010</v>
      </c>
      <c r="E2636">
        <v>0</v>
      </c>
      <c r="F2636" t="s">
        <v>187</v>
      </c>
    </row>
    <row r="2637" spans="1:6" x14ac:dyDescent="0.25">
      <c r="A2637" t="s">
        <v>192</v>
      </c>
      <c r="B2637" t="s">
        <v>170</v>
      </c>
      <c r="C2637" t="s">
        <v>147</v>
      </c>
      <c r="D2637">
        <v>2014</v>
      </c>
      <c r="E2637">
        <v>0</v>
      </c>
      <c r="F2637" t="s">
        <v>187</v>
      </c>
    </row>
    <row r="2638" spans="1:6" x14ac:dyDescent="0.25">
      <c r="A2638" t="s">
        <v>192</v>
      </c>
      <c r="B2638" t="s">
        <v>170</v>
      </c>
      <c r="C2638" t="s">
        <v>147</v>
      </c>
      <c r="D2638">
        <v>2013</v>
      </c>
      <c r="E2638">
        <v>0</v>
      </c>
      <c r="F2638" t="s">
        <v>187</v>
      </c>
    </row>
    <row r="2639" spans="1:6" x14ac:dyDescent="0.25">
      <c r="A2639" t="s">
        <v>192</v>
      </c>
      <c r="B2639" t="s">
        <v>170</v>
      </c>
      <c r="C2639" t="s">
        <v>147</v>
      </c>
      <c r="D2639">
        <v>2012</v>
      </c>
      <c r="E2639">
        <v>0</v>
      </c>
      <c r="F2639" t="s">
        <v>187</v>
      </c>
    </row>
    <row r="2640" spans="1:6" x14ac:dyDescent="0.25">
      <c r="A2640" t="s">
        <v>192</v>
      </c>
      <c r="B2640" t="s">
        <v>170</v>
      </c>
      <c r="C2640" t="s">
        <v>147</v>
      </c>
      <c r="D2640">
        <v>2011</v>
      </c>
      <c r="E2640">
        <v>0</v>
      </c>
      <c r="F2640" t="s">
        <v>187</v>
      </c>
    </row>
    <row r="2641" spans="1:6" x14ac:dyDescent="0.25">
      <c r="A2641" t="s">
        <v>192</v>
      </c>
      <c r="B2641" t="s">
        <v>170</v>
      </c>
      <c r="C2641" t="s">
        <v>147</v>
      </c>
      <c r="D2641">
        <v>2010</v>
      </c>
      <c r="E2641">
        <v>0</v>
      </c>
      <c r="F2641" t="s">
        <v>187</v>
      </c>
    </row>
    <row r="2642" spans="1:6" x14ac:dyDescent="0.25">
      <c r="A2642" t="s">
        <v>192</v>
      </c>
      <c r="B2642" t="s">
        <v>170</v>
      </c>
      <c r="C2642" t="s">
        <v>167</v>
      </c>
      <c r="D2642">
        <v>2014</v>
      </c>
      <c r="E2642">
        <v>0</v>
      </c>
      <c r="F2642" t="s">
        <v>187</v>
      </c>
    </row>
    <row r="2643" spans="1:6" x14ac:dyDescent="0.25">
      <c r="A2643" t="s">
        <v>192</v>
      </c>
      <c r="B2643" t="s">
        <v>170</v>
      </c>
      <c r="C2643" t="s">
        <v>167</v>
      </c>
      <c r="D2643">
        <v>2013</v>
      </c>
      <c r="E2643">
        <v>0</v>
      </c>
      <c r="F2643" t="s">
        <v>187</v>
      </c>
    </row>
    <row r="2644" spans="1:6" x14ac:dyDescent="0.25">
      <c r="A2644" t="s">
        <v>192</v>
      </c>
      <c r="B2644" t="s">
        <v>170</v>
      </c>
      <c r="C2644" t="s">
        <v>167</v>
      </c>
      <c r="D2644">
        <v>2012</v>
      </c>
      <c r="E2644">
        <v>0</v>
      </c>
      <c r="F2644" t="s">
        <v>187</v>
      </c>
    </row>
    <row r="2645" spans="1:6" x14ac:dyDescent="0.25">
      <c r="A2645" t="s">
        <v>192</v>
      </c>
      <c r="B2645" t="s">
        <v>170</v>
      </c>
      <c r="C2645" t="s">
        <v>167</v>
      </c>
      <c r="D2645">
        <v>2011</v>
      </c>
      <c r="E2645">
        <v>0</v>
      </c>
      <c r="F2645" t="s">
        <v>187</v>
      </c>
    </row>
    <row r="2646" spans="1:6" x14ac:dyDescent="0.25">
      <c r="A2646" t="s">
        <v>192</v>
      </c>
      <c r="B2646" t="s">
        <v>170</v>
      </c>
      <c r="C2646" t="s">
        <v>167</v>
      </c>
      <c r="D2646">
        <v>2010</v>
      </c>
      <c r="E2646">
        <v>0</v>
      </c>
      <c r="F2646" t="s">
        <v>187</v>
      </c>
    </row>
    <row r="2647" spans="1:6" x14ac:dyDescent="0.25">
      <c r="A2647" t="s">
        <v>192</v>
      </c>
      <c r="B2647" t="s">
        <v>170</v>
      </c>
      <c r="C2647" t="s">
        <v>168</v>
      </c>
      <c r="D2647">
        <v>2014</v>
      </c>
      <c r="E2647">
        <v>0</v>
      </c>
      <c r="F2647" t="s">
        <v>187</v>
      </c>
    </row>
    <row r="2648" spans="1:6" x14ac:dyDescent="0.25">
      <c r="A2648" t="s">
        <v>192</v>
      </c>
      <c r="B2648" t="s">
        <v>170</v>
      </c>
      <c r="C2648" t="s">
        <v>168</v>
      </c>
      <c r="D2648">
        <v>2013</v>
      </c>
      <c r="E2648">
        <v>0</v>
      </c>
      <c r="F2648" t="s">
        <v>187</v>
      </c>
    </row>
    <row r="2649" spans="1:6" x14ac:dyDescent="0.25">
      <c r="A2649" t="s">
        <v>192</v>
      </c>
      <c r="B2649" t="s">
        <v>170</v>
      </c>
      <c r="C2649" t="s">
        <v>168</v>
      </c>
      <c r="D2649">
        <v>2012</v>
      </c>
      <c r="E2649">
        <v>0</v>
      </c>
      <c r="F2649" t="s">
        <v>187</v>
      </c>
    </row>
    <row r="2650" spans="1:6" x14ac:dyDescent="0.25">
      <c r="A2650" t="s">
        <v>192</v>
      </c>
      <c r="B2650" t="s">
        <v>170</v>
      </c>
      <c r="C2650" t="s">
        <v>168</v>
      </c>
      <c r="D2650">
        <v>2011</v>
      </c>
      <c r="E2650">
        <v>0</v>
      </c>
      <c r="F2650" t="s">
        <v>187</v>
      </c>
    </row>
    <row r="2651" spans="1:6" x14ac:dyDescent="0.25">
      <c r="A2651" t="s">
        <v>192</v>
      </c>
      <c r="B2651" t="s">
        <v>170</v>
      </c>
      <c r="C2651" t="s">
        <v>168</v>
      </c>
      <c r="D2651">
        <v>2010</v>
      </c>
      <c r="E2651">
        <v>0</v>
      </c>
      <c r="F2651" t="s">
        <v>187</v>
      </c>
    </row>
    <row r="2652" spans="1:6" x14ac:dyDescent="0.25">
      <c r="A2652" t="s">
        <v>192</v>
      </c>
      <c r="B2652" t="s">
        <v>170</v>
      </c>
      <c r="C2652" t="s">
        <v>148</v>
      </c>
      <c r="D2652">
        <v>2014</v>
      </c>
      <c r="E2652">
        <v>0</v>
      </c>
      <c r="F2652" t="s">
        <v>187</v>
      </c>
    </row>
    <row r="2653" spans="1:6" x14ac:dyDescent="0.25">
      <c r="A2653" t="s">
        <v>192</v>
      </c>
      <c r="B2653" t="s">
        <v>170</v>
      </c>
      <c r="C2653" t="s">
        <v>148</v>
      </c>
      <c r="D2653">
        <v>2013</v>
      </c>
      <c r="E2653">
        <v>0</v>
      </c>
      <c r="F2653" t="s">
        <v>187</v>
      </c>
    </row>
    <row r="2654" spans="1:6" x14ac:dyDescent="0.25">
      <c r="A2654" t="s">
        <v>192</v>
      </c>
      <c r="B2654" t="s">
        <v>170</v>
      </c>
      <c r="C2654" t="s">
        <v>148</v>
      </c>
      <c r="D2654">
        <v>2012</v>
      </c>
      <c r="E2654">
        <v>0</v>
      </c>
      <c r="F2654" t="s">
        <v>187</v>
      </c>
    </row>
    <row r="2655" spans="1:6" x14ac:dyDescent="0.25">
      <c r="A2655" t="s">
        <v>192</v>
      </c>
      <c r="B2655" t="s">
        <v>170</v>
      </c>
      <c r="C2655" t="s">
        <v>148</v>
      </c>
      <c r="D2655">
        <v>2011</v>
      </c>
      <c r="E2655">
        <v>0</v>
      </c>
      <c r="F2655" t="s">
        <v>187</v>
      </c>
    </row>
    <row r="2656" spans="1:6" x14ac:dyDescent="0.25">
      <c r="A2656" t="s">
        <v>192</v>
      </c>
      <c r="B2656" t="s">
        <v>170</v>
      </c>
      <c r="C2656" t="s">
        <v>148</v>
      </c>
      <c r="D2656">
        <v>2010</v>
      </c>
      <c r="E2656">
        <v>0</v>
      </c>
      <c r="F2656" t="s">
        <v>187</v>
      </c>
    </row>
    <row r="2657" spans="1:6" x14ac:dyDescent="0.25">
      <c r="A2657" t="s">
        <v>192</v>
      </c>
      <c r="B2657" t="s">
        <v>170</v>
      </c>
      <c r="C2657" t="s">
        <v>149</v>
      </c>
      <c r="D2657">
        <v>2014</v>
      </c>
      <c r="E2657">
        <v>0</v>
      </c>
      <c r="F2657" t="s">
        <v>187</v>
      </c>
    </row>
    <row r="2658" spans="1:6" x14ac:dyDescent="0.25">
      <c r="A2658" t="s">
        <v>192</v>
      </c>
      <c r="B2658" t="s">
        <v>170</v>
      </c>
      <c r="C2658" t="s">
        <v>149</v>
      </c>
      <c r="D2658">
        <v>2013</v>
      </c>
      <c r="E2658">
        <v>0</v>
      </c>
      <c r="F2658" t="s">
        <v>187</v>
      </c>
    </row>
    <row r="2659" spans="1:6" x14ac:dyDescent="0.25">
      <c r="A2659" t="s">
        <v>192</v>
      </c>
      <c r="B2659" t="s">
        <v>170</v>
      </c>
      <c r="C2659" t="s">
        <v>149</v>
      </c>
      <c r="D2659">
        <v>2012</v>
      </c>
      <c r="E2659">
        <v>0</v>
      </c>
      <c r="F2659" t="s">
        <v>187</v>
      </c>
    </row>
    <row r="2660" spans="1:6" x14ac:dyDescent="0.25">
      <c r="A2660" t="s">
        <v>192</v>
      </c>
      <c r="B2660" t="s">
        <v>170</v>
      </c>
      <c r="C2660" t="s">
        <v>149</v>
      </c>
      <c r="D2660">
        <v>2011</v>
      </c>
      <c r="E2660">
        <v>0</v>
      </c>
      <c r="F2660" t="s">
        <v>187</v>
      </c>
    </row>
    <row r="2661" spans="1:6" x14ac:dyDescent="0.25">
      <c r="A2661" t="s">
        <v>192</v>
      </c>
      <c r="B2661" t="s">
        <v>170</v>
      </c>
      <c r="C2661" t="s">
        <v>149</v>
      </c>
      <c r="D2661">
        <v>2010</v>
      </c>
      <c r="E2661">
        <v>0</v>
      </c>
      <c r="F2661" t="s">
        <v>187</v>
      </c>
    </row>
    <row r="2662" spans="1:6" x14ac:dyDescent="0.25">
      <c r="A2662" t="s">
        <v>192</v>
      </c>
      <c r="B2662" t="s">
        <v>170</v>
      </c>
      <c r="C2662" t="s">
        <v>121</v>
      </c>
      <c r="D2662">
        <v>2014</v>
      </c>
      <c r="E2662">
        <v>0</v>
      </c>
      <c r="F2662" t="s">
        <v>186</v>
      </c>
    </row>
    <row r="2663" spans="1:6" x14ac:dyDescent="0.25">
      <c r="A2663" t="s">
        <v>192</v>
      </c>
      <c r="B2663" t="s">
        <v>170</v>
      </c>
      <c r="C2663" t="s">
        <v>121</v>
      </c>
      <c r="D2663">
        <v>2013</v>
      </c>
      <c r="E2663">
        <v>0</v>
      </c>
      <c r="F2663" t="s">
        <v>186</v>
      </c>
    </row>
    <row r="2664" spans="1:6" x14ac:dyDescent="0.25">
      <c r="A2664" t="s">
        <v>192</v>
      </c>
      <c r="B2664" t="s">
        <v>170</v>
      </c>
      <c r="C2664" t="s">
        <v>121</v>
      </c>
      <c r="D2664">
        <v>2012</v>
      </c>
      <c r="E2664">
        <v>0</v>
      </c>
      <c r="F2664" t="s">
        <v>186</v>
      </c>
    </row>
    <row r="2665" spans="1:6" x14ac:dyDescent="0.25">
      <c r="A2665" t="s">
        <v>192</v>
      </c>
      <c r="B2665" t="s">
        <v>170</v>
      </c>
      <c r="C2665" t="s">
        <v>121</v>
      </c>
      <c r="D2665">
        <v>2011</v>
      </c>
      <c r="E2665">
        <v>0</v>
      </c>
      <c r="F2665" t="s">
        <v>186</v>
      </c>
    </row>
    <row r="2666" spans="1:6" x14ac:dyDescent="0.25">
      <c r="A2666" t="s">
        <v>192</v>
      </c>
      <c r="B2666" t="s">
        <v>170</v>
      </c>
      <c r="C2666" t="s">
        <v>121</v>
      </c>
      <c r="D2666">
        <v>2010</v>
      </c>
      <c r="E2666">
        <v>0</v>
      </c>
      <c r="F2666" t="s">
        <v>186</v>
      </c>
    </row>
    <row r="2667" spans="1:6" x14ac:dyDescent="0.25">
      <c r="A2667" t="s">
        <v>192</v>
      </c>
      <c r="B2667" t="s">
        <v>170</v>
      </c>
      <c r="C2667" t="s">
        <v>122</v>
      </c>
      <c r="D2667">
        <v>2014</v>
      </c>
      <c r="E2667">
        <v>0</v>
      </c>
      <c r="F2667" t="s">
        <v>186</v>
      </c>
    </row>
    <row r="2668" spans="1:6" x14ac:dyDescent="0.25">
      <c r="A2668" t="s">
        <v>192</v>
      </c>
      <c r="B2668" t="s">
        <v>170</v>
      </c>
      <c r="C2668" t="s">
        <v>122</v>
      </c>
      <c r="D2668">
        <v>2013</v>
      </c>
      <c r="E2668">
        <v>0</v>
      </c>
      <c r="F2668" t="s">
        <v>186</v>
      </c>
    </row>
    <row r="2669" spans="1:6" x14ac:dyDescent="0.25">
      <c r="A2669" t="s">
        <v>192</v>
      </c>
      <c r="B2669" t="s">
        <v>170</v>
      </c>
      <c r="C2669" t="s">
        <v>122</v>
      </c>
      <c r="D2669">
        <v>2012</v>
      </c>
      <c r="E2669">
        <v>0</v>
      </c>
      <c r="F2669" t="s">
        <v>186</v>
      </c>
    </row>
    <row r="2670" spans="1:6" x14ac:dyDescent="0.25">
      <c r="A2670" t="s">
        <v>192</v>
      </c>
      <c r="B2670" t="s">
        <v>170</v>
      </c>
      <c r="C2670" t="s">
        <v>122</v>
      </c>
      <c r="D2670">
        <v>2011</v>
      </c>
      <c r="E2670">
        <v>0</v>
      </c>
      <c r="F2670" t="s">
        <v>186</v>
      </c>
    </row>
    <row r="2671" spans="1:6" x14ac:dyDescent="0.25">
      <c r="A2671" t="s">
        <v>192</v>
      </c>
      <c r="B2671" t="s">
        <v>170</v>
      </c>
      <c r="C2671" t="s">
        <v>122</v>
      </c>
      <c r="D2671">
        <v>2010</v>
      </c>
      <c r="E2671">
        <v>0</v>
      </c>
      <c r="F2671" t="s">
        <v>186</v>
      </c>
    </row>
    <row r="2672" spans="1:6" x14ac:dyDescent="0.25">
      <c r="A2672" t="s">
        <v>192</v>
      </c>
      <c r="B2672" t="s">
        <v>170</v>
      </c>
      <c r="C2672" t="s">
        <v>123</v>
      </c>
      <c r="D2672">
        <v>2014</v>
      </c>
      <c r="E2672">
        <v>0</v>
      </c>
      <c r="F2672" t="s">
        <v>186</v>
      </c>
    </row>
    <row r="2673" spans="1:6" x14ac:dyDescent="0.25">
      <c r="A2673" t="s">
        <v>192</v>
      </c>
      <c r="B2673" t="s">
        <v>170</v>
      </c>
      <c r="C2673" t="s">
        <v>123</v>
      </c>
      <c r="D2673">
        <v>2013</v>
      </c>
      <c r="E2673">
        <v>0</v>
      </c>
      <c r="F2673" t="s">
        <v>186</v>
      </c>
    </row>
    <row r="2674" spans="1:6" x14ac:dyDescent="0.25">
      <c r="A2674" t="s">
        <v>192</v>
      </c>
      <c r="B2674" t="s">
        <v>170</v>
      </c>
      <c r="C2674" t="s">
        <v>123</v>
      </c>
      <c r="D2674">
        <v>2012</v>
      </c>
      <c r="E2674">
        <v>0</v>
      </c>
      <c r="F2674" t="s">
        <v>186</v>
      </c>
    </row>
    <row r="2675" spans="1:6" x14ac:dyDescent="0.25">
      <c r="A2675" t="s">
        <v>192</v>
      </c>
      <c r="B2675" t="s">
        <v>170</v>
      </c>
      <c r="C2675" t="s">
        <v>123</v>
      </c>
      <c r="D2675">
        <v>2011</v>
      </c>
      <c r="E2675">
        <v>0</v>
      </c>
      <c r="F2675" t="s">
        <v>186</v>
      </c>
    </row>
    <row r="2676" spans="1:6" x14ac:dyDescent="0.25">
      <c r="A2676" t="s">
        <v>192</v>
      </c>
      <c r="B2676" t="s">
        <v>170</v>
      </c>
      <c r="C2676" t="s">
        <v>123</v>
      </c>
      <c r="D2676">
        <v>2010</v>
      </c>
      <c r="E2676">
        <v>0</v>
      </c>
      <c r="F2676" t="s">
        <v>186</v>
      </c>
    </row>
    <row r="2677" spans="1:6" x14ac:dyDescent="0.25">
      <c r="A2677" t="s">
        <v>192</v>
      </c>
      <c r="B2677" t="s">
        <v>170</v>
      </c>
      <c r="C2677" t="s">
        <v>124</v>
      </c>
      <c r="D2677">
        <v>2014</v>
      </c>
      <c r="E2677">
        <v>0</v>
      </c>
      <c r="F2677" t="s">
        <v>186</v>
      </c>
    </row>
    <row r="2678" spans="1:6" x14ac:dyDescent="0.25">
      <c r="A2678" t="s">
        <v>192</v>
      </c>
      <c r="B2678" t="s">
        <v>170</v>
      </c>
      <c r="C2678" t="s">
        <v>124</v>
      </c>
      <c r="D2678">
        <v>2013</v>
      </c>
      <c r="E2678">
        <v>0</v>
      </c>
      <c r="F2678" t="s">
        <v>186</v>
      </c>
    </row>
    <row r="2679" spans="1:6" x14ac:dyDescent="0.25">
      <c r="A2679" t="s">
        <v>192</v>
      </c>
      <c r="B2679" t="s">
        <v>170</v>
      </c>
      <c r="C2679" t="s">
        <v>124</v>
      </c>
      <c r="D2679">
        <v>2012</v>
      </c>
      <c r="E2679">
        <v>0</v>
      </c>
      <c r="F2679" t="s">
        <v>186</v>
      </c>
    </row>
    <row r="2680" spans="1:6" x14ac:dyDescent="0.25">
      <c r="A2680" t="s">
        <v>192</v>
      </c>
      <c r="B2680" t="s">
        <v>170</v>
      </c>
      <c r="C2680" t="s">
        <v>124</v>
      </c>
      <c r="D2680">
        <v>2011</v>
      </c>
      <c r="E2680">
        <v>0</v>
      </c>
      <c r="F2680" t="s">
        <v>186</v>
      </c>
    </row>
    <row r="2681" spans="1:6" x14ac:dyDescent="0.25">
      <c r="A2681" t="s">
        <v>192</v>
      </c>
      <c r="B2681" t="s">
        <v>170</v>
      </c>
      <c r="C2681" t="s">
        <v>124</v>
      </c>
      <c r="D2681">
        <v>2010</v>
      </c>
      <c r="E2681">
        <v>0</v>
      </c>
      <c r="F2681" t="s">
        <v>186</v>
      </c>
    </row>
    <row r="2682" spans="1:6" x14ac:dyDescent="0.25">
      <c r="A2682" t="s">
        <v>192</v>
      </c>
      <c r="B2682" t="s">
        <v>170</v>
      </c>
      <c r="C2682" t="s">
        <v>160</v>
      </c>
      <c r="D2682">
        <v>2014</v>
      </c>
      <c r="E2682">
        <v>0</v>
      </c>
      <c r="F2682" t="s">
        <v>186</v>
      </c>
    </row>
    <row r="2683" spans="1:6" x14ac:dyDescent="0.25">
      <c r="A2683" t="s">
        <v>192</v>
      </c>
      <c r="B2683" t="s">
        <v>170</v>
      </c>
      <c r="C2683" t="s">
        <v>160</v>
      </c>
      <c r="D2683">
        <v>2013</v>
      </c>
      <c r="E2683">
        <v>0</v>
      </c>
      <c r="F2683" t="s">
        <v>186</v>
      </c>
    </row>
    <row r="2684" spans="1:6" x14ac:dyDescent="0.25">
      <c r="A2684" t="s">
        <v>192</v>
      </c>
      <c r="B2684" t="s">
        <v>170</v>
      </c>
      <c r="C2684" t="s">
        <v>160</v>
      </c>
      <c r="D2684">
        <v>2012</v>
      </c>
      <c r="E2684">
        <v>0</v>
      </c>
      <c r="F2684" t="s">
        <v>186</v>
      </c>
    </row>
    <row r="2685" spans="1:6" x14ac:dyDescent="0.25">
      <c r="A2685" t="s">
        <v>192</v>
      </c>
      <c r="B2685" t="s">
        <v>170</v>
      </c>
      <c r="C2685" t="s">
        <v>160</v>
      </c>
      <c r="D2685">
        <v>2011</v>
      </c>
      <c r="E2685">
        <v>0</v>
      </c>
      <c r="F2685" t="s">
        <v>186</v>
      </c>
    </row>
    <row r="2686" spans="1:6" x14ac:dyDescent="0.25">
      <c r="A2686" t="s">
        <v>192</v>
      </c>
      <c r="B2686" t="s">
        <v>170</v>
      </c>
      <c r="C2686" t="s">
        <v>160</v>
      </c>
      <c r="D2686">
        <v>2010</v>
      </c>
      <c r="E2686">
        <v>0</v>
      </c>
      <c r="F2686" t="s">
        <v>186</v>
      </c>
    </row>
    <row r="2687" spans="1:6" x14ac:dyDescent="0.25">
      <c r="A2687" t="s">
        <v>192</v>
      </c>
      <c r="B2687" t="s">
        <v>170</v>
      </c>
      <c r="C2687" t="s">
        <v>125</v>
      </c>
      <c r="D2687">
        <v>2014</v>
      </c>
      <c r="E2687">
        <v>0</v>
      </c>
      <c r="F2687" t="s">
        <v>186</v>
      </c>
    </row>
    <row r="2688" spans="1:6" x14ac:dyDescent="0.25">
      <c r="A2688" t="s">
        <v>192</v>
      </c>
      <c r="B2688" t="s">
        <v>170</v>
      </c>
      <c r="C2688" t="s">
        <v>125</v>
      </c>
      <c r="D2688">
        <v>2013</v>
      </c>
      <c r="E2688">
        <v>0</v>
      </c>
      <c r="F2688" t="s">
        <v>186</v>
      </c>
    </row>
    <row r="2689" spans="1:6" x14ac:dyDescent="0.25">
      <c r="A2689" t="s">
        <v>192</v>
      </c>
      <c r="B2689" t="s">
        <v>170</v>
      </c>
      <c r="C2689" t="s">
        <v>125</v>
      </c>
      <c r="D2689">
        <v>2012</v>
      </c>
      <c r="E2689">
        <v>0</v>
      </c>
      <c r="F2689" t="s">
        <v>186</v>
      </c>
    </row>
    <row r="2690" spans="1:6" x14ac:dyDescent="0.25">
      <c r="A2690" t="s">
        <v>192</v>
      </c>
      <c r="B2690" t="s">
        <v>170</v>
      </c>
      <c r="C2690" t="s">
        <v>125</v>
      </c>
      <c r="D2690">
        <v>2011</v>
      </c>
      <c r="E2690">
        <v>0</v>
      </c>
      <c r="F2690" t="s">
        <v>186</v>
      </c>
    </row>
    <row r="2691" spans="1:6" x14ac:dyDescent="0.25">
      <c r="A2691" t="s">
        <v>192</v>
      </c>
      <c r="B2691" t="s">
        <v>170</v>
      </c>
      <c r="C2691" t="s">
        <v>125</v>
      </c>
      <c r="D2691">
        <v>2010</v>
      </c>
      <c r="E2691">
        <v>0</v>
      </c>
      <c r="F2691" t="s">
        <v>186</v>
      </c>
    </row>
    <row r="2692" spans="1:6" x14ac:dyDescent="0.25">
      <c r="A2692" t="s">
        <v>192</v>
      </c>
      <c r="B2692" t="s">
        <v>170</v>
      </c>
      <c r="C2692" t="s">
        <v>126</v>
      </c>
      <c r="D2692">
        <v>2014</v>
      </c>
      <c r="E2692">
        <v>0</v>
      </c>
      <c r="F2692" t="s">
        <v>186</v>
      </c>
    </row>
    <row r="2693" spans="1:6" x14ac:dyDescent="0.25">
      <c r="A2693" t="s">
        <v>192</v>
      </c>
      <c r="B2693" t="s">
        <v>170</v>
      </c>
      <c r="C2693" t="s">
        <v>126</v>
      </c>
      <c r="D2693">
        <v>2013</v>
      </c>
      <c r="E2693">
        <v>0</v>
      </c>
      <c r="F2693" t="s">
        <v>186</v>
      </c>
    </row>
    <row r="2694" spans="1:6" x14ac:dyDescent="0.25">
      <c r="A2694" t="s">
        <v>192</v>
      </c>
      <c r="B2694" t="s">
        <v>170</v>
      </c>
      <c r="C2694" t="s">
        <v>126</v>
      </c>
      <c r="D2694">
        <v>2012</v>
      </c>
      <c r="E2694">
        <v>0</v>
      </c>
      <c r="F2694" t="s">
        <v>186</v>
      </c>
    </row>
    <row r="2695" spans="1:6" x14ac:dyDescent="0.25">
      <c r="A2695" t="s">
        <v>192</v>
      </c>
      <c r="B2695" t="s">
        <v>170</v>
      </c>
      <c r="C2695" t="s">
        <v>126</v>
      </c>
      <c r="D2695">
        <v>2011</v>
      </c>
      <c r="E2695">
        <v>0</v>
      </c>
      <c r="F2695" t="s">
        <v>186</v>
      </c>
    </row>
    <row r="2696" spans="1:6" x14ac:dyDescent="0.25">
      <c r="A2696" t="s">
        <v>192</v>
      </c>
      <c r="B2696" t="s">
        <v>170</v>
      </c>
      <c r="C2696" t="s">
        <v>126</v>
      </c>
      <c r="D2696">
        <v>2010</v>
      </c>
      <c r="E2696">
        <v>0</v>
      </c>
      <c r="F2696" t="s">
        <v>186</v>
      </c>
    </row>
    <row r="2697" spans="1:6" x14ac:dyDescent="0.25">
      <c r="A2697" t="s">
        <v>192</v>
      </c>
      <c r="B2697" t="s">
        <v>170</v>
      </c>
      <c r="C2697" t="s">
        <v>127</v>
      </c>
      <c r="D2697">
        <v>2014</v>
      </c>
      <c r="E2697">
        <v>0</v>
      </c>
      <c r="F2697" t="s">
        <v>186</v>
      </c>
    </row>
    <row r="2698" spans="1:6" x14ac:dyDescent="0.25">
      <c r="A2698" t="s">
        <v>192</v>
      </c>
      <c r="B2698" t="s">
        <v>170</v>
      </c>
      <c r="C2698" t="s">
        <v>127</v>
      </c>
      <c r="D2698">
        <v>2013</v>
      </c>
      <c r="E2698">
        <v>0</v>
      </c>
      <c r="F2698" t="s">
        <v>186</v>
      </c>
    </row>
    <row r="2699" spans="1:6" x14ac:dyDescent="0.25">
      <c r="A2699" t="s">
        <v>192</v>
      </c>
      <c r="B2699" t="s">
        <v>170</v>
      </c>
      <c r="C2699" t="s">
        <v>127</v>
      </c>
      <c r="D2699">
        <v>2012</v>
      </c>
      <c r="E2699">
        <v>0</v>
      </c>
      <c r="F2699" t="s">
        <v>186</v>
      </c>
    </row>
    <row r="2700" spans="1:6" x14ac:dyDescent="0.25">
      <c r="A2700" t="s">
        <v>192</v>
      </c>
      <c r="B2700" t="s">
        <v>170</v>
      </c>
      <c r="C2700" t="s">
        <v>127</v>
      </c>
      <c r="D2700">
        <v>2011</v>
      </c>
      <c r="E2700">
        <v>0</v>
      </c>
      <c r="F2700" t="s">
        <v>186</v>
      </c>
    </row>
    <row r="2701" spans="1:6" x14ac:dyDescent="0.25">
      <c r="A2701" t="s">
        <v>192</v>
      </c>
      <c r="B2701" t="s">
        <v>170</v>
      </c>
      <c r="C2701" t="s">
        <v>127</v>
      </c>
      <c r="D2701">
        <v>2010</v>
      </c>
      <c r="E2701">
        <v>0</v>
      </c>
      <c r="F2701" t="s">
        <v>186</v>
      </c>
    </row>
    <row r="2702" spans="1:6" x14ac:dyDescent="0.25">
      <c r="A2702" t="s">
        <v>192</v>
      </c>
      <c r="B2702" t="s">
        <v>170</v>
      </c>
      <c r="C2702" t="s">
        <v>128</v>
      </c>
      <c r="D2702">
        <v>2014</v>
      </c>
      <c r="E2702">
        <v>0</v>
      </c>
      <c r="F2702" t="s">
        <v>186</v>
      </c>
    </row>
    <row r="2703" spans="1:6" x14ac:dyDescent="0.25">
      <c r="A2703" t="s">
        <v>192</v>
      </c>
      <c r="B2703" t="s">
        <v>170</v>
      </c>
      <c r="C2703" t="s">
        <v>128</v>
      </c>
      <c r="D2703">
        <v>2013</v>
      </c>
      <c r="E2703">
        <v>0</v>
      </c>
      <c r="F2703" t="s">
        <v>186</v>
      </c>
    </row>
    <row r="2704" spans="1:6" x14ac:dyDescent="0.25">
      <c r="A2704" t="s">
        <v>192</v>
      </c>
      <c r="B2704" t="s">
        <v>170</v>
      </c>
      <c r="C2704" t="s">
        <v>128</v>
      </c>
      <c r="D2704">
        <v>2012</v>
      </c>
      <c r="E2704">
        <v>0</v>
      </c>
      <c r="F2704" t="s">
        <v>186</v>
      </c>
    </row>
    <row r="2705" spans="1:6" x14ac:dyDescent="0.25">
      <c r="A2705" t="s">
        <v>192</v>
      </c>
      <c r="B2705" t="s">
        <v>170</v>
      </c>
      <c r="C2705" t="s">
        <v>128</v>
      </c>
      <c r="D2705">
        <v>2011</v>
      </c>
      <c r="E2705">
        <v>0</v>
      </c>
      <c r="F2705" t="s">
        <v>186</v>
      </c>
    </row>
    <row r="2706" spans="1:6" x14ac:dyDescent="0.25">
      <c r="A2706" t="s">
        <v>192</v>
      </c>
      <c r="B2706" t="s">
        <v>170</v>
      </c>
      <c r="C2706" t="s">
        <v>128</v>
      </c>
      <c r="D2706">
        <v>2010</v>
      </c>
      <c r="E2706">
        <v>0</v>
      </c>
      <c r="F2706" t="s">
        <v>186</v>
      </c>
    </row>
    <row r="2707" spans="1:6" x14ac:dyDescent="0.25">
      <c r="A2707" t="s">
        <v>192</v>
      </c>
      <c r="B2707" t="s">
        <v>170</v>
      </c>
      <c r="C2707" t="s">
        <v>161</v>
      </c>
      <c r="D2707">
        <v>2014</v>
      </c>
      <c r="E2707">
        <v>0</v>
      </c>
      <c r="F2707" t="s">
        <v>186</v>
      </c>
    </row>
    <row r="2708" spans="1:6" x14ac:dyDescent="0.25">
      <c r="A2708" t="s">
        <v>192</v>
      </c>
      <c r="B2708" t="s">
        <v>170</v>
      </c>
      <c r="C2708" t="s">
        <v>161</v>
      </c>
      <c r="D2708">
        <v>2013</v>
      </c>
      <c r="E2708">
        <v>0</v>
      </c>
      <c r="F2708" t="s">
        <v>186</v>
      </c>
    </row>
    <row r="2709" spans="1:6" x14ac:dyDescent="0.25">
      <c r="A2709" t="s">
        <v>192</v>
      </c>
      <c r="B2709" t="s">
        <v>170</v>
      </c>
      <c r="C2709" t="s">
        <v>161</v>
      </c>
      <c r="D2709">
        <v>2012</v>
      </c>
      <c r="E2709">
        <v>0</v>
      </c>
      <c r="F2709" t="s">
        <v>186</v>
      </c>
    </row>
    <row r="2710" spans="1:6" x14ac:dyDescent="0.25">
      <c r="A2710" t="s">
        <v>192</v>
      </c>
      <c r="B2710" t="s">
        <v>170</v>
      </c>
      <c r="C2710" t="s">
        <v>161</v>
      </c>
      <c r="D2710">
        <v>2011</v>
      </c>
      <c r="E2710">
        <v>0</v>
      </c>
      <c r="F2710" t="s">
        <v>186</v>
      </c>
    </row>
    <row r="2711" spans="1:6" x14ac:dyDescent="0.25">
      <c r="A2711" t="s">
        <v>192</v>
      </c>
      <c r="B2711" t="s">
        <v>170</v>
      </c>
      <c r="C2711" t="s">
        <v>161</v>
      </c>
      <c r="D2711">
        <v>2010</v>
      </c>
      <c r="E2711">
        <v>0</v>
      </c>
      <c r="F2711" t="s">
        <v>186</v>
      </c>
    </row>
    <row r="2712" spans="1:6" x14ac:dyDescent="0.25">
      <c r="A2712" t="s">
        <v>192</v>
      </c>
      <c r="B2712" t="s">
        <v>170</v>
      </c>
      <c r="C2712" t="s">
        <v>162</v>
      </c>
      <c r="D2712">
        <v>2014</v>
      </c>
      <c r="E2712">
        <v>0</v>
      </c>
      <c r="F2712" t="s">
        <v>186</v>
      </c>
    </row>
    <row r="2713" spans="1:6" x14ac:dyDescent="0.25">
      <c r="A2713" t="s">
        <v>192</v>
      </c>
      <c r="B2713" t="s">
        <v>170</v>
      </c>
      <c r="C2713" t="s">
        <v>162</v>
      </c>
      <c r="D2713">
        <v>2013</v>
      </c>
      <c r="E2713">
        <v>0</v>
      </c>
      <c r="F2713" t="s">
        <v>186</v>
      </c>
    </row>
    <row r="2714" spans="1:6" x14ac:dyDescent="0.25">
      <c r="A2714" t="s">
        <v>192</v>
      </c>
      <c r="B2714" t="s">
        <v>170</v>
      </c>
      <c r="C2714" t="s">
        <v>162</v>
      </c>
      <c r="D2714">
        <v>2012</v>
      </c>
      <c r="E2714">
        <v>0</v>
      </c>
      <c r="F2714" t="s">
        <v>186</v>
      </c>
    </row>
    <row r="2715" spans="1:6" x14ac:dyDescent="0.25">
      <c r="A2715" t="s">
        <v>192</v>
      </c>
      <c r="B2715" t="s">
        <v>170</v>
      </c>
      <c r="C2715" t="s">
        <v>162</v>
      </c>
      <c r="D2715">
        <v>2011</v>
      </c>
      <c r="E2715">
        <v>0</v>
      </c>
      <c r="F2715" t="s">
        <v>186</v>
      </c>
    </row>
    <row r="2716" spans="1:6" x14ac:dyDescent="0.25">
      <c r="A2716" t="s">
        <v>192</v>
      </c>
      <c r="B2716" t="s">
        <v>170</v>
      </c>
      <c r="C2716" t="s">
        <v>162</v>
      </c>
      <c r="D2716">
        <v>2010</v>
      </c>
      <c r="E2716">
        <v>0</v>
      </c>
      <c r="F2716" t="s">
        <v>186</v>
      </c>
    </row>
    <row r="2717" spans="1:6" x14ac:dyDescent="0.25">
      <c r="A2717" t="s">
        <v>192</v>
      </c>
      <c r="B2717" t="s">
        <v>170</v>
      </c>
      <c r="C2717" t="s">
        <v>129</v>
      </c>
      <c r="D2717">
        <v>2014</v>
      </c>
      <c r="E2717">
        <v>0</v>
      </c>
      <c r="F2717" t="s">
        <v>186</v>
      </c>
    </row>
    <row r="2718" spans="1:6" x14ac:dyDescent="0.25">
      <c r="A2718" t="s">
        <v>192</v>
      </c>
      <c r="B2718" t="s">
        <v>170</v>
      </c>
      <c r="C2718" t="s">
        <v>129</v>
      </c>
      <c r="D2718">
        <v>2013</v>
      </c>
      <c r="E2718">
        <v>0</v>
      </c>
      <c r="F2718" t="s">
        <v>186</v>
      </c>
    </row>
    <row r="2719" spans="1:6" x14ac:dyDescent="0.25">
      <c r="A2719" t="s">
        <v>192</v>
      </c>
      <c r="B2719" t="s">
        <v>170</v>
      </c>
      <c r="C2719" t="s">
        <v>129</v>
      </c>
      <c r="D2719">
        <v>2012</v>
      </c>
      <c r="E2719">
        <v>0</v>
      </c>
      <c r="F2719" t="s">
        <v>186</v>
      </c>
    </row>
    <row r="2720" spans="1:6" x14ac:dyDescent="0.25">
      <c r="A2720" t="s">
        <v>192</v>
      </c>
      <c r="B2720" t="s">
        <v>170</v>
      </c>
      <c r="C2720" t="s">
        <v>129</v>
      </c>
      <c r="D2720">
        <v>2011</v>
      </c>
      <c r="E2720">
        <v>0</v>
      </c>
      <c r="F2720" t="s">
        <v>186</v>
      </c>
    </row>
    <row r="2721" spans="1:6" x14ac:dyDescent="0.25">
      <c r="A2721" t="s">
        <v>192</v>
      </c>
      <c r="B2721" t="s">
        <v>170</v>
      </c>
      <c r="C2721" t="s">
        <v>129</v>
      </c>
      <c r="D2721">
        <v>2010</v>
      </c>
      <c r="E2721">
        <v>0</v>
      </c>
      <c r="F2721" t="s">
        <v>186</v>
      </c>
    </row>
    <row r="2722" spans="1:6" x14ac:dyDescent="0.25">
      <c r="A2722" t="s">
        <v>192</v>
      </c>
      <c r="B2722" t="s">
        <v>170</v>
      </c>
      <c r="C2722" t="s">
        <v>130</v>
      </c>
      <c r="D2722">
        <v>2014</v>
      </c>
      <c r="E2722">
        <v>0</v>
      </c>
      <c r="F2722" t="s">
        <v>186</v>
      </c>
    </row>
    <row r="2723" spans="1:6" x14ac:dyDescent="0.25">
      <c r="A2723" t="s">
        <v>192</v>
      </c>
      <c r="B2723" t="s">
        <v>170</v>
      </c>
      <c r="C2723" t="s">
        <v>130</v>
      </c>
      <c r="D2723">
        <v>2013</v>
      </c>
      <c r="E2723">
        <v>0</v>
      </c>
      <c r="F2723" t="s">
        <v>186</v>
      </c>
    </row>
    <row r="2724" spans="1:6" x14ac:dyDescent="0.25">
      <c r="A2724" t="s">
        <v>192</v>
      </c>
      <c r="B2724" t="s">
        <v>170</v>
      </c>
      <c r="C2724" t="s">
        <v>130</v>
      </c>
      <c r="D2724">
        <v>2012</v>
      </c>
      <c r="E2724">
        <v>0</v>
      </c>
      <c r="F2724" t="s">
        <v>186</v>
      </c>
    </row>
    <row r="2725" spans="1:6" x14ac:dyDescent="0.25">
      <c r="A2725" t="s">
        <v>192</v>
      </c>
      <c r="B2725" t="s">
        <v>170</v>
      </c>
      <c r="C2725" t="s">
        <v>130</v>
      </c>
      <c r="D2725">
        <v>2011</v>
      </c>
      <c r="E2725">
        <v>0</v>
      </c>
      <c r="F2725" t="s">
        <v>186</v>
      </c>
    </row>
    <row r="2726" spans="1:6" x14ac:dyDescent="0.25">
      <c r="A2726" t="s">
        <v>192</v>
      </c>
      <c r="B2726" t="s">
        <v>170</v>
      </c>
      <c r="C2726" t="s">
        <v>130</v>
      </c>
      <c r="D2726">
        <v>2010</v>
      </c>
      <c r="E2726">
        <v>0</v>
      </c>
      <c r="F2726" t="s">
        <v>186</v>
      </c>
    </row>
    <row r="2727" spans="1:6" x14ac:dyDescent="0.25">
      <c r="A2727" t="s">
        <v>192</v>
      </c>
      <c r="B2727" t="s">
        <v>170</v>
      </c>
      <c r="C2727" t="s">
        <v>131</v>
      </c>
      <c r="D2727">
        <v>2014</v>
      </c>
      <c r="E2727">
        <v>0</v>
      </c>
      <c r="F2727" t="s">
        <v>186</v>
      </c>
    </row>
    <row r="2728" spans="1:6" x14ac:dyDescent="0.25">
      <c r="A2728" t="s">
        <v>192</v>
      </c>
      <c r="B2728" t="s">
        <v>170</v>
      </c>
      <c r="C2728" t="s">
        <v>131</v>
      </c>
      <c r="D2728">
        <v>2013</v>
      </c>
      <c r="E2728">
        <v>0</v>
      </c>
      <c r="F2728" t="s">
        <v>186</v>
      </c>
    </row>
    <row r="2729" spans="1:6" x14ac:dyDescent="0.25">
      <c r="A2729" t="s">
        <v>192</v>
      </c>
      <c r="B2729" t="s">
        <v>170</v>
      </c>
      <c r="C2729" t="s">
        <v>131</v>
      </c>
      <c r="D2729">
        <v>2012</v>
      </c>
      <c r="E2729">
        <v>0</v>
      </c>
      <c r="F2729" t="s">
        <v>186</v>
      </c>
    </row>
    <row r="2730" spans="1:6" x14ac:dyDescent="0.25">
      <c r="A2730" t="s">
        <v>192</v>
      </c>
      <c r="B2730" t="s">
        <v>170</v>
      </c>
      <c r="C2730" t="s">
        <v>131</v>
      </c>
      <c r="D2730">
        <v>2011</v>
      </c>
      <c r="E2730">
        <v>0</v>
      </c>
      <c r="F2730" t="s">
        <v>186</v>
      </c>
    </row>
    <row r="2731" spans="1:6" x14ac:dyDescent="0.25">
      <c r="A2731" t="s">
        <v>192</v>
      </c>
      <c r="B2731" t="s">
        <v>170</v>
      </c>
      <c r="C2731" t="s">
        <v>131</v>
      </c>
      <c r="D2731">
        <v>2010</v>
      </c>
      <c r="E2731">
        <v>0</v>
      </c>
      <c r="F2731" t="s">
        <v>186</v>
      </c>
    </row>
    <row r="2732" spans="1:6" x14ac:dyDescent="0.25">
      <c r="A2732" t="s">
        <v>192</v>
      </c>
      <c r="B2732" t="s">
        <v>170</v>
      </c>
      <c r="C2732" t="s">
        <v>132</v>
      </c>
      <c r="D2732">
        <v>2014</v>
      </c>
      <c r="E2732">
        <v>0</v>
      </c>
      <c r="F2732" t="s">
        <v>186</v>
      </c>
    </row>
    <row r="2733" spans="1:6" x14ac:dyDescent="0.25">
      <c r="A2733" t="s">
        <v>192</v>
      </c>
      <c r="B2733" t="s">
        <v>170</v>
      </c>
      <c r="C2733" t="s">
        <v>132</v>
      </c>
      <c r="D2733">
        <v>2013</v>
      </c>
      <c r="E2733">
        <v>0</v>
      </c>
      <c r="F2733" t="s">
        <v>186</v>
      </c>
    </row>
    <row r="2734" spans="1:6" x14ac:dyDescent="0.25">
      <c r="A2734" t="s">
        <v>192</v>
      </c>
      <c r="B2734" t="s">
        <v>170</v>
      </c>
      <c r="C2734" t="s">
        <v>132</v>
      </c>
      <c r="D2734">
        <v>2012</v>
      </c>
      <c r="E2734">
        <v>0</v>
      </c>
      <c r="F2734" t="s">
        <v>186</v>
      </c>
    </row>
    <row r="2735" spans="1:6" x14ac:dyDescent="0.25">
      <c r="A2735" t="s">
        <v>192</v>
      </c>
      <c r="B2735" t="s">
        <v>170</v>
      </c>
      <c r="C2735" t="s">
        <v>132</v>
      </c>
      <c r="D2735">
        <v>2011</v>
      </c>
      <c r="E2735">
        <v>0</v>
      </c>
      <c r="F2735" t="s">
        <v>186</v>
      </c>
    </row>
    <row r="2736" spans="1:6" x14ac:dyDescent="0.25">
      <c r="A2736" t="s">
        <v>192</v>
      </c>
      <c r="B2736" t="s">
        <v>170</v>
      </c>
      <c r="C2736" t="s">
        <v>132</v>
      </c>
      <c r="D2736">
        <v>2010</v>
      </c>
      <c r="E2736">
        <v>0</v>
      </c>
      <c r="F2736" t="s">
        <v>186</v>
      </c>
    </row>
    <row r="2737" spans="1:6" x14ac:dyDescent="0.25">
      <c r="A2737" t="s">
        <v>192</v>
      </c>
      <c r="B2737" t="s">
        <v>170</v>
      </c>
      <c r="C2737" t="s">
        <v>163</v>
      </c>
      <c r="D2737">
        <v>2014</v>
      </c>
      <c r="E2737">
        <v>0</v>
      </c>
      <c r="F2737" t="s">
        <v>186</v>
      </c>
    </row>
    <row r="2738" spans="1:6" x14ac:dyDescent="0.25">
      <c r="A2738" t="s">
        <v>192</v>
      </c>
      <c r="B2738" t="s">
        <v>170</v>
      </c>
      <c r="C2738" t="s">
        <v>163</v>
      </c>
      <c r="D2738">
        <v>2013</v>
      </c>
      <c r="E2738">
        <v>0</v>
      </c>
      <c r="F2738" t="s">
        <v>186</v>
      </c>
    </row>
    <row r="2739" spans="1:6" x14ac:dyDescent="0.25">
      <c r="A2739" t="s">
        <v>192</v>
      </c>
      <c r="B2739" t="s">
        <v>170</v>
      </c>
      <c r="C2739" t="s">
        <v>163</v>
      </c>
      <c r="D2739">
        <v>2012</v>
      </c>
      <c r="E2739">
        <v>0</v>
      </c>
      <c r="F2739" t="s">
        <v>186</v>
      </c>
    </row>
    <row r="2740" spans="1:6" x14ac:dyDescent="0.25">
      <c r="A2740" t="s">
        <v>192</v>
      </c>
      <c r="B2740" t="s">
        <v>170</v>
      </c>
      <c r="C2740" t="s">
        <v>163</v>
      </c>
      <c r="D2740">
        <v>2011</v>
      </c>
      <c r="E2740">
        <v>0</v>
      </c>
      <c r="F2740" t="s">
        <v>186</v>
      </c>
    </row>
    <row r="2741" spans="1:6" x14ac:dyDescent="0.25">
      <c r="A2741" t="s">
        <v>192</v>
      </c>
      <c r="B2741" t="s">
        <v>170</v>
      </c>
      <c r="C2741" t="s">
        <v>163</v>
      </c>
      <c r="D2741">
        <v>2010</v>
      </c>
      <c r="E2741">
        <v>0</v>
      </c>
      <c r="F2741" t="s">
        <v>186</v>
      </c>
    </row>
    <row r="2742" spans="1:6" x14ac:dyDescent="0.25">
      <c r="A2742" t="s">
        <v>192</v>
      </c>
      <c r="B2742" t="s">
        <v>170</v>
      </c>
      <c r="C2742" t="s">
        <v>133</v>
      </c>
      <c r="D2742">
        <v>2014</v>
      </c>
      <c r="E2742">
        <v>0</v>
      </c>
      <c r="F2742" t="s">
        <v>186</v>
      </c>
    </row>
    <row r="2743" spans="1:6" x14ac:dyDescent="0.25">
      <c r="A2743" t="s">
        <v>192</v>
      </c>
      <c r="B2743" t="s">
        <v>170</v>
      </c>
      <c r="C2743" t="s">
        <v>133</v>
      </c>
      <c r="D2743">
        <v>2013</v>
      </c>
      <c r="E2743">
        <v>0</v>
      </c>
      <c r="F2743" t="s">
        <v>186</v>
      </c>
    </row>
    <row r="2744" spans="1:6" x14ac:dyDescent="0.25">
      <c r="A2744" t="s">
        <v>192</v>
      </c>
      <c r="B2744" t="s">
        <v>170</v>
      </c>
      <c r="C2744" t="s">
        <v>133</v>
      </c>
      <c r="D2744">
        <v>2012</v>
      </c>
      <c r="E2744">
        <v>0</v>
      </c>
      <c r="F2744" t="s">
        <v>186</v>
      </c>
    </row>
    <row r="2745" spans="1:6" x14ac:dyDescent="0.25">
      <c r="A2745" t="s">
        <v>192</v>
      </c>
      <c r="B2745" t="s">
        <v>170</v>
      </c>
      <c r="C2745" t="s">
        <v>133</v>
      </c>
      <c r="D2745">
        <v>2011</v>
      </c>
      <c r="E2745">
        <v>0</v>
      </c>
      <c r="F2745" t="s">
        <v>186</v>
      </c>
    </row>
    <row r="2746" spans="1:6" x14ac:dyDescent="0.25">
      <c r="A2746" t="s">
        <v>192</v>
      </c>
      <c r="B2746" t="s">
        <v>170</v>
      </c>
      <c r="C2746" t="s">
        <v>133</v>
      </c>
      <c r="D2746">
        <v>2010</v>
      </c>
      <c r="E2746">
        <v>0</v>
      </c>
      <c r="F2746" t="s">
        <v>186</v>
      </c>
    </row>
    <row r="2747" spans="1:6" x14ac:dyDescent="0.25">
      <c r="A2747" t="s">
        <v>192</v>
      </c>
      <c r="B2747" t="s">
        <v>170</v>
      </c>
      <c r="C2747" t="s">
        <v>134</v>
      </c>
      <c r="D2747">
        <v>2014</v>
      </c>
      <c r="E2747">
        <v>0</v>
      </c>
      <c r="F2747" t="s">
        <v>186</v>
      </c>
    </row>
    <row r="2748" spans="1:6" x14ac:dyDescent="0.25">
      <c r="A2748" t="s">
        <v>192</v>
      </c>
      <c r="B2748" t="s">
        <v>170</v>
      </c>
      <c r="C2748" t="s">
        <v>134</v>
      </c>
      <c r="D2748">
        <v>2013</v>
      </c>
      <c r="E2748">
        <v>0</v>
      </c>
      <c r="F2748" t="s">
        <v>186</v>
      </c>
    </row>
    <row r="2749" spans="1:6" x14ac:dyDescent="0.25">
      <c r="A2749" t="s">
        <v>192</v>
      </c>
      <c r="B2749" t="s">
        <v>170</v>
      </c>
      <c r="C2749" t="s">
        <v>134</v>
      </c>
      <c r="D2749">
        <v>2012</v>
      </c>
      <c r="E2749">
        <v>0</v>
      </c>
      <c r="F2749" t="s">
        <v>186</v>
      </c>
    </row>
    <row r="2750" spans="1:6" x14ac:dyDescent="0.25">
      <c r="A2750" t="s">
        <v>192</v>
      </c>
      <c r="B2750" t="s">
        <v>170</v>
      </c>
      <c r="C2750" t="s">
        <v>134</v>
      </c>
      <c r="D2750">
        <v>2011</v>
      </c>
      <c r="E2750">
        <v>0</v>
      </c>
      <c r="F2750" t="s">
        <v>186</v>
      </c>
    </row>
    <row r="2751" spans="1:6" x14ac:dyDescent="0.25">
      <c r="A2751" t="s">
        <v>192</v>
      </c>
      <c r="B2751" t="s">
        <v>170</v>
      </c>
      <c r="C2751" t="s">
        <v>134</v>
      </c>
      <c r="D2751">
        <v>2010</v>
      </c>
      <c r="E2751">
        <v>0</v>
      </c>
      <c r="F2751" t="s">
        <v>186</v>
      </c>
    </row>
    <row r="2752" spans="1:6" x14ac:dyDescent="0.25">
      <c r="A2752" t="s">
        <v>192</v>
      </c>
      <c r="B2752" t="s">
        <v>170</v>
      </c>
      <c r="C2752" t="s">
        <v>135</v>
      </c>
      <c r="D2752">
        <v>2014</v>
      </c>
      <c r="E2752">
        <v>0</v>
      </c>
      <c r="F2752" t="s">
        <v>186</v>
      </c>
    </row>
    <row r="2753" spans="1:6" x14ac:dyDescent="0.25">
      <c r="A2753" t="s">
        <v>192</v>
      </c>
      <c r="B2753" t="s">
        <v>170</v>
      </c>
      <c r="C2753" t="s">
        <v>135</v>
      </c>
      <c r="D2753">
        <v>2013</v>
      </c>
      <c r="E2753">
        <v>0</v>
      </c>
      <c r="F2753" t="s">
        <v>186</v>
      </c>
    </row>
    <row r="2754" spans="1:6" x14ac:dyDescent="0.25">
      <c r="A2754" t="s">
        <v>192</v>
      </c>
      <c r="B2754" t="s">
        <v>170</v>
      </c>
      <c r="C2754" t="s">
        <v>135</v>
      </c>
      <c r="D2754">
        <v>2012</v>
      </c>
      <c r="E2754">
        <v>0</v>
      </c>
      <c r="F2754" t="s">
        <v>186</v>
      </c>
    </row>
    <row r="2755" spans="1:6" x14ac:dyDescent="0.25">
      <c r="A2755" t="s">
        <v>192</v>
      </c>
      <c r="B2755" t="s">
        <v>170</v>
      </c>
      <c r="C2755" t="s">
        <v>135</v>
      </c>
      <c r="D2755">
        <v>2011</v>
      </c>
      <c r="E2755">
        <v>0</v>
      </c>
      <c r="F2755" t="s">
        <v>186</v>
      </c>
    </row>
    <row r="2756" spans="1:6" x14ac:dyDescent="0.25">
      <c r="A2756" t="s">
        <v>192</v>
      </c>
      <c r="B2756" t="s">
        <v>170</v>
      </c>
      <c r="C2756" t="s">
        <v>135</v>
      </c>
      <c r="D2756">
        <v>2010</v>
      </c>
      <c r="E2756">
        <v>0</v>
      </c>
      <c r="F2756" t="s">
        <v>186</v>
      </c>
    </row>
    <row r="2757" spans="1:6" x14ac:dyDescent="0.25">
      <c r="A2757" t="s">
        <v>192</v>
      </c>
      <c r="B2757" t="s">
        <v>170</v>
      </c>
      <c r="C2757" t="s">
        <v>136</v>
      </c>
      <c r="D2757">
        <v>2014</v>
      </c>
      <c r="E2757">
        <v>0</v>
      </c>
      <c r="F2757" t="s">
        <v>186</v>
      </c>
    </row>
    <row r="2758" spans="1:6" x14ac:dyDescent="0.25">
      <c r="A2758" t="s">
        <v>192</v>
      </c>
      <c r="B2758" t="s">
        <v>170</v>
      </c>
      <c r="C2758" t="s">
        <v>136</v>
      </c>
      <c r="D2758">
        <v>2013</v>
      </c>
      <c r="E2758">
        <v>0</v>
      </c>
      <c r="F2758" t="s">
        <v>186</v>
      </c>
    </row>
    <row r="2759" spans="1:6" x14ac:dyDescent="0.25">
      <c r="A2759" t="s">
        <v>192</v>
      </c>
      <c r="B2759" t="s">
        <v>170</v>
      </c>
      <c r="C2759" t="s">
        <v>136</v>
      </c>
      <c r="D2759">
        <v>2012</v>
      </c>
      <c r="E2759">
        <v>0</v>
      </c>
      <c r="F2759" t="s">
        <v>186</v>
      </c>
    </row>
    <row r="2760" spans="1:6" x14ac:dyDescent="0.25">
      <c r="A2760" t="s">
        <v>192</v>
      </c>
      <c r="B2760" t="s">
        <v>170</v>
      </c>
      <c r="C2760" t="s">
        <v>136</v>
      </c>
      <c r="D2760">
        <v>2011</v>
      </c>
      <c r="E2760">
        <v>0</v>
      </c>
      <c r="F2760" t="s">
        <v>186</v>
      </c>
    </row>
    <row r="2761" spans="1:6" x14ac:dyDescent="0.25">
      <c r="A2761" t="s">
        <v>192</v>
      </c>
      <c r="B2761" t="s">
        <v>170</v>
      </c>
      <c r="C2761" t="s">
        <v>136</v>
      </c>
      <c r="D2761">
        <v>2010</v>
      </c>
      <c r="E2761">
        <v>0</v>
      </c>
      <c r="F2761" t="s">
        <v>186</v>
      </c>
    </row>
    <row r="2762" spans="1:6" x14ac:dyDescent="0.25">
      <c r="A2762" t="s">
        <v>192</v>
      </c>
      <c r="B2762" t="s">
        <v>170</v>
      </c>
      <c r="C2762" t="s">
        <v>137</v>
      </c>
      <c r="D2762">
        <v>2014</v>
      </c>
      <c r="E2762">
        <v>0</v>
      </c>
      <c r="F2762" t="s">
        <v>186</v>
      </c>
    </row>
    <row r="2763" spans="1:6" x14ac:dyDescent="0.25">
      <c r="A2763" t="s">
        <v>192</v>
      </c>
      <c r="B2763" t="s">
        <v>170</v>
      </c>
      <c r="C2763" t="s">
        <v>137</v>
      </c>
      <c r="D2763">
        <v>2013</v>
      </c>
      <c r="E2763">
        <v>0</v>
      </c>
      <c r="F2763" t="s">
        <v>186</v>
      </c>
    </row>
    <row r="2764" spans="1:6" x14ac:dyDescent="0.25">
      <c r="A2764" t="s">
        <v>192</v>
      </c>
      <c r="B2764" t="s">
        <v>170</v>
      </c>
      <c r="C2764" t="s">
        <v>137</v>
      </c>
      <c r="D2764">
        <v>2012</v>
      </c>
      <c r="E2764">
        <v>0</v>
      </c>
      <c r="F2764" t="s">
        <v>186</v>
      </c>
    </row>
    <row r="2765" spans="1:6" x14ac:dyDescent="0.25">
      <c r="A2765" t="s">
        <v>192</v>
      </c>
      <c r="B2765" t="s">
        <v>170</v>
      </c>
      <c r="C2765" t="s">
        <v>137</v>
      </c>
      <c r="D2765">
        <v>2011</v>
      </c>
      <c r="E2765">
        <v>0</v>
      </c>
      <c r="F2765" t="s">
        <v>186</v>
      </c>
    </row>
    <row r="2766" spans="1:6" x14ac:dyDescent="0.25">
      <c r="A2766" t="s">
        <v>192</v>
      </c>
      <c r="B2766" t="s">
        <v>170</v>
      </c>
      <c r="C2766" t="s">
        <v>137</v>
      </c>
      <c r="D2766">
        <v>2010</v>
      </c>
      <c r="E2766">
        <v>0</v>
      </c>
      <c r="F2766" t="s">
        <v>186</v>
      </c>
    </row>
    <row r="2767" spans="1:6" x14ac:dyDescent="0.25">
      <c r="A2767" t="s">
        <v>192</v>
      </c>
      <c r="B2767" t="s">
        <v>170</v>
      </c>
      <c r="C2767" t="s">
        <v>138</v>
      </c>
      <c r="D2767">
        <v>2014</v>
      </c>
      <c r="E2767">
        <v>0</v>
      </c>
      <c r="F2767" t="s">
        <v>186</v>
      </c>
    </row>
    <row r="2768" spans="1:6" x14ac:dyDescent="0.25">
      <c r="A2768" t="s">
        <v>192</v>
      </c>
      <c r="B2768" t="s">
        <v>170</v>
      </c>
      <c r="C2768" t="s">
        <v>138</v>
      </c>
      <c r="D2768">
        <v>2013</v>
      </c>
      <c r="E2768">
        <v>0</v>
      </c>
      <c r="F2768" t="s">
        <v>186</v>
      </c>
    </row>
    <row r="2769" spans="1:6" x14ac:dyDescent="0.25">
      <c r="A2769" t="s">
        <v>192</v>
      </c>
      <c r="B2769" t="s">
        <v>170</v>
      </c>
      <c r="C2769" t="s">
        <v>138</v>
      </c>
      <c r="D2769">
        <v>2012</v>
      </c>
      <c r="E2769">
        <v>0</v>
      </c>
      <c r="F2769" t="s">
        <v>186</v>
      </c>
    </row>
    <row r="2770" spans="1:6" x14ac:dyDescent="0.25">
      <c r="A2770" t="s">
        <v>192</v>
      </c>
      <c r="B2770" t="s">
        <v>170</v>
      </c>
      <c r="C2770" t="s">
        <v>138</v>
      </c>
      <c r="D2770">
        <v>2011</v>
      </c>
      <c r="E2770">
        <v>0</v>
      </c>
      <c r="F2770" t="s">
        <v>186</v>
      </c>
    </row>
    <row r="2771" spans="1:6" x14ac:dyDescent="0.25">
      <c r="A2771" t="s">
        <v>192</v>
      </c>
      <c r="B2771" t="s">
        <v>170</v>
      </c>
      <c r="C2771" t="s">
        <v>138</v>
      </c>
      <c r="D2771">
        <v>2010</v>
      </c>
      <c r="E2771">
        <v>0</v>
      </c>
      <c r="F2771" t="s">
        <v>186</v>
      </c>
    </row>
    <row r="2772" spans="1:6" x14ac:dyDescent="0.25">
      <c r="A2772" t="s">
        <v>192</v>
      </c>
      <c r="B2772" t="s">
        <v>170</v>
      </c>
      <c r="C2772" t="s">
        <v>164</v>
      </c>
      <c r="D2772">
        <v>2014</v>
      </c>
      <c r="E2772">
        <v>0</v>
      </c>
      <c r="F2772" t="s">
        <v>186</v>
      </c>
    </row>
    <row r="2773" spans="1:6" x14ac:dyDescent="0.25">
      <c r="A2773" t="s">
        <v>192</v>
      </c>
      <c r="B2773" t="s">
        <v>170</v>
      </c>
      <c r="C2773" t="s">
        <v>164</v>
      </c>
      <c r="D2773">
        <v>2013</v>
      </c>
      <c r="E2773">
        <v>0</v>
      </c>
      <c r="F2773" t="s">
        <v>186</v>
      </c>
    </row>
    <row r="2774" spans="1:6" x14ac:dyDescent="0.25">
      <c r="A2774" t="s">
        <v>192</v>
      </c>
      <c r="B2774" t="s">
        <v>170</v>
      </c>
      <c r="C2774" t="s">
        <v>164</v>
      </c>
      <c r="D2774">
        <v>2012</v>
      </c>
      <c r="E2774">
        <v>0</v>
      </c>
      <c r="F2774" t="s">
        <v>186</v>
      </c>
    </row>
    <row r="2775" spans="1:6" x14ac:dyDescent="0.25">
      <c r="A2775" t="s">
        <v>192</v>
      </c>
      <c r="B2775" t="s">
        <v>170</v>
      </c>
      <c r="C2775" t="s">
        <v>164</v>
      </c>
      <c r="D2775">
        <v>2011</v>
      </c>
      <c r="E2775">
        <v>0</v>
      </c>
      <c r="F2775" t="s">
        <v>186</v>
      </c>
    </row>
    <row r="2776" spans="1:6" x14ac:dyDescent="0.25">
      <c r="A2776" t="s">
        <v>192</v>
      </c>
      <c r="B2776" t="s">
        <v>170</v>
      </c>
      <c r="C2776" t="s">
        <v>164</v>
      </c>
      <c r="D2776">
        <v>2010</v>
      </c>
      <c r="E2776">
        <v>0</v>
      </c>
      <c r="F2776" t="s">
        <v>186</v>
      </c>
    </row>
    <row r="2777" spans="1:6" x14ac:dyDescent="0.25">
      <c r="A2777" t="s">
        <v>192</v>
      </c>
      <c r="B2777" t="s">
        <v>170</v>
      </c>
      <c r="C2777" t="s">
        <v>139</v>
      </c>
      <c r="D2777">
        <v>2014</v>
      </c>
      <c r="E2777">
        <v>0</v>
      </c>
      <c r="F2777" t="s">
        <v>186</v>
      </c>
    </row>
    <row r="2778" spans="1:6" x14ac:dyDescent="0.25">
      <c r="A2778" t="s">
        <v>192</v>
      </c>
      <c r="B2778" t="s">
        <v>170</v>
      </c>
      <c r="C2778" t="s">
        <v>139</v>
      </c>
      <c r="D2778">
        <v>2013</v>
      </c>
      <c r="E2778">
        <v>0</v>
      </c>
      <c r="F2778" t="s">
        <v>186</v>
      </c>
    </row>
    <row r="2779" spans="1:6" x14ac:dyDescent="0.25">
      <c r="A2779" t="s">
        <v>192</v>
      </c>
      <c r="B2779" t="s">
        <v>170</v>
      </c>
      <c r="C2779" t="s">
        <v>139</v>
      </c>
      <c r="D2779">
        <v>2012</v>
      </c>
      <c r="E2779">
        <v>0</v>
      </c>
      <c r="F2779" t="s">
        <v>186</v>
      </c>
    </row>
    <row r="2780" spans="1:6" x14ac:dyDescent="0.25">
      <c r="A2780" t="s">
        <v>192</v>
      </c>
      <c r="B2780" t="s">
        <v>170</v>
      </c>
      <c r="C2780" t="s">
        <v>139</v>
      </c>
      <c r="D2780">
        <v>2011</v>
      </c>
      <c r="E2780">
        <v>0</v>
      </c>
      <c r="F2780" t="s">
        <v>186</v>
      </c>
    </row>
    <row r="2781" spans="1:6" x14ac:dyDescent="0.25">
      <c r="A2781" t="s">
        <v>192</v>
      </c>
      <c r="B2781" t="s">
        <v>170</v>
      </c>
      <c r="C2781" t="s">
        <v>139</v>
      </c>
      <c r="D2781">
        <v>2010</v>
      </c>
      <c r="E2781">
        <v>0</v>
      </c>
      <c r="F2781" t="s">
        <v>186</v>
      </c>
    </row>
    <row r="2782" spans="1:6" x14ac:dyDescent="0.25">
      <c r="A2782" t="s">
        <v>192</v>
      </c>
      <c r="B2782" t="s">
        <v>170</v>
      </c>
      <c r="C2782" t="s">
        <v>165</v>
      </c>
      <c r="D2782">
        <v>2014</v>
      </c>
      <c r="E2782">
        <v>0</v>
      </c>
      <c r="F2782" t="s">
        <v>186</v>
      </c>
    </row>
    <row r="2783" spans="1:6" x14ac:dyDescent="0.25">
      <c r="A2783" t="s">
        <v>192</v>
      </c>
      <c r="B2783" t="s">
        <v>170</v>
      </c>
      <c r="C2783" t="s">
        <v>165</v>
      </c>
      <c r="D2783">
        <v>2013</v>
      </c>
      <c r="E2783">
        <v>0</v>
      </c>
      <c r="F2783" t="s">
        <v>186</v>
      </c>
    </row>
    <row r="2784" spans="1:6" x14ac:dyDescent="0.25">
      <c r="A2784" t="s">
        <v>192</v>
      </c>
      <c r="B2784" t="s">
        <v>170</v>
      </c>
      <c r="C2784" t="s">
        <v>165</v>
      </c>
      <c r="D2784">
        <v>2012</v>
      </c>
      <c r="E2784">
        <v>0</v>
      </c>
      <c r="F2784" t="s">
        <v>186</v>
      </c>
    </row>
    <row r="2785" spans="1:6" x14ac:dyDescent="0.25">
      <c r="A2785" t="s">
        <v>192</v>
      </c>
      <c r="B2785" t="s">
        <v>170</v>
      </c>
      <c r="C2785" t="s">
        <v>165</v>
      </c>
      <c r="D2785">
        <v>2011</v>
      </c>
      <c r="E2785">
        <v>0</v>
      </c>
      <c r="F2785" t="s">
        <v>186</v>
      </c>
    </row>
    <row r="2786" spans="1:6" x14ac:dyDescent="0.25">
      <c r="A2786" t="s">
        <v>192</v>
      </c>
      <c r="B2786" t="s">
        <v>170</v>
      </c>
      <c r="C2786" t="s">
        <v>165</v>
      </c>
      <c r="D2786">
        <v>2010</v>
      </c>
      <c r="E2786">
        <v>0</v>
      </c>
      <c r="F2786" t="s">
        <v>186</v>
      </c>
    </row>
    <row r="2787" spans="1:6" x14ac:dyDescent="0.25">
      <c r="A2787" t="s">
        <v>192</v>
      </c>
      <c r="B2787" t="s">
        <v>170</v>
      </c>
      <c r="C2787" t="s">
        <v>140</v>
      </c>
      <c r="D2787">
        <v>2014</v>
      </c>
      <c r="E2787">
        <v>0</v>
      </c>
      <c r="F2787" t="s">
        <v>186</v>
      </c>
    </row>
    <row r="2788" spans="1:6" x14ac:dyDescent="0.25">
      <c r="A2788" t="s">
        <v>192</v>
      </c>
      <c r="B2788" t="s">
        <v>170</v>
      </c>
      <c r="C2788" t="s">
        <v>140</v>
      </c>
      <c r="D2788">
        <v>2013</v>
      </c>
      <c r="E2788">
        <v>0</v>
      </c>
      <c r="F2788" t="s">
        <v>186</v>
      </c>
    </row>
    <row r="2789" spans="1:6" x14ac:dyDescent="0.25">
      <c r="A2789" t="s">
        <v>192</v>
      </c>
      <c r="B2789" t="s">
        <v>170</v>
      </c>
      <c r="C2789" t="s">
        <v>140</v>
      </c>
      <c r="D2789">
        <v>2012</v>
      </c>
      <c r="E2789">
        <v>0</v>
      </c>
      <c r="F2789" t="s">
        <v>186</v>
      </c>
    </row>
    <row r="2790" spans="1:6" x14ac:dyDescent="0.25">
      <c r="A2790" t="s">
        <v>192</v>
      </c>
      <c r="B2790" t="s">
        <v>170</v>
      </c>
      <c r="C2790" t="s">
        <v>140</v>
      </c>
      <c r="D2790">
        <v>2011</v>
      </c>
      <c r="E2790">
        <v>0</v>
      </c>
      <c r="F2790" t="s">
        <v>186</v>
      </c>
    </row>
    <row r="2791" spans="1:6" x14ac:dyDescent="0.25">
      <c r="A2791" t="s">
        <v>192</v>
      </c>
      <c r="B2791" t="s">
        <v>170</v>
      </c>
      <c r="C2791" t="s">
        <v>140</v>
      </c>
      <c r="D2791">
        <v>2010</v>
      </c>
      <c r="E2791">
        <v>0</v>
      </c>
      <c r="F2791" t="s">
        <v>186</v>
      </c>
    </row>
    <row r="2792" spans="1:6" x14ac:dyDescent="0.25">
      <c r="A2792" t="s">
        <v>192</v>
      </c>
      <c r="B2792" t="s">
        <v>170</v>
      </c>
      <c r="C2792" t="s">
        <v>141</v>
      </c>
      <c r="D2792">
        <v>2014</v>
      </c>
      <c r="E2792">
        <v>0</v>
      </c>
      <c r="F2792" t="s">
        <v>186</v>
      </c>
    </row>
    <row r="2793" spans="1:6" x14ac:dyDescent="0.25">
      <c r="A2793" t="s">
        <v>192</v>
      </c>
      <c r="B2793" t="s">
        <v>170</v>
      </c>
      <c r="C2793" t="s">
        <v>141</v>
      </c>
      <c r="D2793">
        <v>2013</v>
      </c>
      <c r="E2793">
        <v>0</v>
      </c>
      <c r="F2793" t="s">
        <v>186</v>
      </c>
    </row>
    <row r="2794" spans="1:6" x14ac:dyDescent="0.25">
      <c r="A2794" t="s">
        <v>192</v>
      </c>
      <c r="B2794" t="s">
        <v>170</v>
      </c>
      <c r="C2794" t="s">
        <v>141</v>
      </c>
      <c r="D2794">
        <v>2012</v>
      </c>
      <c r="E2794">
        <v>0</v>
      </c>
      <c r="F2794" t="s">
        <v>186</v>
      </c>
    </row>
    <row r="2795" spans="1:6" x14ac:dyDescent="0.25">
      <c r="A2795" t="s">
        <v>192</v>
      </c>
      <c r="B2795" t="s">
        <v>170</v>
      </c>
      <c r="C2795" t="s">
        <v>141</v>
      </c>
      <c r="D2795">
        <v>2011</v>
      </c>
      <c r="E2795">
        <v>0</v>
      </c>
      <c r="F2795" t="s">
        <v>186</v>
      </c>
    </row>
    <row r="2796" spans="1:6" x14ac:dyDescent="0.25">
      <c r="A2796" t="s">
        <v>192</v>
      </c>
      <c r="B2796" t="s">
        <v>170</v>
      </c>
      <c r="C2796" t="s">
        <v>141</v>
      </c>
      <c r="D2796">
        <v>2010</v>
      </c>
      <c r="E2796">
        <v>0</v>
      </c>
      <c r="F2796" t="s">
        <v>186</v>
      </c>
    </row>
    <row r="2797" spans="1:6" x14ac:dyDescent="0.25">
      <c r="A2797" t="s">
        <v>192</v>
      </c>
      <c r="B2797" t="s">
        <v>170</v>
      </c>
      <c r="C2797" t="s">
        <v>142</v>
      </c>
      <c r="D2797">
        <v>2014</v>
      </c>
      <c r="E2797">
        <v>0</v>
      </c>
      <c r="F2797" t="s">
        <v>186</v>
      </c>
    </row>
    <row r="2798" spans="1:6" x14ac:dyDescent="0.25">
      <c r="A2798" t="s">
        <v>192</v>
      </c>
      <c r="B2798" t="s">
        <v>170</v>
      </c>
      <c r="C2798" t="s">
        <v>142</v>
      </c>
      <c r="D2798">
        <v>2013</v>
      </c>
      <c r="E2798">
        <v>0</v>
      </c>
      <c r="F2798" t="s">
        <v>186</v>
      </c>
    </row>
    <row r="2799" spans="1:6" x14ac:dyDescent="0.25">
      <c r="A2799" t="s">
        <v>192</v>
      </c>
      <c r="B2799" t="s">
        <v>170</v>
      </c>
      <c r="C2799" t="s">
        <v>142</v>
      </c>
      <c r="D2799">
        <v>2012</v>
      </c>
      <c r="E2799">
        <v>0</v>
      </c>
      <c r="F2799" t="s">
        <v>186</v>
      </c>
    </row>
    <row r="2800" spans="1:6" x14ac:dyDescent="0.25">
      <c r="A2800" t="s">
        <v>192</v>
      </c>
      <c r="B2800" t="s">
        <v>170</v>
      </c>
      <c r="C2800" t="s">
        <v>142</v>
      </c>
      <c r="D2800">
        <v>2011</v>
      </c>
      <c r="E2800">
        <v>0</v>
      </c>
      <c r="F2800" t="s">
        <v>186</v>
      </c>
    </row>
    <row r="2801" spans="1:6" x14ac:dyDescent="0.25">
      <c r="A2801" t="s">
        <v>192</v>
      </c>
      <c r="B2801" t="s">
        <v>170</v>
      </c>
      <c r="C2801" t="s">
        <v>142</v>
      </c>
      <c r="D2801">
        <v>2010</v>
      </c>
      <c r="E2801">
        <v>0</v>
      </c>
      <c r="F2801" t="s">
        <v>186</v>
      </c>
    </row>
    <row r="2802" spans="1:6" x14ac:dyDescent="0.25">
      <c r="A2802" t="s">
        <v>192</v>
      </c>
      <c r="B2802" t="s">
        <v>170</v>
      </c>
      <c r="C2802" t="s">
        <v>166</v>
      </c>
      <c r="D2802">
        <v>2014</v>
      </c>
      <c r="E2802">
        <v>0</v>
      </c>
      <c r="F2802" t="s">
        <v>186</v>
      </c>
    </row>
    <row r="2803" spans="1:6" x14ac:dyDescent="0.25">
      <c r="A2803" t="s">
        <v>192</v>
      </c>
      <c r="B2803" t="s">
        <v>170</v>
      </c>
      <c r="C2803" t="s">
        <v>166</v>
      </c>
      <c r="D2803">
        <v>2013</v>
      </c>
      <c r="E2803">
        <v>0</v>
      </c>
      <c r="F2803" t="s">
        <v>186</v>
      </c>
    </row>
    <row r="2804" spans="1:6" x14ac:dyDescent="0.25">
      <c r="A2804" t="s">
        <v>192</v>
      </c>
      <c r="B2804" t="s">
        <v>170</v>
      </c>
      <c r="C2804" t="s">
        <v>166</v>
      </c>
      <c r="D2804">
        <v>2012</v>
      </c>
      <c r="E2804">
        <v>0</v>
      </c>
      <c r="F2804" t="s">
        <v>186</v>
      </c>
    </row>
    <row r="2805" spans="1:6" x14ac:dyDescent="0.25">
      <c r="A2805" t="s">
        <v>192</v>
      </c>
      <c r="B2805" t="s">
        <v>170</v>
      </c>
      <c r="C2805" t="s">
        <v>166</v>
      </c>
      <c r="D2805">
        <v>2011</v>
      </c>
      <c r="E2805">
        <v>0</v>
      </c>
      <c r="F2805" t="s">
        <v>186</v>
      </c>
    </row>
    <row r="2806" spans="1:6" x14ac:dyDescent="0.25">
      <c r="A2806" t="s">
        <v>192</v>
      </c>
      <c r="B2806" t="s">
        <v>170</v>
      </c>
      <c r="C2806" t="s">
        <v>166</v>
      </c>
      <c r="D2806">
        <v>2010</v>
      </c>
      <c r="E2806">
        <v>0</v>
      </c>
      <c r="F2806" t="s">
        <v>186</v>
      </c>
    </row>
    <row r="2807" spans="1:6" x14ac:dyDescent="0.25">
      <c r="A2807" t="s">
        <v>192</v>
      </c>
      <c r="B2807" t="s">
        <v>170</v>
      </c>
      <c r="C2807" t="s">
        <v>143</v>
      </c>
      <c r="D2807">
        <v>2014</v>
      </c>
      <c r="E2807">
        <v>0</v>
      </c>
      <c r="F2807" t="s">
        <v>186</v>
      </c>
    </row>
    <row r="2808" spans="1:6" x14ac:dyDescent="0.25">
      <c r="A2808" t="s">
        <v>192</v>
      </c>
      <c r="B2808" t="s">
        <v>170</v>
      </c>
      <c r="C2808" t="s">
        <v>143</v>
      </c>
      <c r="D2808">
        <v>2013</v>
      </c>
      <c r="E2808">
        <v>0</v>
      </c>
      <c r="F2808" t="s">
        <v>186</v>
      </c>
    </row>
    <row r="2809" spans="1:6" x14ac:dyDescent="0.25">
      <c r="A2809" t="s">
        <v>192</v>
      </c>
      <c r="B2809" t="s">
        <v>170</v>
      </c>
      <c r="C2809" t="s">
        <v>143</v>
      </c>
      <c r="D2809">
        <v>2012</v>
      </c>
      <c r="E2809">
        <v>0</v>
      </c>
      <c r="F2809" t="s">
        <v>186</v>
      </c>
    </row>
    <row r="2810" spans="1:6" x14ac:dyDescent="0.25">
      <c r="A2810" t="s">
        <v>192</v>
      </c>
      <c r="B2810" t="s">
        <v>170</v>
      </c>
      <c r="C2810" t="s">
        <v>143</v>
      </c>
      <c r="D2810">
        <v>2011</v>
      </c>
      <c r="E2810">
        <v>0</v>
      </c>
      <c r="F2810" t="s">
        <v>186</v>
      </c>
    </row>
    <row r="2811" spans="1:6" x14ac:dyDescent="0.25">
      <c r="A2811" t="s">
        <v>192</v>
      </c>
      <c r="B2811" t="s">
        <v>170</v>
      </c>
      <c r="C2811" t="s">
        <v>143</v>
      </c>
      <c r="D2811">
        <v>2010</v>
      </c>
      <c r="E2811">
        <v>0</v>
      </c>
      <c r="F2811" t="s">
        <v>186</v>
      </c>
    </row>
    <row r="2812" spans="1:6" x14ac:dyDescent="0.25">
      <c r="A2812" t="s">
        <v>192</v>
      </c>
      <c r="B2812" t="s">
        <v>170</v>
      </c>
      <c r="C2812" t="s">
        <v>144</v>
      </c>
      <c r="D2812">
        <v>2014</v>
      </c>
      <c r="E2812">
        <v>0</v>
      </c>
      <c r="F2812" t="s">
        <v>186</v>
      </c>
    </row>
    <row r="2813" spans="1:6" x14ac:dyDescent="0.25">
      <c r="A2813" t="s">
        <v>192</v>
      </c>
      <c r="B2813" t="s">
        <v>170</v>
      </c>
      <c r="C2813" t="s">
        <v>144</v>
      </c>
      <c r="D2813">
        <v>2013</v>
      </c>
      <c r="E2813">
        <v>0</v>
      </c>
      <c r="F2813" t="s">
        <v>186</v>
      </c>
    </row>
    <row r="2814" spans="1:6" x14ac:dyDescent="0.25">
      <c r="A2814" t="s">
        <v>192</v>
      </c>
      <c r="B2814" t="s">
        <v>170</v>
      </c>
      <c r="C2814" t="s">
        <v>144</v>
      </c>
      <c r="D2814">
        <v>2012</v>
      </c>
      <c r="E2814">
        <v>0</v>
      </c>
      <c r="F2814" t="s">
        <v>186</v>
      </c>
    </row>
    <row r="2815" spans="1:6" x14ac:dyDescent="0.25">
      <c r="A2815" t="s">
        <v>192</v>
      </c>
      <c r="B2815" t="s">
        <v>170</v>
      </c>
      <c r="C2815" t="s">
        <v>144</v>
      </c>
      <c r="D2815">
        <v>2011</v>
      </c>
      <c r="E2815">
        <v>0</v>
      </c>
      <c r="F2815" t="s">
        <v>186</v>
      </c>
    </row>
    <row r="2816" spans="1:6" x14ac:dyDescent="0.25">
      <c r="A2816" t="s">
        <v>192</v>
      </c>
      <c r="B2816" t="s">
        <v>170</v>
      </c>
      <c r="C2816" t="s">
        <v>144</v>
      </c>
      <c r="D2816">
        <v>2010</v>
      </c>
      <c r="E2816">
        <v>0</v>
      </c>
      <c r="F2816" t="s">
        <v>186</v>
      </c>
    </row>
    <row r="2817" spans="1:6" x14ac:dyDescent="0.25">
      <c r="A2817" t="s">
        <v>192</v>
      </c>
      <c r="B2817" t="s">
        <v>170</v>
      </c>
      <c r="C2817" t="s">
        <v>145</v>
      </c>
      <c r="D2817">
        <v>2014</v>
      </c>
      <c r="E2817">
        <v>0</v>
      </c>
      <c r="F2817" t="s">
        <v>186</v>
      </c>
    </row>
    <row r="2818" spans="1:6" x14ac:dyDescent="0.25">
      <c r="A2818" t="s">
        <v>192</v>
      </c>
      <c r="B2818" t="s">
        <v>170</v>
      </c>
      <c r="C2818" t="s">
        <v>145</v>
      </c>
      <c r="D2818">
        <v>2013</v>
      </c>
      <c r="E2818">
        <v>0</v>
      </c>
      <c r="F2818" t="s">
        <v>186</v>
      </c>
    </row>
    <row r="2819" spans="1:6" x14ac:dyDescent="0.25">
      <c r="A2819" t="s">
        <v>192</v>
      </c>
      <c r="B2819" t="s">
        <v>170</v>
      </c>
      <c r="C2819" t="s">
        <v>145</v>
      </c>
      <c r="D2819">
        <v>2012</v>
      </c>
      <c r="E2819">
        <v>0</v>
      </c>
      <c r="F2819" t="s">
        <v>186</v>
      </c>
    </row>
    <row r="2820" spans="1:6" x14ac:dyDescent="0.25">
      <c r="A2820" t="s">
        <v>192</v>
      </c>
      <c r="B2820" t="s">
        <v>170</v>
      </c>
      <c r="C2820" t="s">
        <v>145</v>
      </c>
      <c r="D2820">
        <v>2011</v>
      </c>
      <c r="E2820">
        <v>0</v>
      </c>
      <c r="F2820" t="s">
        <v>186</v>
      </c>
    </row>
    <row r="2821" spans="1:6" x14ac:dyDescent="0.25">
      <c r="A2821" t="s">
        <v>192</v>
      </c>
      <c r="B2821" t="s">
        <v>170</v>
      </c>
      <c r="C2821" t="s">
        <v>145</v>
      </c>
      <c r="D2821">
        <v>2010</v>
      </c>
      <c r="E2821">
        <v>0</v>
      </c>
      <c r="F2821" t="s">
        <v>186</v>
      </c>
    </row>
    <row r="2822" spans="1:6" x14ac:dyDescent="0.25">
      <c r="A2822" t="s">
        <v>192</v>
      </c>
      <c r="B2822" t="s">
        <v>170</v>
      </c>
      <c r="C2822" t="s">
        <v>146</v>
      </c>
      <c r="D2822">
        <v>2014</v>
      </c>
      <c r="E2822">
        <v>0</v>
      </c>
      <c r="F2822" t="s">
        <v>186</v>
      </c>
    </row>
    <row r="2823" spans="1:6" x14ac:dyDescent="0.25">
      <c r="A2823" t="s">
        <v>192</v>
      </c>
      <c r="B2823" t="s">
        <v>170</v>
      </c>
      <c r="C2823" t="s">
        <v>146</v>
      </c>
      <c r="D2823">
        <v>2013</v>
      </c>
      <c r="E2823">
        <v>0</v>
      </c>
      <c r="F2823" t="s">
        <v>186</v>
      </c>
    </row>
    <row r="2824" spans="1:6" x14ac:dyDescent="0.25">
      <c r="A2824" t="s">
        <v>192</v>
      </c>
      <c r="B2824" t="s">
        <v>170</v>
      </c>
      <c r="C2824" t="s">
        <v>146</v>
      </c>
      <c r="D2824">
        <v>2012</v>
      </c>
      <c r="E2824">
        <v>0</v>
      </c>
      <c r="F2824" t="s">
        <v>186</v>
      </c>
    </row>
    <row r="2825" spans="1:6" x14ac:dyDescent="0.25">
      <c r="A2825" t="s">
        <v>192</v>
      </c>
      <c r="B2825" t="s">
        <v>170</v>
      </c>
      <c r="C2825" t="s">
        <v>146</v>
      </c>
      <c r="D2825">
        <v>2011</v>
      </c>
      <c r="E2825">
        <v>0</v>
      </c>
      <c r="F2825" t="s">
        <v>186</v>
      </c>
    </row>
    <row r="2826" spans="1:6" x14ac:dyDescent="0.25">
      <c r="A2826" t="s">
        <v>192</v>
      </c>
      <c r="B2826" t="s">
        <v>170</v>
      </c>
      <c r="C2826" t="s">
        <v>146</v>
      </c>
      <c r="D2826">
        <v>2010</v>
      </c>
      <c r="E2826">
        <v>0</v>
      </c>
      <c r="F2826" t="s">
        <v>186</v>
      </c>
    </row>
    <row r="2827" spans="1:6" x14ac:dyDescent="0.25">
      <c r="A2827" t="s">
        <v>192</v>
      </c>
      <c r="B2827" t="s">
        <v>170</v>
      </c>
      <c r="C2827" t="s">
        <v>147</v>
      </c>
      <c r="D2827">
        <v>2014</v>
      </c>
      <c r="E2827">
        <v>0</v>
      </c>
      <c r="F2827" t="s">
        <v>186</v>
      </c>
    </row>
    <row r="2828" spans="1:6" x14ac:dyDescent="0.25">
      <c r="A2828" t="s">
        <v>192</v>
      </c>
      <c r="B2828" t="s">
        <v>170</v>
      </c>
      <c r="C2828" t="s">
        <v>147</v>
      </c>
      <c r="D2828">
        <v>2013</v>
      </c>
      <c r="E2828">
        <v>0</v>
      </c>
      <c r="F2828" t="s">
        <v>186</v>
      </c>
    </row>
    <row r="2829" spans="1:6" x14ac:dyDescent="0.25">
      <c r="A2829" t="s">
        <v>192</v>
      </c>
      <c r="B2829" t="s">
        <v>170</v>
      </c>
      <c r="C2829" t="s">
        <v>147</v>
      </c>
      <c r="D2829">
        <v>2012</v>
      </c>
      <c r="E2829">
        <v>0</v>
      </c>
      <c r="F2829" t="s">
        <v>186</v>
      </c>
    </row>
    <row r="2830" spans="1:6" x14ac:dyDescent="0.25">
      <c r="A2830" t="s">
        <v>192</v>
      </c>
      <c r="B2830" t="s">
        <v>170</v>
      </c>
      <c r="C2830" t="s">
        <v>147</v>
      </c>
      <c r="D2830">
        <v>2011</v>
      </c>
      <c r="E2830">
        <v>0</v>
      </c>
      <c r="F2830" t="s">
        <v>186</v>
      </c>
    </row>
    <row r="2831" spans="1:6" x14ac:dyDescent="0.25">
      <c r="A2831" t="s">
        <v>192</v>
      </c>
      <c r="B2831" t="s">
        <v>170</v>
      </c>
      <c r="C2831" t="s">
        <v>147</v>
      </c>
      <c r="D2831">
        <v>2010</v>
      </c>
      <c r="E2831">
        <v>0</v>
      </c>
      <c r="F2831" t="s">
        <v>186</v>
      </c>
    </row>
    <row r="2832" spans="1:6" x14ac:dyDescent="0.25">
      <c r="A2832" t="s">
        <v>192</v>
      </c>
      <c r="B2832" t="s">
        <v>170</v>
      </c>
      <c r="C2832" t="s">
        <v>167</v>
      </c>
      <c r="D2832">
        <v>2014</v>
      </c>
      <c r="E2832">
        <v>0</v>
      </c>
      <c r="F2832" t="s">
        <v>186</v>
      </c>
    </row>
    <row r="2833" spans="1:6" x14ac:dyDescent="0.25">
      <c r="A2833" t="s">
        <v>192</v>
      </c>
      <c r="B2833" t="s">
        <v>170</v>
      </c>
      <c r="C2833" t="s">
        <v>167</v>
      </c>
      <c r="D2833">
        <v>2013</v>
      </c>
      <c r="E2833">
        <v>0</v>
      </c>
      <c r="F2833" t="s">
        <v>186</v>
      </c>
    </row>
    <row r="2834" spans="1:6" x14ac:dyDescent="0.25">
      <c r="A2834" t="s">
        <v>192</v>
      </c>
      <c r="B2834" t="s">
        <v>170</v>
      </c>
      <c r="C2834" t="s">
        <v>167</v>
      </c>
      <c r="D2834">
        <v>2012</v>
      </c>
      <c r="E2834">
        <v>0</v>
      </c>
      <c r="F2834" t="s">
        <v>186</v>
      </c>
    </row>
    <row r="2835" spans="1:6" x14ac:dyDescent="0.25">
      <c r="A2835" t="s">
        <v>192</v>
      </c>
      <c r="B2835" t="s">
        <v>170</v>
      </c>
      <c r="C2835" t="s">
        <v>167</v>
      </c>
      <c r="D2835">
        <v>2011</v>
      </c>
      <c r="E2835">
        <v>0</v>
      </c>
      <c r="F2835" t="s">
        <v>186</v>
      </c>
    </row>
    <row r="2836" spans="1:6" x14ac:dyDescent="0.25">
      <c r="A2836" t="s">
        <v>192</v>
      </c>
      <c r="B2836" t="s">
        <v>170</v>
      </c>
      <c r="C2836" t="s">
        <v>167</v>
      </c>
      <c r="D2836">
        <v>2010</v>
      </c>
      <c r="E2836">
        <v>0</v>
      </c>
      <c r="F2836" t="s">
        <v>186</v>
      </c>
    </row>
    <row r="2837" spans="1:6" x14ac:dyDescent="0.25">
      <c r="A2837" t="s">
        <v>192</v>
      </c>
      <c r="B2837" t="s">
        <v>170</v>
      </c>
      <c r="C2837" t="s">
        <v>168</v>
      </c>
      <c r="D2837">
        <v>2014</v>
      </c>
      <c r="E2837">
        <v>0</v>
      </c>
      <c r="F2837" t="s">
        <v>186</v>
      </c>
    </row>
    <row r="2838" spans="1:6" x14ac:dyDescent="0.25">
      <c r="A2838" t="s">
        <v>192</v>
      </c>
      <c r="B2838" t="s">
        <v>170</v>
      </c>
      <c r="C2838" t="s">
        <v>168</v>
      </c>
      <c r="D2838">
        <v>2013</v>
      </c>
      <c r="E2838">
        <v>0</v>
      </c>
      <c r="F2838" t="s">
        <v>186</v>
      </c>
    </row>
    <row r="2839" spans="1:6" x14ac:dyDescent="0.25">
      <c r="A2839" t="s">
        <v>192</v>
      </c>
      <c r="B2839" t="s">
        <v>170</v>
      </c>
      <c r="C2839" t="s">
        <v>168</v>
      </c>
      <c r="D2839">
        <v>2012</v>
      </c>
      <c r="E2839">
        <v>0</v>
      </c>
      <c r="F2839" t="s">
        <v>186</v>
      </c>
    </row>
    <row r="2840" spans="1:6" x14ac:dyDescent="0.25">
      <c r="A2840" t="s">
        <v>192</v>
      </c>
      <c r="B2840" t="s">
        <v>170</v>
      </c>
      <c r="C2840" t="s">
        <v>168</v>
      </c>
      <c r="D2840">
        <v>2011</v>
      </c>
      <c r="E2840">
        <v>0</v>
      </c>
      <c r="F2840" t="s">
        <v>186</v>
      </c>
    </row>
    <row r="2841" spans="1:6" x14ac:dyDescent="0.25">
      <c r="A2841" t="s">
        <v>192</v>
      </c>
      <c r="B2841" t="s">
        <v>170</v>
      </c>
      <c r="C2841" t="s">
        <v>168</v>
      </c>
      <c r="D2841">
        <v>2010</v>
      </c>
      <c r="E2841">
        <v>0</v>
      </c>
      <c r="F2841" t="s">
        <v>186</v>
      </c>
    </row>
    <row r="2842" spans="1:6" x14ac:dyDescent="0.25">
      <c r="A2842" t="s">
        <v>192</v>
      </c>
      <c r="B2842" t="s">
        <v>170</v>
      </c>
      <c r="C2842" t="s">
        <v>148</v>
      </c>
      <c r="D2842">
        <v>2014</v>
      </c>
      <c r="E2842">
        <v>0</v>
      </c>
      <c r="F2842" t="s">
        <v>186</v>
      </c>
    </row>
    <row r="2843" spans="1:6" x14ac:dyDescent="0.25">
      <c r="A2843" t="s">
        <v>192</v>
      </c>
      <c r="B2843" t="s">
        <v>170</v>
      </c>
      <c r="C2843" t="s">
        <v>148</v>
      </c>
      <c r="D2843">
        <v>2013</v>
      </c>
      <c r="E2843">
        <v>0</v>
      </c>
      <c r="F2843" t="s">
        <v>186</v>
      </c>
    </row>
    <row r="2844" spans="1:6" x14ac:dyDescent="0.25">
      <c r="A2844" t="s">
        <v>192</v>
      </c>
      <c r="B2844" t="s">
        <v>170</v>
      </c>
      <c r="C2844" t="s">
        <v>148</v>
      </c>
      <c r="D2844">
        <v>2012</v>
      </c>
      <c r="E2844">
        <v>0</v>
      </c>
      <c r="F2844" t="s">
        <v>186</v>
      </c>
    </row>
    <row r="2845" spans="1:6" x14ac:dyDescent="0.25">
      <c r="A2845" t="s">
        <v>192</v>
      </c>
      <c r="B2845" t="s">
        <v>170</v>
      </c>
      <c r="C2845" t="s">
        <v>148</v>
      </c>
      <c r="D2845">
        <v>2011</v>
      </c>
      <c r="E2845">
        <v>0</v>
      </c>
      <c r="F2845" t="s">
        <v>186</v>
      </c>
    </row>
    <row r="2846" spans="1:6" x14ac:dyDescent="0.25">
      <c r="A2846" t="s">
        <v>192</v>
      </c>
      <c r="B2846" t="s">
        <v>170</v>
      </c>
      <c r="C2846" t="s">
        <v>148</v>
      </c>
      <c r="D2846">
        <v>2010</v>
      </c>
      <c r="E2846">
        <v>0</v>
      </c>
      <c r="F2846" t="s">
        <v>186</v>
      </c>
    </row>
    <row r="2847" spans="1:6" x14ac:dyDescent="0.25">
      <c r="A2847" t="s">
        <v>192</v>
      </c>
      <c r="B2847" t="s">
        <v>170</v>
      </c>
      <c r="C2847" t="s">
        <v>149</v>
      </c>
      <c r="D2847">
        <v>2014</v>
      </c>
      <c r="E2847">
        <v>0</v>
      </c>
      <c r="F2847" t="s">
        <v>186</v>
      </c>
    </row>
    <row r="2848" spans="1:6" x14ac:dyDescent="0.25">
      <c r="A2848" t="s">
        <v>192</v>
      </c>
      <c r="B2848" t="s">
        <v>170</v>
      </c>
      <c r="C2848" t="s">
        <v>149</v>
      </c>
      <c r="D2848">
        <v>2013</v>
      </c>
      <c r="E2848">
        <v>0</v>
      </c>
      <c r="F2848" t="s">
        <v>186</v>
      </c>
    </row>
    <row r="2849" spans="1:6" x14ac:dyDescent="0.25">
      <c r="A2849" t="s">
        <v>192</v>
      </c>
      <c r="B2849" t="s">
        <v>170</v>
      </c>
      <c r="C2849" t="s">
        <v>149</v>
      </c>
      <c r="D2849">
        <v>2012</v>
      </c>
      <c r="E2849">
        <v>0</v>
      </c>
      <c r="F2849" t="s">
        <v>186</v>
      </c>
    </row>
    <row r="2850" spans="1:6" x14ac:dyDescent="0.25">
      <c r="A2850" t="s">
        <v>192</v>
      </c>
      <c r="B2850" t="s">
        <v>170</v>
      </c>
      <c r="C2850" t="s">
        <v>149</v>
      </c>
      <c r="D2850">
        <v>2011</v>
      </c>
      <c r="E2850">
        <v>0</v>
      </c>
      <c r="F2850" t="s">
        <v>186</v>
      </c>
    </row>
    <row r="2851" spans="1:6" x14ac:dyDescent="0.25">
      <c r="A2851" t="s">
        <v>192</v>
      </c>
      <c r="B2851" t="s">
        <v>170</v>
      </c>
      <c r="C2851" t="s">
        <v>149</v>
      </c>
      <c r="D2851">
        <v>2010</v>
      </c>
      <c r="E2851">
        <v>0</v>
      </c>
      <c r="F2851" t="s">
        <v>186</v>
      </c>
    </row>
    <row r="2852" spans="1:6" x14ac:dyDescent="0.25">
      <c r="A2852" t="s">
        <v>192</v>
      </c>
      <c r="B2852" t="s">
        <v>170</v>
      </c>
      <c r="C2852" t="s">
        <v>121</v>
      </c>
      <c r="D2852">
        <v>2014</v>
      </c>
      <c r="E2852">
        <v>0</v>
      </c>
      <c r="F2852" t="s">
        <v>184</v>
      </c>
    </row>
    <row r="2853" spans="1:6" x14ac:dyDescent="0.25">
      <c r="A2853" t="s">
        <v>192</v>
      </c>
      <c r="B2853" t="s">
        <v>170</v>
      </c>
      <c r="C2853" t="s">
        <v>121</v>
      </c>
      <c r="D2853">
        <v>2013</v>
      </c>
      <c r="E2853">
        <v>0</v>
      </c>
      <c r="F2853" t="s">
        <v>184</v>
      </c>
    </row>
    <row r="2854" spans="1:6" x14ac:dyDescent="0.25">
      <c r="A2854" t="s">
        <v>192</v>
      </c>
      <c r="B2854" t="s">
        <v>170</v>
      </c>
      <c r="C2854" t="s">
        <v>121</v>
      </c>
      <c r="D2854">
        <v>2012</v>
      </c>
      <c r="E2854">
        <v>0</v>
      </c>
      <c r="F2854" t="s">
        <v>184</v>
      </c>
    </row>
    <row r="2855" spans="1:6" x14ac:dyDescent="0.25">
      <c r="A2855" t="s">
        <v>192</v>
      </c>
      <c r="B2855" t="s">
        <v>170</v>
      </c>
      <c r="C2855" t="s">
        <v>121</v>
      </c>
      <c r="D2855">
        <v>2011</v>
      </c>
      <c r="E2855">
        <v>0</v>
      </c>
      <c r="F2855" t="s">
        <v>184</v>
      </c>
    </row>
    <row r="2856" spans="1:6" x14ac:dyDescent="0.25">
      <c r="A2856" t="s">
        <v>192</v>
      </c>
      <c r="B2856" t="s">
        <v>170</v>
      </c>
      <c r="C2856" t="s">
        <v>121</v>
      </c>
      <c r="D2856">
        <v>2010</v>
      </c>
      <c r="E2856">
        <v>0</v>
      </c>
      <c r="F2856" t="s">
        <v>184</v>
      </c>
    </row>
    <row r="2857" spans="1:6" x14ac:dyDescent="0.25">
      <c r="A2857" t="s">
        <v>192</v>
      </c>
      <c r="B2857" t="s">
        <v>170</v>
      </c>
      <c r="C2857" t="s">
        <v>122</v>
      </c>
      <c r="D2857">
        <v>2014</v>
      </c>
      <c r="E2857">
        <v>0</v>
      </c>
      <c r="F2857" t="s">
        <v>184</v>
      </c>
    </row>
    <row r="2858" spans="1:6" x14ac:dyDescent="0.25">
      <c r="A2858" t="s">
        <v>192</v>
      </c>
      <c r="B2858" t="s">
        <v>170</v>
      </c>
      <c r="C2858" t="s">
        <v>122</v>
      </c>
      <c r="D2858">
        <v>2013</v>
      </c>
      <c r="E2858">
        <v>0</v>
      </c>
      <c r="F2858" t="s">
        <v>184</v>
      </c>
    </row>
    <row r="2859" spans="1:6" x14ac:dyDescent="0.25">
      <c r="A2859" t="s">
        <v>192</v>
      </c>
      <c r="B2859" t="s">
        <v>170</v>
      </c>
      <c r="C2859" t="s">
        <v>122</v>
      </c>
      <c r="D2859">
        <v>2012</v>
      </c>
      <c r="E2859">
        <v>0</v>
      </c>
      <c r="F2859" t="s">
        <v>184</v>
      </c>
    </row>
    <row r="2860" spans="1:6" x14ac:dyDescent="0.25">
      <c r="A2860" t="s">
        <v>192</v>
      </c>
      <c r="B2860" t="s">
        <v>170</v>
      </c>
      <c r="C2860" t="s">
        <v>122</v>
      </c>
      <c r="D2860">
        <v>2011</v>
      </c>
      <c r="E2860">
        <v>0</v>
      </c>
      <c r="F2860" t="s">
        <v>184</v>
      </c>
    </row>
    <row r="2861" spans="1:6" x14ac:dyDescent="0.25">
      <c r="A2861" t="s">
        <v>192</v>
      </c>
      <c r="B2861" t="s">
        <v>170</v>
      </c>
      <c r="C2861" t="s">
        <v>122</v>
      </c>
      <c r="D2861">
        <v>2010</v>
      </c>
      <c r="E2861">
        <v>0</v>
      </c>
      <c r="F2861" t="s">
        <v>184</v>
      </c>
    </row>
    <row r="2862" spans="1:6" x14ac:dyDescent="0.25">
      <c r="A2862" t="s">
        <v>192</v>
      </c>
      <c r="B2862" t="s">
        <v>170</v>
      </c>
      <c r="C2862" t="s">
        <v>123</v>
      </c>
      <c r="D2862">
        <v>2014</v>
      </c>
      <c r="E2862">
        <v>0</v>
      </c>
      <c r="F2862" t="s">
        <v>184</v>
      </c>
    </row>
    <row r="2863" spans="1:6" x14ac:dyDescent="0.25">
      <c r="A2863" t="s">
        <v>192</v>
      </c>
      <c r="B2863" t="s">
        <v>170</v>
      </c>
      <c r="C2863" t="s">
        <v>123</v>
      </c>
      <c r="D2863">
        <v>2013</v>
      </c>
      <c r="E2863">
        <v>0</v>
      </c>
      <c r="F2863" t="s">
        <v>184</v>
      </c>
    </row>
    <row r="2864" spans="1:6" x14ac:dyDescent="0.25">
      <c r="A2864" t="s">
        <v>192</v>
      </c>
      <c r="B2864" t="s">
        <v>170</v>
      </c>
      <c r="C2864" t="s">
        <v>123</v>
      </c>
      <c r="D2864">
        <v>2012</v>
      </c>
      <c r="E2864">
        <v>0</v>
      </c>
      <c r="F2864" t="s">
        <v>184</v>
      </c>
    </row>
    <row r="2865" spans="1:6" x14ac:dyDescent="0.25">
      <c r="A2865" t="s">
        <v>192</v>
      </c>
      <c r="B2865" t="s">
        <v>170</v>
      </c>
      <c r="C2865" t="s">
        <v>123</v>
      </c>
      <c r="D2865">
        <v>2011</v>
      </c>
      <c r="E2865">
        <v>0</v>
      </c>
      <c r="F2865" t="s">
        <v>184</v>
      </c>
    </row>
    <row r="2866" spans="1:6" x14ac:dyDescent="0.25">
      <c r="A2866" t="s">
        <v>192</v>
      </c>
      <c r="B2866" t="s">
        <v>170</v>
      </c>
      <c r="C2866" t="s">
        <v>123</v>
      </c>
      <c r="D2866">
        <v>2010</v>
      </c>
      <c r="E2866">
        <v>0</v>
      </c>
      <c r="F2866" t="s">
        <v>184</v>
      </c>
    </row>
    <row r="2867" spans="1:6" x14ac:dyDescent="0.25">
      <c r="A2867" t="s">
        <v>192</v>
      </c>
      <c r="B2867" t="s">
        <v>170</v>
      </c>
      <c r="C2867" t="s">
        <v>124</v>
      </c>
      <c r="D2867">
        <v>2014</v>
      </c>
      <c r="E2867">
        <v>0</v>
      </c>
      <c r="F2867" t="s">
        <v>184</v>
      </c>
    </row>
    <row r="2868" spans="1:6" x14ac:dyDescent="0.25">
      <c r="A2868" t="s">
        <v>192</v>
      </c>
      <c r="B2868" t="s">
        <v>170</v>
      </c>
      <c r="C2868" t="s">
        <v>124</v>
      </c>
      <c r="D2868">
        <v>2013</v>
      </c>
      <c r="E2868">
        <v>0</v>
      </c>
      <c r="F2868" t="s">
        <v>184</v>
      </c>
    </row>
    <row r="2869" spans="1:6" x14ac:dyDescent="0.25">
      <c r="A2869" t="s">
        <v>192</v>
      </c>
      <c r="B2869" t="s">
        <v>170</v>
      </c>
      <c r="C2869" t="s">
        <v>124</v>
      </c>
      <c r="D2869">
        <v>2012</v>
      </c>
      <c r="E2869">
        <v>0</v>
      </c>
      <c r="F2869" t="s">
        <v>184</v>
      </c>
    </row>
    <row r="2870" spans="1:6" x14ac:dyDescent="0.25">
      <c r="A2870" t="s">
        <v>192</v>
      </c>
      <c r="B2870" t="s">
        <v>170</v>
      </c>
      <c r="C2870" t="s">
        <v>124</v>
      </c>
      <c r="D2870">
        <v>2011</v>
      </c>
      <c r="E2870">
        <v>0</v>
      </c>
      <c r="F2870" t="s">
        <v>184</v>
      </c>
    </row>
    <row r="2871" spans="1:6" x14ac:dyDescent="0.25">
      <c r="A2871" t="s">
        <v>192</v>
      </c>
      <c r="B2871" t="s">
        <v>170</v>
      </c>
      <c r="C2871" t="s">
        <v>124</v>
      </c>
      <c r="D2871">
        <v>2010</v>
      </c>
      <c r="E2871">
        <v>0</v>
      </c>
      <c r="F2871" t="s">
        <v>184</v>
      </c>
    </row>
    <row r="2872" spans="1:6" x14ac:dyDescent="0.25">
      <c r="A2872" t="s">
        <v>192</v>
      </c>
      <c r="B2872" t="s">
        <v>170</v>
      </c>
      <c r="C2872" t="s">
        <v>160</v>
      </c>
      <c r="D2872">
        <v>2014</v>
      </c>
      <c r="E2872">
        <v>0</v>
      </c>
      <c r="F2872" t="s">
        <v>184</v>
      </c>
    </row>
    <row r="2873" spans="1:6" x14ac:dyDescent="0.25">
      <c r="A2873" t="s">
        <v>192</v>
      </c>
      <c r="B2873" t="s">
        <v>170</v>
      </c>
      <c r="C2873" t="s">
        <v>160</v>
      </c>
      <c r="D2873">
        <v>2013</v>
      </c>
      <c r="E2873">
        <v>0</v>
      </c>
      <c r="F2873" t="s">
        <v>184</v>
      </c>
    </row>
    <row r="2874" spans="1:6" x14ac:dyDescent="0.25">
      <c r="A2874" t="s">
        <v>192</v>
      </c>
      <c r="B2874" t="s">
        <v>170</v>
      </c>
      <c r="C2874" t="s">
        <v>160</v>
      </c>
      <c r="D2874">
        <v>2012</v>
      </c>
      <c r="E2874">
        <v>0</v>
      </c>
      <c r="F2874" t="s">
        <v>184</v>
      </c>
    </row>
    <row r="2875" spans="1:6" x14ac:dyDescent="0.25">
      <c r="A2875" t="s">
        <v>192</v>
      </c>
      <c r="B2875" t="s">
        <v>170</v>
      </c>
      <c r="C2875" t="s">
        <v>160</v>
      </c>
      <c r="D2875">
        <v>2011</v>
      </c>
      <c r="E2875">
        <v>0</v>
      </c>
      <c r="F2875" t="s">
        <v>184</v>
      </c>
    </row>
    <row r="2876" spans="1:6" x14ac:dyDescent="0.25">
      <c r="A2876" t="s">
        <v>192</v>
      </c>
      <c r="B2876" t="s">
        <v>170</v>
      </c>
      <c r="C2876" t="s">
        <v>160</v>
      </c>
      <c r="D2876">
        <v>2010</v>
      </c>
      <c r="E2876">
        <v>0</v>
      </c>
      <c r="F2876" t="s">
        <v>184</v>
      </c>
    </row>
    <row r="2877" spans="1:6" x14ac:dyDescent="0.25">
      <c r="A2877" t="s">
        <v>192</v>
      </c>
      <c r="B2877" t="s">
        <v>170</v>
      </c>
      <c r="C2877" t="s">
        <v>125</v>
      </c>
      <c r="D2877">
        <v>2014</v>
      </c>
      <c r="E2877">
        <v>0</v>
      </c>
      <c r="F2877" t="s">
        <v>184</v>
      </c>
    </row>
    <row r="2878" spans="1:6" x14ac:dyDescent="0.25">
      <c r="A2878" t="s">
        <v>192</v>
      </c>
      <c r="B2878" t="s">
        <v>170</v>
      </c>
      <c r="C2878" t="s">
        <v>125</v>
      </c>
      <c r="D2878">
        <v>2013</v>
      </c>
      <c r="E2878">
        <v>0</v>
      </c>
      <c r="F2878" t="s">
        <v>184</v>
      </c>
    </row>
    <row r="2879" spans="1:6" x14ac:dyDescent="0.25">
      <c r="A2879" t="s">
        <v>192</v>
      </c>
      <c r="B2879" t="s">
        <v>170</v>
      </c>
      <c r="C2879" t="s">
        <v>125</v>
      </c>
      <c r="D2879">
        <v>2012</v>
      </c>
      <c r="E2879">
        <v>0</v>
      </c>
      <c r="F2879" t="s">
        <v>184</v>
      </c>
    </row>
    <row r="2880" spans="1:6" x14ac:dyDescent="0.25">
      <c r="A2880" t="s">
        <v>192</v>
      </c>
      <c r="B2880" t="s">
        <v>170</v>
      </c>
      <c r="C2880" t="s">
        <v>125</v>
      </c>
      <c r="D2880">
        <v>2011</v>
      </c>
      <c r="E2880">
        <v>0</v>
      </c>
      <c r="F2880" t="s">
        <v>184</v>
      </c>
    </row>
    <row r="2881" spans="1:6" x14ac:dyDescent="0.25">
      <c r="A2881" t="s">
        <v>192</v>
      </c>
      <c r="B2881" t="s">
        <v>170</v>
      </c>
      <c r="C2881" t="s">
        <v>125</v>
      </c>
      <c r="D2881">
        <v>2010</v>
      </c>
      <c r="E2881">
        <v>0</v>
      </c>
      <c r="F2881" t="s">
        <v>184</v>
      </c>
    </row>
    <row r="2882" spans="1:6" x14ac:dyDescent="0.25">
      <c r="A2882" t="s">
        <v>192</v>
      </c>
      <c r="B2882" t="s">
        <v>170</v>
      </c>
      <c r="C2882" t="s">
        <v>126</v>
      </c>
      <c r="D2882">
        <v>2014</v>
      </c>
      <c r="E2882">
        <v>0</v>
      </c>
      <c r="F2882" t="s">
        <v>184</v>
      </c>
    </row>
    <row r="2883" spans="1:6" x14ac:dyDescent="0.25">
      <c r="A2883" t="s">
        <v>192</v>
      </c>
      <c r="B2883" t="s">
        <v>170</v>
      </c>
      <c r="C2883" t="s">
        <v>126</v>
      </c>
      <c r="D2883">
        <v>2013</v>
      </c>
      <c r="E2883">
        <v>0</v>
      </c>
      <c r="F2883" t="s">
        <v>184</v>
      </c>
    </row>
    <row r="2884" spans="1:6" x14ac:dyDescent="0.25">
      <c r="A2884" t="s">
        <v>192</v>
      </c>
      <c r="B2884" t="s">
        <v>170</v>
      </c>
      <c r="C2884" t="s">
        <v>126</v>
      </c>
      <c r="D2884">
        <v>2012</v>
      </c>
      <c r="E2884">
        <v>0</v>
      </c>
      <c r="F2884" t="s">
        <v>184</v>
      </c>
    </row>
    <row r="2885" spans="1:6" x14ac:dyDescent="0.25">
      <c r="A2885" t="s">
        <v>192</v>
      </c>
      <c r="B2885" t="s">
        <v>170</v>
      </c>
      <c r="C2885" t="s">
        <v>126</v>
      </c>
      <c r="D2885">
        <v>2011</v>
      </c>
      <c r="E2885">
        <v>0</v>
      </c>
      <c r="F2885" t="s">
        <v>184</v>
      </c>
    </row>
    <row r="2886" spans="1:6" x14ac:dyDescent="0.25">
      <c r="A2886" t="s">
        <v>192</v>
      </c>
      <c r="B2886" t="s">
        <v>170</v>
      </c>
      <c r="C2886" t="s">
        <v>126</v>
      </c>
      <c r="D2886">
        <v>2010</v>
      </c>
      <c r="E2886">
        <v>0</v>
      </c>
      <c r="F2886" t="s">
        <v>184</v>
      </c>
    </row>
    <row r="2887" spans="1:6" x14ac:dyDescent="0.25">
      <c r="A2887" t="s">
        <v>192</v>
      </c>
      <c r="B2887" t="s">
        <v>170</v>
      </c>
      <c r="C2887" t="s">
        <v>127</v>
      </c>
      <c r="D2887">
        <v>2014</v>
      </c>
      <c r="E2887">
        <v>0</v>
      </c>
      <c r="F2887" t="s">
        <v>184</v>
      </c>
    </row>
    <row r="2888" spans="1:6" x14ac:dyDescent="0.25">
      <c r="A2888" t="s">
        <v>192</v>
      </c>
      <c r="B2888" t="s">
        <v>170</v>
      </c>
      <c r="C2888" t="s">
        <v>127</v>
      </c>
      <c r="D2888">
        <v>2013</v>
      </c>
      <c r="E2888">
        <v>0</v>
      </c>
      <c r="F2888" t="s">
        <v>184</v>
      </c>
    </row>
    <row r="2889" spans="1:6" x14ac:dyDescent="0.25">
      <c r="A2889" t="s">
        <v>192</v>
      </c>
      <c r="B2889" t="s">
        <v>170</v>
      </c>
      <c r="C2889" t="s">
        <v>127</v>
      </c>
      <c r="D2889">
        <v>2012</v>
      </c>
      <c r="E2889">
        <v>0</v>
      </c>
      <c r="F2889" t="s">
        <v>184</v>
      </c>
    </row>
    <row r="2890" spans="1:6" x14ac:dyDescent="0.25">
      <c r="A2890" t="s">
        <v>192</v>
      </c>
      <c r="B2890" t="s">
        <v>170</v>
      </c>
      <c r="C2890" t="s">
        <v>127</v>
      </c>
      <c r="D2890">
        <v>2011</v>
      </c>
      <c r="E2890">
        <v>0</v>
      </c>
      <c r="F2890" t="s">
        <v>184</v>
      </c>
    </row>
    <row r="2891" spans="1:6" x14ac:dyDescent="0.25">
      <c r="A2891" t="s">
        <v>192</v>
      </c>
      <c r="B2891" t="s">
        <v>170</v>
      </c>
      <c r="C2891" t="s">
        <v>127</v>
      </c>
      <c r="D2891">
        <v>2010</v>
      </c>
      <c r="E2891">
        <v>0</v>
      </c>
      <c r="F2891" t="s">
        <v>184</v>
      </c>
    </row>
    <row r="2892" spans="1:6" x14ac:dyDescent="0.25">
      <c r="A2892" t="s">
        <v>192</v>
      </c>
      <c r="B2892" t="s">
        <v>170</v>
      </c>
      <c r="C2892" t="s">
        <v>128</v>
      </c>
      <c r="D2892">
        <v>2014</v>
      </c>
      <c r="E2892">
        <v>0</v>
      </c>
      <c r="F2892" t="s">
        <v>184</v>
      </c>
    </row>
    <row r="2893" spans="1:6" x14ac:dyDescent="0.25">
      <c r="A2893" t="s">
        <v>192</v>
      </c>
      <c r="B2893" t="s">
        <v>170</v>
      </c>
      <c r="C2893" t="s">
        <v>128</v>
      </c>
      <c r="D2893">
        <v>2013</v>
      </c>
      <c r="E2893">
        <v>0</v>
      </c>
      <c r="F2893" t="s">
        <v>184</v>
      </c>
    </row>
    <row r="2894" spans="1:6" x14ac:dyDescent="0.25">
      <c r="A2894" t="s">
        <v>192</v>
      </c>
      <c r="B2894" t="s">
        <v>170</v>
      </c>
      <c r="C2894" t="s">
        <v>128</v>
      </c>
      <c r="D2894">
        <v>2012</v>
      </c>
      <c r="E2894">
        <v>0</v>
      </c>
      <c r="F2894" t="s">
        <v>184</v>
      </c>
    </row>
    <row r="2895" spans="1:6" x14ac:dyDescent="0.25">
      <c r="A2895" t="s">
        <v>192</v>
      </c>
      <c r="B2895" t="s">
        <v>170</v>
      </c>
      <c r="C2895" t="s">
        <v>128</v>
      </c>
      <c r="D2895">
        <v>2011</v>
      </c>
      <c r="E2895">
        <v>0</v>
      </c>
      <c r="F2895" t="s">
        <v>184</v>
      </c>
    </row>
    <row r="2896" spans="1:6" x14ac:dyDescent="0.25">
      <c r="A2896" t="s">
        <v>192</v>
      </c>
      <c r="B2896" t="s">
        <v>170</v>
      </c>
      <c r="C2896" t="s">
        <v>128</v>
      </c>
      <c r="D2896">
        <v>2010</v>
      </c>
      <c r="E2896">
        <v>0</v>
      </c>
      <c r="F2896" t="s">
        <v>184</v>
      </c>
    </row>
    <row r="2897" spans="1:6" x14ac:dyDescent="0.25">
      <c r="A2897" t="s">
        <v>192</v>
      </c>
      <c r="B2897" t="s">
        <v>170</v>
      </c>
      <c r="C2897" t="s">
        <v>161</v>
      </c>
      <c r="D2897">
        <v>2014</v>
      </c>
      <c r="E2897">
        <v>0</v>
      </c>
      <c r="F2897" t="s">
        <v>184</v>
      </c>
    </row>
    <row r="2898" spans="1:6" x14ac:dyDescent="0.25">
      <c r="A2898" t="s">
        <v>192</v>
      </c>
      <c r="B2898" t="s">
        <v>170</v>
      </c>
      <c r="C2898" t="s">
        <v>161</v>
      </c>
      <c r="D2898">
        <v>2013</v>
      </c>
      <c r="E2898">
        <v>0</v>
      </c>
      <c r="F2898" t="s">
        <v>184</v>
      </c>
    </row>
    <row r="2899" spans="1:6" x14ac:dyDescent="0.25">
      <c r="A2899" t="s">
        <v>192</v>
      </c>
      <c r="B2899" t="s">
        <v>170</v>
      </c>
      <c r="C2899" t="s">
        <v>161</v>
      </c>
      <c r="D2899">
        <v>2012</v>
      </c>
      <c r="E2899">
        <v>0</v>
      </c>
      <c r="F2899" t="s">
        <v>184</v>
      </c>
    </row>
    <row r="2900" spans="1:6" x14ac:dyDescent="0.25">
      <c r="A2900" t="s">
        <v>192</v>
      </c>
      <c r="B2900" t="s">
        <v>170</v>
      </c>
      <c r="C2900" t="s">
        <v>161</v>
      </c>
      <c r="D2900">
        <v>2011</v>
      </c>
      <c r="E2900">
        <v>0</v>
      </c>
      <c r="F2900" t="s">
        <v>184</v>
      </c>
    </row>
    <row r="2901" spans="1:6" x14ac:dyDescent="0.25">
      <c r="A2901" t="s">
        <v>192</v>
      </c>
      <c r="B2901" t="s">
        <v>170</v>
      </c>
      <c r="C2901" t="s">
        <v>161</v>
      </c>
      <c r="D2901">
        <v>2010</v>
      </c>
      <c r="E2901">
        <v>0</v>
      </c>
      <c r="F2901" t="s">
        <v>184</v>
      </c>
    </row>
    <row r="2902" spans="1:6" x14ac:dyDescent="0.25">
      <c r="A2902" t="s">
        <v>192</v>
      </c>
      <c r="B2902" t="s">
        <v>170</v>
      </c>
      <c r="C2902" t="s">
        <v>162</v>
      </c>
      <c r="D2902">
        <v>2014</v>
      </c>
      <c r="E2902">
        <v>0</v>
      </c>
      <c r="F2902" t="s">
        <v>184</v>
      </c>
    </row>
    <row r="2903" spans="1:6" x14ac:dyDescent="0.25">
      <c r="A2903" t="s">
        <v>192</v>
      </c>
      <c r="B2903" t="s">
        <v>170</v>
      </c>
      <c r="C2903" t="s">
        <v>162</v>
      </c>
      <c r="D2903">
        <v>2013</v>
      </c>
      <c r="E2903">
        <v>0</v>
      </c>
      <c r="F2903" t="s">
        <v>184</v>
      </c>
    </row>
    <row r="2904" spans="1:6" x14ac:dyDescent="0.25">
      <c r="A2904" t="s">
        <v>192</v>
      </c>
      <c r="B2904" t="s">
        <v>170</v>
      </c>
      <c r="C2904" t="s">
        <v>162</v>
      </c>
      <c r="D2904">
        <v>2012</v>
      </c>
      <c r="E2904">
        <v>0</v>
      </c>
      <c r="F2904" t="s">
        <v>184</v>
      </c>
    </row>
    <row r="2905" spans="1:6" x14ac:dyDescent="0.25">
      <c r="A2905" t="s">
        <v>192</v>
      </c>
      <c r="B2905" t="s">
        <v>170</v>
      </c>
      <c r="C2905" t="s">
        <v>162</v>
      </c>
      <c r="D2905">
        <v>2011</v>
      </c>
      <c r="E2905">
        <v>0</v>
      </c>
      <c r="F2905" t="s">
        <v>184</v>
      </c>
    </row>
    <row r="2906" spans="1:6" x14ac:dyDescent="0.25">
      <c r="A2906" t="s">
        <v>192</v>
      </c>
      <c r="B2906" t="s">
        <v>170</v>
      </c>
      <c r="C2906" t="s">
        <v>162</v>
      </c>
      <c r="D2906">
        <v>2010</v>
      </c>
      <c r="E2906">
        <v>0</v>
      </c>
      <c r="F2906" t="s">
        <v>184</v>
      </c>
    </row>
    <row r="2907" spans="1:6" x14ac:dyDescent="0.25">
      <c r="A2907" t="s">
        <v>192</v>
      </c>
      <c r="B2907" t="s">
        <v>170</v>
      </c>
      <c r="C2907" t="s">
        <v>129</v>
      </c>
      <c r="D2907">
        <v>2014</v>
      </c>
      <c r="E2907">
        <v>0</v>
      </c>
      <c r="F2907" t="s">
        <v>184</v>
      </c>
    </row>
    <row r="2908" spans="1:6" x14ac:dyDescent="0.25">
      <c r="A2908" t="s">
        <v>192</v>
      </c>
      <c r="B2908" t="s">
        <v>170</v>
      </c>
      <c r="C2908" t="s">
        <v>129</v>
      </c>
      <c r="D2908">
        <v>2013</v>
      </c>
      <c r="E2908">
        <v>0</v>
      </c>
      <c r="F2908" t="s">
        <v>184</v>
      </c>
    </row>
    <row r="2909" spans="1:6" x14ac:dyDescent="0.25">
      <c r="A2909" t="s">
        <v>192</v>
      </c>
      <c r="B2909" t="s">
        <v>170</v>
      </c>
      <c r="C2909" t="s">
        <v>129</v>
      </c>
      <c r="D2909">
        <v>2012</v>
      </c>
      <c r="E2909">
        <v>0</v>
      </c>
      <c r="F2909" t="s">
        <v>184</v>
      </c>
    </row>
    <row r="2910" spans="1:6" x14ac:dyDescent="0.25">
      <c r="A2910" t="s">
        <v>192</v>
      </c>
      <c r="B2910" t="s">
        <v>170</v>
      </c>
      <c r="C2910" t="s">
        <v>129</v>
      </c>
      <c r="D2910">
        <v>2011</v>
      </c>
      <c r="E2910">
        <v>0</v>
      </c>
      <c r="F2910" t="s">
        <v>184</v>
      </c>
    </row>
    <row r="2911" spans="1:6" x14ac:dyDescent="0.25">
      <c r="A2911" t="s">
        <v>192</v>
      </c>
      <c r="B2911" t="s">
        <v>170</v>
      </c>
      <c r="C2911" t="s">
        <v>129</v>
      </c>
      <c r="D2911">
        <v>2010</v>
      </c>
      <c r="E2911">
        <v>0</v>
      </c>
      <c r="F2911" t="s">
        <v>184</v>
      </c>
    </row>
    <row r="2912" spans="1:6" x14ac:dyDescent="0.25">
      <c r="A2912" t="s">
        <v>192</v>
      </c>
      <c r="B2912" t="s">
        <v>170</v>
      </c>
      <c r="C2912" t="s">
        <v>130</v>
      </c>
      <c r="D2912">
        <v>2014</v>
      </c>
      <c r="E2912">
        <v>0</v>
      </c>
      <c r="F2912" t="s">
        <v>184</v>
      </c>
    </row>
    <row r="2913" spans="1:6" x14ac:dyDescent="0.25">
      <c r="A2913" t="s">
        <v>192</v>
      </c>
      <c r="B2913" t="s">
        <v>170</v>
      </c>
      <c r="C2913" t="s">
        <v>130</v>
      </c>
      <c r="D2913">
        <v>2013</v>
      </c>
      <c r="E2913">
        <v>0</v>
      </c>
      <c r="F2913" t="s">
        <v>184</v>
      </c>
    </row>
    <row r="2914" spans="1:6" x14ac:dyDescent="0.25">
      <c r="A2914" t="s">
        <v>192</v>
      </c>
      <c r="B2914" t="s">
        <v>170</v>
      </c>
      <c r="C2914" t="s">
        <v>130</v>
      </c>
      <c r="D2914">
        <v>2012</v>
      </c>
      <c r="E2914">
        <v>0</v>
      </c>
      <c r="F2914" t="s">
        <v>184</v>
      </c>
    </row>
    <row r="2915" spans="1:6" x14ac:dyDescent="0.25">
      <c r="A2915" t="s">
        <v>192</v>
      </c>
      <c r="B2915" t="s">
        <v>170</v>
      </c>
      <c r="C2915" t="s">
        <v>130</v>
      </c>
      <c r="D2915">
        <v>2011</v>
      </c>
      <c r="E2915">
        <v>0</v>
      </c>
      <c r="F2915" t="s">
        <v>184</v>
      </c>
    </row>
    <row r="2916" spans="1:6" x14ac:dyDescent="0.25">
      <c r="A2916" t="s">
        <v>192</v>
      </c>
      <c r="B2916" t="s">
        <v>170</v>
      </c>
      <c r="C2916" t="s">
        <v>130</v>
      </c>
      <c r="D2916">
        <v>2010</v>
      </c>
      <c r="E2916">
        <v>0</v>
      </c>
      <c r="F2916" t="s">
        <v>184</v>
      </c>
    </row>
    <row r="2917" spans="1:6" x14ac:dyDescent="0.25">
      <c r="A2917" t="s">
        <v>192</v>
      </c>
      <c r="B2917" t="s">
        <v>170</v>
      </c>
      <c r="C2917" t="s">
        <v>131</v>
      </c>
      <c r="D2917">
        <v>2014</v>
      </c>
      <c r="E2917">
        <v>0</v>
      </c>
      <c r="F2917" t="s">
        <v>184</v>
      </c>
    </row>
    <row r="2918" spans="1:6" x14ac:dyDescent="0.25">
      <c r="A2918" t="s">
        <v>192</v>
      </c>
      <c r="B2918" t="s">
        <v>170</v>
      </c>
      <c r="C2918" t="s">
        <v>131</v>
      </c>
      <c r="D2918">
        <v>2013</v>
      </c>
      <c r="E2918">
        <v>0</v>
      </c>
      <c r="F2918" t="s">
        <v>184</v>
      </c>
    </row>
    <row r="2919" spans="1:6" x14ac:dyDescent="0.25">
      <c r="A2919" t="s">
        <v>192</v>
      </c>
      <c r="B2919" t="s">
        <v>170</v>
      </c>
      <c r="C2919" t="s">
        <v>131</v>
      </c>
      <c r="D2919">
        <v>2012</v>
      </c>
      <c r="E2919">
        <v>0</v>
      </c>
      <c r="F2919" t="s">
        <v>184</v>
      </c>
    </row>
    <row r="2920" spans="1:6" x14ac:dyDescent="0.25">
      <c r="A2920" t="s">
        <v>192</v>
      </c>
      <c r="B2920" t="s">
        <v>170</v>
      </c>
      <c r="C2920" t="s">
        <v>131</v>
      </c>
      <c r="D2920">
        <v>2011</v>
      </c>
      <c r="E2920">
        <v>0</v>
      </c>
      <c r="F2920" t="s">
        <v>184</v>
      </c>
    </row>
    <row r="2921" spans="1:6" x14ac:dyDescent="0.25">
      <c r="A2921" t="s">
        <v>192</v>
      </c>
      <c r="B2921" t="s">
        <v>170</v>
      </c>
      <c r="C2921" t="s">
        <v>131</v>
      </c>
      <c r="D2921">
        <v>2010</v>
      </c>
      <c r="E2921">
        <v>0</v>
      </c>
      <c r="F2921" t="s">
        <v>184</v>
      </c>
    </row>
    <row r="2922" spans="1:6" x14ac:dyDescent="0.25">
      <c r="A2922" t="s">
        <v>192</v>
      </c>
      <c r="B2922" t="s">
        <v>170</v>
      </c>
      <c r="C2922" t="s">
        <v>132</v>
      </c>
      <c r="D2922">
        <v>2014</v>
      </c>
      <c r="E2922">
        <v>0</v>
      </c>
      <c r="F2922" t="s">
        <v>184</v>
      </c>
    </row>
    <row r="2923" spans="1:6" x14ac:dyDescent="0.25">
      <c r="A2923" t="s">
        <v>192</v>
      </c>
      <c r="B2923" t="s">
        <v>170</v>
      </c>
      <c r="C2923" t="s">
        <v>132</v>
      </c>
      <c r="D2923">
        <v>2013</v>
      </c>
      <c r="E2923">
        <v>0</v>
      </c>
      <c r="F2923" t="s">
        <v>184</v>
      </c>
    </row>
    <row r="2924" spans="1:6" x14ac:dyDescent="0.25">
      <c r="A2924" t="s">
        <v>192</v>
      </c>
      <c r="B2924" t="s">
        <v>170</v>
      </c>
      <c r="C2924" t="s">
        <v>132</v>
      </c>
      <c r="D2924">
        <v>2012</v>
      </c>
      <c r="E2924">
        <v>0</v>
      </c>
      <c r="F2924" t="s">
        <v>184</v>
      </c>
    </row>
    <row r="2925" spans="1:6" x14ac:dyDescent="0.25">
      <c r="A2925" t="s">
        <v>192</v>
      </c>
      <c r="B2925" t="s">
        <v>170</v>
      </c>
      <c r="C2925" t="s">
        <v>132</v>
      </c>
      <c r="D2925">
        <v>2011</v>
      </c>
      <c r="E2925">
        <v>0</v>
      </c>
      <c r="F2925" t="s">
        <v>184</v>
      </c>
    </row>
    <row r="2926" spans="1:6" x14ac:dyDescent="0.25">
      <c r="A2926" t="s">
        <v>192</v>
      </c>
      <c r="B2926" t="s">
        <v>170</v>
      </c>
      <c r="C2926" t="s">
        <v>132</v>
      </c>
      <c r="D2926">
        <v>2010</v>
      </c>
      <c r="E2926">
        <v>0</v>
      </c>
      <c r="F2926" t="s">
        <v>184</v>
      </c>
    </row>
    <row r="2927" spans="1:6" x14ac:dyDescent="0.25">
      <c r="A2927" t="s">
        <v>192</v>
      </c>
      <c r="B2927" t="s">
        <v>170</v>
      </c>
      <c r="C2927" t="s">
        <v>163</v>
      </c>
      <c r="D2927">
        <v>2014</v>
      </c>
      <c r="E2927">
        <v>0</v>
      </c>
      <c r="F2927" t="s">
        <v>184</v>
      </c>
    </row>
    <row r="2928" spans="1:6" x14ac:dyDescent="0.25">
      <c r="A2928" t="s">
        <v>192</v>
      </c>
      <c r="B2928" t="s">
        <v>170</v>
      </c>
      <c r="C2928" t="s">
        <v>163</v>
      </c>
      <c r="D2928">
        <v>2013</v>
      </c>
      <c r="E2928">
        <v>0</v>
      </c>
      <c r="F2928" t="s">
        <v>184</v>
      </c>
    </row>
    <row r="2929" spans="1:6" x14ac:dyDescent="0.25">
      <c r="A2929" t="s">
        <v>192</v>
      </c>
      <c r="B2929" t="s">
        <v>170</v>
      </c>
      <c r="C2929" t="s">
        <v>163</v>
      </c>
      <c r="D2929">
        <v>2012</v>
      </c>
      <c r="E2929">
        <v>0</v>
      </c>
      <c r="F2929" t="s">
        <v>184</v>
      </c>
    </row>
    <row r="2930" spans="1:6" x14ac:dyDescent="0.25">
      <c r="A2930" t="s">
        <v>192</v>
      </c>
      <c r="B2930" t="s">
        <v>170</v>
      </c>
      <c r="C2930" t="s">
        <v>163</v>
      </c>
      <c r="D2930">
        <v>2011</v>
      </c>
      <c r="E2930">
        <v>0</v>
      </c>
      <c r="F2930" t="s">
        <v>184</v>
      </c>
    </row>
    <row r="2931" spans="1:6" x14ac:dyDescent="0.25">
      <c r="A2931" t="s">
        <v>192</v>
      </c>
      <c r="B2931" t="s">
        <v>170</v>
      </c>
      <c r="C2931" t="s">
        <v>163</v>
      </c>
      <c r="D2931">
        <v>2010</v>
      </c>
      <c r="E2931">
        <v>0</v>
      </c>
      <c r="F2931" t="s">
        <v>184</v>
      </c>
    </row>
    <row r="2932" spans="1:6" x14ac:dyDescent="0.25">
      <c r="A2932" t="s">
        <v>192</v>
      </c>
      <c r="B2932" t="s">
        <v>170</v>
      </c>
      <c r="C2932" t="s">
        <v>133</v>
      </c>
      <c r="D2932">
        <v>2014</v>
      </c>
      <c r="E2932">
        <v>0</v>
      </c>
      <c r="F2932" t="s">
        <v>184</v>
      </c>
    </row>
    <row r="2933" spans="1:6" x14ac:dyDescent="0.25">
      <c r="A2933" t="s">
        <v>192</v>
      </c>
      <c r="B2933" t="s">
        <v>170</v>
      </c>
      <c r="C2933" t="s">
        <v>133</v>
      </c>
      <c r="D2933">
        <v>2013</v>
      </c>
      <c r="E2933">
        <v>0</v>
      </c>
      <c r="F2933" t="s">
        <v>184</v>
      </c>
    </row>
    <row r="2934" spans="1:6" x14ac:dyDescent="0.25">
      <c r="A2934" t="s">
        <v>192</v>
      </c>
      <c r="B2934" t="s">
        <v>170</v>
      </c>
      <c r="C2934" t="s">
        <v>133</v>
      </c>
      <c r="D2934">
        <v>2012</v>
      </c>
      <c r="E2934">
        <v>0</v>
      </c>
      <c r="F2934" t="s">
        <v>184</v>
      </c>
    </row>
    <row r="2935" spans="1:6" x14ac:dyDescent="0.25">
      <c r="A2935" t="s">
        <v>192</v>
      </c>
      <c r="B2935" t="s">
        <v>170</v>
      </c>
      <c r="C2935" t="s">
        <v>133</v>
      </c>
      <c r="D2935">
        <v>2011</v>
      </c>
      <c r="E2935">
        <v>0</v>
      </c>
      <c r="F2935" t="s">
        <v>184</v>
      </c>
    </row>
    <row r="2936" spans="1:6" x14ac:dyDescent="0.25">
      <c r="A2936" t="s">
        <v>192</v>
      </c>
      <c r="B2936" t="s">
        <v>170</v>
      </c>
      <c r="C2936" t="s">
        <v>133</v>
      </c>
      <c r="D2936">
        <v>2010</v>
      </c>
      <c r="E2936">
        <v>0</v>
      </c>
      <c r="F2936" t="s">
        <v>184</v>
      </c>
    </row>
    <row r="2937" spans="1:6" x14ac:dyDescent="0.25">
      <c r="A2937" t="s">
        <v>192</v>
      </c>
      <c r="B2937" t="s">
        <v>170</v>
      </c>
      <c r="C2937" t="s">
        <v>134</v>
      </c>
      <c r="D2937">
        <v>2014</v>
      </c>
      <c r="E2937">
        <v>0</v>
      </c>
      <c r="F2937" t="s">
        <v>184</v>
      </c>
    </row>
    <row r="2938" spans="1:6" x14ac:dyDescent="0.25">
      <c r="A2938" t="s">
        <v>192</v>
      </c>
      <c r="B2938" t="s">
        <v>170</v>
      </c>
      <c r="C2938" t="s">
        <v>134</v>
      </c>
      <c r="D2938">
        <v>2013</v>
      </c>
      <c r="E2938">
        <v>0</v>
      </c>
      <c r="F2938" t="s">
        <v>184</v>
      </c>
    </row>
    <row r="2939" spans="1:6" x14ac:dyDescent="0.25">
      <c r="A2939" t="s">
        <v>192</v>
      </c>
      <c r="B2939" t="s">
        <v>170</v>
      </c>
      <c r="C2939" t="s">
        <v>134</v>
      </c>
      <c r="D2939">
        <v>2012</v>
      </c>
      <c r="E2939">
        <v>0</v>
      </c>
      <c r="F2939" t="s">
        <v>184</v>
      </c>
    </row>
    <row r="2940" spans="1:6" x14ac:dyDescent="0.25">
      <c r="A2940" t="s">
        <v>192</v>
      </c>
      <c r="B2940" t="s">
        <v>170</v>
      </c>
      <c r="C2940" t="s">
        <v>134</v>
      </c>
      <c r="D2940">
        <v>2011</v>
      </c>
      <c r="E2940">
        <v>0</v>
      </c>
      <c r="F2940" t="s">
        <v>184</v>
      </c>
    </row>
    <row r="2941" spans="1:6" x14ac:dyDescent="0.25">
      <c r="A2941" t="s">
        <v>192</v>
      </c>
      <c r="B2941" t="s">
        <v>170</v>
      </c>
      <c r="C2941" t="s">
        <v>134</v>
      </c>
      <c r="D2941">
        <v>2010</v>
      </c>
      <c r="E2941">
        <v>0</v>
      </c>
      <c r="F2941" t="s">
        <v>184</v>
      </c>
    </row>
    <row r="2942" spans="1:6" x14ac:dyDescent="0.25">
      <c r="A2942" t="s">
        <v>192</v>
      </c>
      <c r="B2942" t="s">
        <v>170</v>
      </c>
      <c r="C2942" t="s">
        <v>135</v>
      </c>
      <c r="D2942">
        <v>2014</v>
      </c>
      <c r="E2942">
        <v>0</v>
      </c>
      <c r="F2942" t="s">
        <v>184</v>
      </c>
    </row>
    <row r="2943" spans="1:6" x14ac:dyDescent="0.25">
      <c r="A2943" t="s">
        <v>192</v>
      </c>
      <c r="B2943" t="s">
        <v>170</v>
      </c>
      <c r="C2943" t="s">
        <v>135</v>
      </c>
      <c r="D2943">
        <v>2013</v>
      </c>
      <c r="E2943">
        <v>0</v>
      </c>
      <c r="F2943" t="s">
        <v>184</v>
      </c>
    </row>
    <row r="2944" spans="1:6" x14ac:dyDescent="0.25">
      <c r="A2944" t="s">
        <v>192</v>
      </c>
      <c r="B2944" t="s">
        <v>170</v>
      </c>
      <c r="C2944" t="s">
        <v>135</v>
      </c>
      <c r="D2944">
        <v>2012</v>
      </c>
      <c r="E2944">
        <v>0</v>
      </c>
      <c r="F2944" t="s">
        <v>184</v>
      </c>
    </row>
    <row r="2945" spans="1:6" x14ac:dyDescent="0.25">
      <c r="A2945" t="s">
        <v>192</v>
      </c>
      <c r="B2945" t="s">
        <v>170</v>
      </c>
      <c r="C2945" t="s">
        <v>135</v>
      </c>
      <c r="D2945">
        <v>2011</v>
      </c>
      <c r="E2945">
        <v>0</v>
      </c>
      <c r="F2945" t="s">
        <v>184</v>
      </c>
    </row>
    <row r="2946" spans="1:6" x14ac:dyDescent="0.25">
      <c r="A2946" t="s">
        <v>192</v>
      </c>
      <c r="B2946" t="s">
        <v>170</v>
      </c>
      <c r="C2946" t="s">
        <v>135</v>
      </c>
      <c r="D2946">
        <v>2010</v>
      </c>
      <c r="E2946">
        <v>0</v>
      </c>
      <c r="F2946" t="s">
        <v>184</v>
      </c>
    </row>
    <row r="2947" spans="1:6" x14ac:dyDescent="0.25">
      <c r="A2947" t="s">
        <v>192</v>
      </c>
      <c r="B2947" t="s">
        <v>170</v>
      </c>
      <c r="C2947" t="s">
        <v>136</v>
      </c>
      <c r="D2947">
        <v>2014</v>
      </c>
      <c r="E2947">
        <v>0</v>
      </c>
      <c r="F2947" t="s">
        <v>184</v>
      </c>
    </row>
    <row r="2948" spans="1:6" x14ac:dyDescent="0.25">
      <c r="A2948" t="s">
        <v>192</v>
      </c>
      <c r="B2948" t="s">
        <v>170</v>
      </c>
      <c r="C2948" t="s">
        <v>136</v>
      </c>
      <c r="D2948">
        <v>2013</v>
      </c>
      <c r="E2948">
        <v>0</v>
      </c>
      <c r="F2948" t="s">
        <v>184</v>
      </c>
    </row>
    <row r="2949" spans="1:6" x14ac:dyDescent="0.25">
      <c r="A2949" t="s">
        <v>192</v>
      </c>
      <c r="B2949" t="s">
        <v>170</v>
      </c>
      <c r="C2949" t="s">
        <v>136</v>
      </c>
      <c r="D2949">
        <v>2012</v>
      </c>
      <c r="E2949">
        <v>0</v>
      </c>
      <c r="F2949" t="s">
        <v>184</v>
      </c>
    </row>
    <row r="2950" spans="1:6" x14ac:dyDescent="0.25">
      <c r="A2950" t="s">
        <v>192</v>
      </c>
      <c r="B2950" t="s">
        <v>170</v>
      </c>
      <c r="C2950" t="s">
        <v>136</v>
      </c>
      <c r="D2950">
        <v>2011</v>
      </c>
      <c r="E2950">
        <v>0</v>
      </c>
      <c r="F2950" t="s">
        <v>184</v>
      </c>
    </row>
    <row r="2951" spans="1:6" x14ac:dyDescent="0.25">
      <c r="A2951" t="s">
        <v>192</v>
      </c>
      <c r="B2951" t="s">
        <v>170</v>
      </c>
      <c r="C2951" t="s">
        <v>136</v>
      </c>
      <c r="D2951">
        <v>2010</v>
      </c>
      <c r="E2951">
        <v>0</v>
      </c>
      <c r="F2951" t="s">
        <v>184</v>
      </c>
    </row>
    <row r="2952" spans="1:6" x14ac:dyDescent="0.25">
      <c r="A2952" t="s">
        <v>192</v>
      </c>
      <c r="B2952" t="s">
        <v>170</v>
      </c>
      <c r="C2952" t="s">
        <v>137</v>
      </c>
      <c r="D2952">
        <v>2014</v>
      </c>
      <c r="E2952">
        <v>0</v>
      </c>
      <c r="F2952" t="s">
        <v>184</v>
      </c>
    </row>
    <row r="2953" spans="1:6" x14ac:dyDescent="0.25">
      <c r="A2953" t="s">
        <v>192</v>
      </c>
      <c r="B2953" t="s">
        <v>170</v>
      </c>
      <c r="C2953" t="s">
        <v>137</v>
      </c>
      <c r="D2953">
        <v>2013</v>
      </c>
      <c r="E2953">
        <v>0</v>
      </c>
      <c r="F2953" t="s">
        <v>184</v>
      </c>
    </row>
    <row r="2954" spans="1:6" x14ac:dyDescent="0.25">
      <c r="A2954" t="s">
        <v>192</v>
      </c>
      <c r="B2954" t="s">
        <v>170</v>
      </c>
      <c r="C2954" t="s">
        <v>137</v>
      </c>
      <c r="D2954">
        <v>2012</v>
      </c>
      <c r="E2954">
        <v>0</v>
      </c>
      <c r="F2954" t="s">
        <v>184</v>
      </c>
    </row>
    <row r="2955" spans="1:6" x14ac:dyDescent="0.25">
      <c r="A2955" t="s">
        <v>192</v>
      </c>
      <c r="B2955" t="s">
        <v>170</v>
      </c>
      <c r="C2955" t="s">
        <v>137</v>
      </c>
      <c r="D2955">
        <v>2011</v>
      </c>
      <c r="E2955">
        <v>0</v>
      </c>
      <c r="F2955" t="s">
        <v>184</v>
      </c>
    </row>
    <row r="2956" spans="1:6" x14ac:dyDescent="0.25">
      <c r="A2956" t="s">
        <v>192</v>
      </c>
      <c r="B2956" t="s">
        <v>170</v>
      </c>
      <c r="C2956" t="s">
        <v>137</v>
      </c>
      <c r="D2956">
        <v>2010</v>
      </c>
      <c r="E2956">
        <v>0</v>
      </c>
      <c r="F2956" t="s">
        <v>184</v>
      </c>
    </row>
    <row r="2957" spans="1:6" x14ac:dyDescent="0.25">
      <c r="A2957" t="s">
        <v>192</v>
      </c>
      <c r="B2957" t="s">
        <v>170</v>
      </c>
      <c r="C2957" t="s">
        <v>138</v>
      </c>
      <c r="D2957">
        <v>2014</v>
      </c>
      <c r="E2957">
        <v>0</v>
      </c>
      <c r="F2957" t="s">
        <v>184</v>
      </c>
    </row>
    <row r="2958" spans="1:6" x14ac:dyDescent="0.25">
      <c r="A2958" t="s">
        <v>192</v>
      </c>
      <c r="B2958" t="s">
        <v>170</v>
      </c>
      <c r="C2958" t="s">
        <v>138</v>
      </c>
      <c r="D2958">
        <v>2013</v>
      </c>
      <c r="E2958">
        <v>0</v>
      </c>
      <c r="F2958" t="s">
        <v>184</v>
      </c>
    </row>
    <row r="2959" spans="1:6" x14ac:dyDescent="0.25">
      <c r="A2959" t="s">
        <v>192</v>
      </c>
      <c r="B2959" t="s">
        <v>170</v>
      </c>
      <c r="C2959" t="s">
        <v>138</v>
      </c>
      <c r="D2959">
        <v>2012</v>
      </c>
      <c r="E2959">
        <v>0</v>
      </c>
      <c r="F2959" t="s">
        <v>184</v>
      </c>
    </row>
    <row r="2960" spans="1:6" x14ac:dyDescent="0.25">
      <c r="A2960" t="s">
        <v>192</v>
      </c>
      <c r="B2960" t="s">
        <v>170</v>
      </c>
      <c r="C2960" t="s">
        <v>138</v>
      </c>
      <c r="D2960">
        <v>2011</v>
      </c>
      <c r="E2960">
        <v>0</v>
      </c>
      <c r="F2960" t="s">
        <v>184</v>
      </c>
    </row>
    <row r="2961" spans="1:6" x14ac:dyDescent="0.25">
      <c r="A2961" t="s">
        <v>192</v>
      </c>
      <c r="B2961" t="s">
        <v>170</v>
      </c>
      <c r="C2961" t="s">
        <v>138</v>
      </c>
      <c r="D2961">
        <v>2010</v>
      </c>
      <c r="E2961">
        <v>0</v>
      </c>
      <c r="F2961" t="s">
        <v>184</v>
      </c>
    </row>
    <row r="2962" spans="1:6" x14ac:dyDescent="0.25">
      <c r="A2962" t="s">
        <v>192</v>
      </c>
      <c r="B2962" t="s">
        <v>170</v>
      </c>
      <c r="C2962" t="s">
        <v>164</v>
      </c>
      <c r="D2962">
        <v>2014</v>
      </c>
      <c r="E2962">
        <v>0</v>
      </c>
      <c r="F2962" t="s">
        <v>184</v>
      </c>
    </row>
    <row r="2963" spans="1:6" x14ac:dyDescent="0.25">
      <c r="A2963" t="s">
        <v>192</v>
      </c>
      <c r="B2963" t="s">
        <v>170</v>
      </c>
      <c r="C2963" t="s">
        <v>164</v>
      </c>
      <c r="D2963">
        <v>2013</v>
      </c>
      <c r="E2963">
        <v>0</v>
      </c>
      <c r="F2963" t="s">
        <v>184</v>
      </c>
    </row>
    <row r="2964" spans="1:6" x14ac:dyDescent="0.25">
      <c r="A2964" t="s">
        <v>192</v>
      </c>
      <c r="B2964" t="s">
        <v>170</v>
      </c>
      <c r="C2964" t="s">
        <v>164</v>
      </c>
      <c r="D2964">
        <v>2012</v>
      </c>
      <c r="E2964">
        <v>0</v>
      </c>
      <c r="F2964" t="s">
        <v>184</v>
      </c>
    </row>
    <row r="2965" spans="1:6" x14ac:dyDescent="0.25">
      <c r="A2965" t="s">
        <v>192</v>
      </c>
      <c r="B2965" t="s">
        <v>170</v>
      </c>
      <c r="C2965" t="s">
        <v>164</v>
      </c>
      <c r="D2965">
        <v>2011</v>
      </c>
      <c r="E2965">
        <v>0</v>
      </c>
      <c r="F2965" t="s">
        <v>184</v>
      </c>
    </row>
    <row r="2966" spans="1:6" x14ac:dyDescent="0.25">
      <c r="A2966" t="s">
        <v>192</v>
      </c>
      <c r="B2966" t="s">
        <v>170</v>
      </c>
      <c r="C2966" t="s">
        <v>164</v>
      </c>
      <c r="D2966">
        <v>2010</v>
      </c>
      <c r="E2966">
        <v>0</v>
      </c>
      <c r="F2966" t="s">
        <v>184</v>
      </c>
    </row>
    <row r="2967" spans="1:6" x14ac:dyDescent="0.25">
      <c r="A2967" t="s">
        <v>192</v>
      </c>
      <c r="B2967" t="s">
        <v>170</v>
      </c>
      <c r="C2967" t="s">
        <v>139</v>
      </c>
      <c r="D2967">
        <v>2014</v>
      </c>
      <c r="E2967">
        <v>0</v>
      </c>
      <c r="F2967" t="s">
        <v>184</v>
      </c>
    </row>
    <row r="2968" spans="1:6" x14ac:dyDescent="0.25">
      <c r="A2968" t="s">
        <v>192</v>
      </c>
      <c r="B2968" t="s">
        <v>170</v>
      </c>
      <c r="C2968" t="s">
        <v>139</v>
      </c>
      <c r="D2968">
        <v>2013</v>
      </c>
      <c r="E2968">
        <v>0</v>
      </c>
      <c r="F2968" t="s">
        <v>184</v>
      </c>
    </row>
    <row r="2969" spans="1:6" x14ac:dyDescent="0.25">
      <c r="A2969" t="s">
        <v>192</v>
      </c>
      <c r="B2969" t="s">
        <v>170</v>
      </c>
      <c r="C2969" t="s">
        <v>139</v>
      </c>
      <c r="D2969">
        <v>2012</v>
      </c>
      <c r="E2969">
        <v>0</v>
      </c>
      <c r="F2969" t="s">
        <v>184</v>
      </c>
    </row>
    <row r="2970" spans="1:6" x14ac:dyDescent="0.25">
      <c r="A2970" t="s">
        <v>192</v>
      </c>
      <c r="B2970" t="s">
        <v>170</v>
      </c>
      <c r="C2970" t="s">
        <v>139</v>
      </c>
      <c r="D2970">
        <v>2011</v>
      </c>
      <c r="E2970">
        <v>0</v>
      </c>
      <c r="F2970" t="s">
        <v>184</v>
      </c>
    </row>
    <row r="2971" spans="1:6" x14ac:dyDescent="0.25">
      <c r="A2971" t="s">
        <v>192</v>
      </c>
      <c r="B2971" t="s">
        <v>170</v>
      </c>
      <c r="C2971" t="s">
        <v>139</v>
      </c>
      <c r="D2971">
        <v>2010</v>
      </c>
      <c r="E2971">
        <v>0</v>
      </c>
      <c r="F2971" t="s">
        <v>184</v>
      </c>
    </row>
    <row r="2972" spans="1:6" x14ac:dyDescent="0.25">
      <c r="A2972" t="s">
        <v>192</v>
      </c>
      <c r="B2972" t="s">
        <v>170</v>
      </c>
      <c r="C2972" t="s">
        <v>165</v>
      </c>
      <c r="D2972">
        <v>2014</v>
      </c>
      <c r="E2972">
        <v>0</v>
      </c>
      <c r="F2972" t="s">
        <v>184</v>
      </c>
    </row>
    <row r="2973" spans="1:6" x14ac:dyDescent="0.25">
      <c r="A2973" t="s">
        <v>192</v>
      </c>
      <c r="B2973" t="s">
        <v>170</v>
      </c>
      <c r="C2973" t="s">
        <v>165</v>
      </c>
      <c r="D2973">
        <v>2013</v>
      </c>
      <c r="E2973">
        <v>0</v>
      </c>
      <c r="F2973" t="s">
        <v>184</v>
      </c>
    </row>
    <row r="2974" spans="1:6" x14ac:dyDescent="0.25">
      <c r="A2974" t="s">
        <v>192</v>
      </c>
      <c r="B2974" t="s">
        <v>170</v>
      </c>
      <c r="C2974" t="s">
        <v>165</v>
      </c>
      <c r="D2974">
        <v>2012</v>
      </c>
      <c r="E2974">
        <v>0</v>
      </c>
      <c r="F2974" t="s">
        <v>184</v>
      </c>
    </row>
    <row r="2975" spans="1:6" x14ac:dyDescent="0.25">
      <c r="A2975" t="s">
        <v>192</v>
      </c>
      <c r="B2975" t="s">
        <v>170</v>
      </c>
      <c r="C2975" t="s">
        <v>165</v>
      </c>
      <c r="D2975">
        <v>2011</v>
      </c>
      <c r="E2975">
        <v>0</v>
      </c>
      <c r="F2975" t="s">
        <v>184</v>
      </c>
    </row>
    <row r="2976" spans="1:6" x14ac:dyDescent="0.25">
      <c r="A2976" t="s">
        <v>192</v>
      </c>
      <c r="B2976" t="s">
        <v>170</v>
      </c>
      <c r="C2976" t="s">
        <v>165</v>
      </c>
      <c r="D2976">
        <v>2010</v>
      </c>
      <c r="E2976">
        <v>0</v>
      </c>
      <c r="F2976" t="s">
        <v>184</v>
      </c>
    </row>
    <row r="2977" spans="1:6" x14ac:dyDescent="0.25">
      <c r="A2977" t="s">
        <v>192</v>
      </c>
      <c r="B2977" t="s">
        <v>170</v>
      </c>
      <c r="C2977" t="s">
        <v>140</v>
      </c>
      <c r="D2977">
        <v>2014</v>
      </c>
      <c r="E2977">
        <v>0</v>
      </c>
      <c r="F2977" t="s">
        <v>184</v>
      </c>
    </row>
    <row r="2978" spans="1:6" x14ac:dyDescent="0.25">
      <c r="A2978" t="s">
        <v>192</v>
      </c>
      <c r="B2978" t="s">
        <v>170</v>
      </c>
      <c r="C2978" t="s">
        <v>140</v>
      </c>
      <c r="D2978">
        <v>2013</v>
      </c>
      <c r="E2978">
        <v>0</v>
      </c>
      <c r="F2978" t="s">
        <v>184</v>
      </c>
    </row>
    <row r="2979" spans="1:6" x14ac:dyDescent="0.25">
      <c r="A2979" t="s">
        <v>192</v>
      </c>
      <c r="B2979" t="s">
        <v>170</v>
      </c>
      <c r="C2979" t="s">
        <v>140</v>
      </c>
      <c r="D2979">
        <v>2012</v>
      </c>
      <c r="E2979">
        <v>0</v>
      </c>
      <c r="F2979" t="s">
        <v>184</v>
      </c>
    </row>
    <row r="2980" spans="1:6" x14ac:dyDescent="0.25">
      <c r="A2980" t="s">
        <v>192</v>
      </c>
      <c r="B2980" t="s">
        <v>170</v>
      </c>
      <c r="C2980" t="s">
        <v>140</v>
      </c>
      <c r="D2980">
        <v>2011</v>
      </c>
      <c r="E2980">
        <v>0</v>
      </c>
      <c r="F2980" t="s">
        <v>184</v>
      </c>
    </row>
    <row r="2981" spans="1:6" x14ac:dyDescent="0.25">
      <c r="A2981" t="s">
        <v>192</v>
      </c>
      <c r="B2981" t="s">
        <v>170</v>
      </c>
      <c r="C2981" t="s">
        <v>140</v>
      </c>
      <c r="D2981">
        <v>2010</v>
      </c>
      <c r="E2981">
        <v>0</v>
      </c>
      <c r="F2981" t="s">
        <v>184</v>
      </c>
    </row>
    <row r="2982" spans="1:6" x14ac:dyDescent="0.25">
      <c r="A2982" t="s">
        <v>192</v>
      </c>
      <c r="B2982" t="s">
        <v>170</v>
      </c>
      <c r="C2982" t="s">
        <v>141</v>
      </c>
      <c r="D2982">
        <v>2014</v>
      </c>
      <c r="E2982">
        <v>0</v>
      </c>
      <c r="F2982" t="s">
        <v>184</v>
      </c>
    </row>
    <row r="2983" spans="1:6" x14ac:dyDescent="0.25">
      <c r="A2983" t="s">
        <v>192</v>
      </c>
      <c r="B2983" t="s">
        <v>170</v>
      </c>
      <c r="C2983" t="s">
        <v>141</v>
      </c>
      <c r="D2983">
        <v>2013</v>
      </c>
      <c r="E2983">
        <v>0</v>
      </c>
      <c r="F2983" t="s">
        <v>184</v>
      </c>
    </row>
    <row r="2984" spans="1:6" x14ac:dyDescent="0.25">
      <c r="A2984" t="s">
        <v>192</v>
      </c>
      <c r="B2984" t="s">
        <v>170</v>
      </c>
      <c r="C2984" t="s">
        <v>141</v>
      </c>
      <c r="D2984">
        <v>2012</v>
      </c>
      <c r="E2984">
        <v>0</v>
      </c>
      <c r="F2984" t="s">
        <v>184</v>
      </c>
    </row>
    <row r="2985" spans="1:6" x14ac:dyDescent="0.25">
      <c r="A2985" t="s">
        <v>192</v>
      </c>
      <c r="B2985" t="s">
        <v>170</v>
      </c>
      <c r="C2985" t="s">
        <v>141</v>
      </c>
      <c r="D2985">
        <v>2011</v>
      </c>
      <c r="E2985">
        <v>0</v>
      </c>
      <c r="F2985" t="s">
        <v>184</v>
      </c>
    </row>
    <row r="2986" spans="1:6" x14ac:dyDescent="0.25">
      <c r="A2986" t="s">
        <v>192</v>
      </c>
      <c r="B2986" t="s">
        <v>170</v>
      </c>
      <c r="C2986" t="s">
        <v>141</v>
      </c>
      <c r="D2986">
        <v>2010</v>
      </c>
      <c r="E2986">
        <v>0</v>
      </c>
      <c r="F2986" t="s">
        <v>184</v>
      </c>
    </row>
    <row r="2987" spans="1:6" x14ac:dyDescent="0.25">
      <c r="A2987" t="s">
        <v>192</v>
      </c>
      <c r="B2987" t="s">
        <v>170</v>
      </c>
      <c r="C2987" t="s">
        <v>142</v>
      </c>
      <c r="D2987">
        <v>2014</v>
      </c>
      <c r="E2987">
        <v>0</v>
      </c>
      <c r="F2987" t="s">
        <v>184</v>
      </c>
    </row>
    <row r="2988" spans="1:6" x14ac:dyDescent="0.25">
      <c r="A2988" t="s">
        <v>192</v>
      </c>
      <c r="B2988" t="s">
        <v>170</v>
      </c>
      <c r="C2988" t="s">
        <v>142</v>
      </c>
      <c r="D2988">
        <v>2013</v>
      </c>
      <c r="E2988">
        <v>0</v>
      </c>
      <c r="F2988" t="s">
        <v>184</v>
      </c>
    </row>
    <row r="2989" spans="1:6" x14ac:dyDescent="0.25">
      <c r="A2989" t="s">
        <v>192</v>
      </c>
      <c r="B2989" t="s">
        <v>170</v>
      </c>
      <c r="C2989" t="s">
        <v>142</v>
      </c>
      <c r="D2989">
        <v>2012</v>
      </c>
      <c r="E2989">
        <v>0</v>
      </c>
      <c r="F2989" t="s">
        <v>184</v>
      </c>
    </row>
    <row r="2990" spans="1:6" x14ac:dyDescent="0.25">
      <c r="A2990" t="s">
        <v>192</v>
      </c>
      <c r="B2990" t="s">
        <v>170</v>
      </c>
      <c r="C2990" t="s">
        <v>142</v>
      </c>
      <c r="D2990">
        <v>2011</v>
      </c>
      <c r="E2990">
        <v>0</v>
      </c>
      <c r="F2990" t="s">
        <v>184</v>
      </c>
    </row>
    <row r="2991" spans="1:6" x14ac:dyDescent="0.25">
      <c r="A2991" t="s">
        <v>192</v>
      </c>
      <c r="B2991" t="s">
        <v>170</v>
      </c>
      <c r="C2991" t="s">
        <v>142</v>
      </c>
      <c r="D2991">
        <v>2010</v>
      </c>
      <c r="E2991">
        <v>0</v>
      </c>
      <c r="F2991" t="s">
        <v>184</v>
      </c>
    </row>
    <row r="2992" spans="1:6" x14ac:dyDescent="0.25">
      <c r="A2992" t="s">
        <v>192</v>
      </c>
      <c r="B2992" t="s">
        <v>170</v>
      </c>
      <c r="C2992" t="s">
        <v>166</v>
      </c>
      <c r="D2992">
        <v>2014</v>
      </c>
      <c r="E2992">
        <v>0</v>
      </c>
      <c r="F2992" t="s">
        <v>184</v>
      </c>
    </row>
    <row r="2993" spans="1:6" x14ac:dyDescent="0.25">
      <c r="A2993" t="s">
        <v>192</v>
      </c>
      <c r="B2993" t="s">
        <v>170</v>
      </c>
      <c r="C2993" t="s">
        <v>166</v>
      </c>
      <c r="D2993">
        <v>2013</v>
      </c>
      <c r="E2993">
        <v>0</v>
      </c>
      <c r="F2993" t="s">
        <v>184</v>
      </c>
    </row>
    <row r="2994" spans="1:6" x14ac:dyDescent="0.25">
      <c r="A2994" t="s">
        <v>192</v>
      </c>
      <c r="B2994" t="s">
        <v>170</v>
      </c>
      <c r="C2994" t="s">
        <v>166</v>
      </c>
      <c r="D2994">
        <v>2012</v>
      </c>
      <c r="E2994">
        <v>0</v>
      </c>
      <c r="F2994" t="s">
        <v>184</v>
      </c>
    </row>
    <row r="2995" spans="1:6" x14ac:dyDescent="0.25">
      <c r="A2995" t="s">
        <v>192</v>
      </c>
      <c r="B2995" t="s">
        <v>170</v>
      </c>
      <c r="C2995" t="s">
        <v>166</v>
      </c>
      <c r="D2995">
        <v>2011</v>
      </c>
      <c r="E2995">
        <v>0</v>
      </c>
      <c r="F2995" t="s">
        <v>184</v>
      </c>
    </row>
    <row r="2996" spans="1:6" x14ac:dyDescent="0.25">
      <c r="A2996" t="s">
        <v>192</v>
      </c>
      <c r="B2996" t="s">
        <v>170</v>
      </c>
      <c r="C2996" t="s">
        <v>166</v>
      </c>
      <c r="D2996">
        <v>2010</v>
      </c>
      <c r="E2996">
        <v>0</v>
      </c>
      <c r="F2996" t="s">
        <v>184</v>
      </c>
    </row>
    <row r="2997" spans="1:6" x14ac:dyDescent="0.25">
      <c r="A2997" t="s">
        <v>192</v>
      </c>
      <c r="B2997" t="s">
        <v>170</v>
      </c>
      <c r="C2997" t="s">
        <v>143</v>
      </c>
      <c r="D2997">
        <v>2014</v>
      </c>
      <c r="E2997">
        <v>0</v>
      </c>
      <c r="F2997" t="s">
        <v>184</v>
      </c>
    </row>
    <row r="2998" spans="1:6" x14ac:dyDescent="0.25">
      <c r="A2998" t="s">
        <v>192</v>
      </c>
      <c r="B2998" t="s">
        <v>170</v>
      </c>
      <c r="C2998" t="s">
        <v>143</v>
      </c>
      <c r="D2998">
        <v>2013</v>
      </c>
      <c r="E2998">
        <v>0</v>
      </c>
      <c r="F2998" t="s">
        <v>184</v>
      </c>
    </row>
    <row r="2999" spans="1:6" x14ac:dyDescent="0.25">
      <c r="A2999" t="s">
        <v>192</v>
      </c>
      <c r="B2999" t="s">
        <v>170</v>
      </c>
      <c r="C2999" t="s">
        <v>143</v>
      </c>
      <c r="D2999">
        <v>2012</v>
      </c>
      <c r="E2999">
        <v>0</v>
      </c>
      <c r="F2999" t="s">
        <v>184</v>
      </c>
    </row>
    <row r="3000" spans="1:6" x14ac:dyDescent="0.25">
      <c r="A3000" t="s">
        <v>192</v>
      </c>
      <c r="B3000" t="s">
        <v>170</v>
      </c>
      <c r="C3000" t="s">
        <v>143</v>
      </c>
      <c r="D3000">
        <v>2011</v>
      </c>
      <c r="E3000">
        <v>0</v>
      </c>
      <c r="F3000" t="s">
        <v>184</v>
      </c>
    </row>
    <row r="3001" spans="1:6" x14ac:dyDescent="0.25">
      <c r="A3001" t="s">
        <v>192</v>
      </c>
      <c r="B3001" t="s">
        <v>170</v>
      </c>
      <c r="C3001" t="s">
        <v>143</v>
      </c>
      <c r="D3001">
        <v>2010</v>
      </c>
      <c r="E3001">
        <v>0</v>
      </c>
      <c r="F3001" t="s">
        <v>184</v>
      </c>
    </row>
    <row r="3002" spans="1:6" x14ac:dyDescent="0.25">
      <c r="A3002" t="s">
        <v>192</v>
      </c>
      <c r="B3002" t="s">
        <v>170</v>
      </c>
      <c r="C3002" t="s">
        <v>144</v>
      </c>
      <c r="D3002">
        <v>2014</v>
      </c>
      <c r="E3002">
        <v>0</v>
      </c>
      <c r="F3002" t="s">
        <v>184</v>
      </c>
    </row>
    <row r="3003" spans="1:6" x14ac:dyDescent="0.25">
      <c r="A3003" t="s">
        <v>192</v>
      </c>
      <c r="B3003" t="s">
        <v>170</v>
      </c>
      <c r="C3003" t="s">
        <v>144</v>
      </c>
      <c r="D3003">
        <v>2013</v>
      </c>
      <c r="E3003">
        <v>0</v>
      </c>
      <c r="F3003" t="s">
        <v>184</v>
      </c>
    </row>
    <row r="3004" spans="1:6" x14ac:dyDescent="0.25">
      <c r="A3004" t="s">
        <v>192</v>
      </c>
      <c r="B3004" t="s">
        <v>170</v>
      </c>
      <c r="C3004" t="s">
        <v>144</v>
      </c>
      <c r="D3004">
        <v>2012</v>
      </c>
      <c r="E3004">
        <v>0</v>
      </c>
      <c r="F3004" t="s">
        <v>184</v>
      </c>
    </row>
    <row r="3005" spans="1:6" x14ac:dyDescent="0.25">
      <c r="A3005" t="s">
        <v>192</v>
      </c>
      <c r="B3005" t="s">
        <v>170</v>
      </c>
      <c r="C3005" t="s">
        <v>144</v>
      </c>
      <c r="D3005">
        <v>2011</v>
      </c>
      <c r="E3005">
        <v>0</v>
      </c>
      <c r="F3005" t="s">
        <v>184</v>
      </c>
    </row>
    <row r="3006" spans="1:6" x14ac:dyDescent="0.25">
      <c r="A3006" t="s">
        <v>192</v>
      </c>
      <c r="B3006" t="s">
        <v>170</v>
      </c>
      <c r="C3006" t="s">
        <v>144</v>
      </c>
      <c r="D3006">
        <v>2010</v>
      </c>
      <c r="E3006">
        <v>0</v>
      </c>
      <c r="F3006" t="s">
        <v>184</v>
      </c>
    </row>
    <row r="3007" spans="1:6" x14ac:dyDescent="0.25">
      <c r="A3007" t="s">
        <v>192</v>
      </c>
      <c r="B3007" t="s">
        <v>170</v>
      </c>
      <c r="C3007" t="s">
        <v>145</v>
      </c>
      <c r="D3007">
        <v>2014</v>
      </c>
      <c r="E3007">
        <v>0</v>
      </c>
      <c r="F3007" t="s">
        <v>184</v>
      </c>
    </row>
    <row r="3008" spans="1:6" x14ac:dyDescent="0.25">
      <c r="A3008" t="s">
        <v>192</v>
      </c>
      <c r="B3008" t="s">
        <v>170</v>
      </c>
      <c r="C3008" t="s">
        <v>145</v>
      </c>
      <c r="D3008">
        <v>2013</v>
      </c>
      <c r="E3008">
        <v>0</v>
      </c>
      <c r="F3008" t="s">
        <v>184</v>
      </c>
    </row>
    <row r="3009" spans="1:6" x14ac:dyDescent="0.25">
      <c r="A3009" t="s">
        <v>192</v>
      </c>
      <c r="B3009" t="s">
        <v>170</v>
      </c>
      <c r="C3009" t="s">
        <v>145</v>
      </c>
      <c r="D3009">
        <v>2012</v>
      </c>
      <c r="E3009">
        <v>0</v>
      </c>
      <c r="F3009" t="s">
        <v>184</v>
      </c>
    </row>
    <row r="3010" spans="1:6" x14ac:dyDescent="0.25">
      <c r="A3010" t="s">
        <v>192</v>
      </c>
      <c r="B3010" t="s">
        <v>170</v>
      </c>
      <c r="C3010" t="s">
        <v>145</v>
      </c>
      <c r="D3010">
        <v>2011</v>
      </c>
      <c r="E3010">
        <v>0</v>
      </c>
      <c r="F3010" t="s">
        <v>184</v>
      </c>
    </row>
    <row r="3011" spans="1:6" x14ac:dyDescent="0.25">
      <c r="A3011" t="s">
        <v>192</v>
      </c>
      <c r="B3011" t="s">
        <v>170</v>
      </c>
      <c r="C3011" t="s">
        <v>145</v>
      </c>
      <c r="D3011">
        <v>2010</v>
      </c>
      <c r="E3011">
        <v>0</v>
      </c>
      <c r="F3011" t="s">
        <v>184</v>
      </c>
    </row>
    <row r="3012" spans="1:6" x14ac:dyDescent="0.25">
      <c r="A3012" t="s">
        <v>192</v>
      </c>
      <c r="B3012" t="s">
        <v>170</v>
      </c>
      <c r="C3012" t="s">
        <v>146</v>
      </c>
      <c r="D3012">
        <v>2014</v>
      </c>
      <c r="E3012">
        <v>0</v>
      </c>
      <c r="F3012" t="s">
        <v>184</v>
      </c>
    </row>
    <row r="3013" spans="1:6" x14ac:dyDescent="0.25">
      <c r="A3013" t="s">
        <v>192</v>
      </c>
      <c r="B3013" t="s">
        <v>170</v>
      </c>
      <c r="C3013" t="s">
        <v>146</v>
      </c>
      <c r="D3013">
        <v>2013</v>
      </c>
      <c r="E3013">
        <v>0</v>
      </c>
      <c r="F3013" t="s">
        <v>184</v>
      </c>
    </row>
    <row r="3014" spans="1:6" x14ac:dyDescent="0.25">
      <c r="A3014" t="s">
        <v>192</v>
      </c>
      <c r="B3014" t="s">
        <v>170</v>
      </c>
      <c r="C3014" t="s">
        <v>146</v>
      </c>
      <c r="D3014">
        <v>2012</v>
      </c>
      <c r="E3014">
        <v>0</v>
      </c>
      <c r="F3014" t="s">
        <v>184</v>
      </c>
    </row>
    <row r="3015" spans="1:6" x14ac:dyDescent="0.25">
      <c r="A3015" t="s">
        <v>192</v>
      </c>
      <c r="B3015" t="s">
        <v>170</v>
      </c>
      <c r="C3015" t="s">
        <v>146</v>
      </c>
      <c r="D3015">
        <v>2011</v>
      </c>
      <c r="E3015">
        <v>0</v>
      </c>
      <c r="F3015" t="s">
        <v>184</v>
      </c>
    </row>
    <row r="3016" spans="1:6" x14ac:dyDescent="0.25">
      <c r="A3016" t="s">
        <v>192</v>
      </c>
      <c r="B3016" t="s">
        <v>170</v>
      </c>
      <c r="C3016" t="s">
        <v>146</v>
      </c>
      <c r="D3016">
        <v>2010</v>
      </c>
      <c r="E3016">
        <v>0</v>
      </c>
      <c r="F3016" t="s">
        <v>184</v>
      </c>
    </row>
    <row r="3017" spans="1:6" x14ac:dyDescent="0.25">
      <c r="A3017" t="s">
        <v>192</v>
      </c>
      <c r="B3017" t="s">
        <v>170</v>
      </c>
      <c r="C3017" t="s">
        <v>147</v>
      </c>
      <c r="D3017">
        <v>2014</v>
      </c>
      <c r="E3017">
        <v>0</v>
      </c>
      <c r="F3017" t="s">
        <v>184</v>
      </c>
    </row>
    <row r="3018" spans="1:6" x14ac:dyDescent="0.25">
      <c r="A3018" t="s">
        <v>192</v>
      </c>
      <c r="B3018" t="s">
        <v>170</v>
      </c>
      <c r="C3018" t="s">
        <v>147</v>
      </c>
      <c r="D3018">
        <v>2013</v>
      </c>
      <c r="E3018">
        <v>0</v>
      </c>
      <c r="F3018" t="s">
        <v>184</v>
      </c>
    </row>
    <row r="3019" spans="1:6" x14ac:dyDescent="0.25">
      <c r="A3019" t="s">
        <v>192</v>
      </c>
      <c r="B3019" t="s">
        <v>170</v>
      </c>
      <c r="C3019" t="s">
        <v>147</v>
      </c>
      <c r="D3019">
        <v>2012</v>
      </c>
      <c r="E3019">
        <v>0</v>
      </c>
      <c r="F3019" t="s">
        <v>184</v>
      </c>
    </row>
    <row r="3020" spans="1:6" x14ac:dyDescent="0.25">
      <c r="A3020" t="s">
        <v>192</v>
      </c>
      <c r="B3020" t="s">
        <v>170</v>
      </c>
      <c r="C3020" t="s">
        <v>147</v>
      </c>
      <c r="D3020">
        <v>2011</v>
      </c>
      <c r="E3020">
        <v>0</v>
      </c>
      <c r="F3020" t="s">
        <v>184</v>
      </c>
    </row>
    <row r="3021" spans="1:6" x14ac:dyDescent="0.25">
      <c r="A3021" t="s">
        <v>192</v>
      </c>
      <c r="B3021" t="s">
        <v>170</v>
      </c>
      <c r="C3021" t="s">
        <v>147</v>
      </c>
      <c r="D3021">
        <v>2010</v>
      </c>
      <c r="E3021">
        <v>0</v>
      </c>
      <c r="F3021" t="s">
        <v>184</v>
      </c>
    </row>
    <row r="3022" spans="1:6" x14ac:dyDescent="0.25">
      <c r="A3022" t="s">
        <v>192</v>
      </c>
      <c r="B3022" t="s">
        <v>170</v>
      </c>
      <c r="C3022" t="s">
        <v>167</v>
      </c>
      <c r="D3022">
        <v>2014</v>
      </c>
      <c r="E3022">
        <v>0</v>
      </c>
      <c r="F3022" t="s">
        <v>184</v>
      </c>
    </row>
    <row r="3023" spans="1:6" x14ac:dyDescent="0.25">
      <c r="A3023" t="s">
        <v>192</v>
      </c>
      <c r="B3023" t="s">
        <v>170</v>
      </c>
      <c r="C3023" t="s">
        <v>167</v>
      </c>
      <c r="D3023">
        <v>2013</v>
      </c>
      <c r="E3023">
        <v>0</v>
      </c>
      <c r="F3023" t="s">
        <v>184</v>
      </c>
    </row>
    <row r="3024" spans="1:6" x14ac:dyDescent="0.25">
      <c r="A3024" t="s">
        <v>192</v>
      </c>
      <c r="B3024" t="s">
        <v>170</v>
      </c>
      <c r="C3024" t="s">
        <v>167</v>
      </c>
      <c r="D3024">
        <v>2012</v>
      </c>
      <c r="E3024">
        <v>0</v>
      </c>
      <c r="F3024" t="s">
        <v>184</v>
      </c>
    </row>
    <row r="3025" spans="1:6" x14ac:dyDescent="0.25">
      <c r="A3025" t="s">
        <v>192</v>
      </c>
      <c r="B3025" t="s">
        <v>170</v>
      </c>
      <c r="C3025" t="s">
        <v>167</v>
      </c>
      <c r="D3025">
        <v>2011</v>
      </c>
      <c r="E3025">
        <v>0</v>
      </c>
      <c r="F3025" t="s">
        <v>184</v>
      </c>
    </row>
    <row r="3026" spans="1:6" x14ac:dyDescent="0.25">
      <c r="A3026" t="s">
        <v>192</v>
      </c>
      <c r="B3026" t="s">
        <v>170</v>
      </c>
      <c r="C3026" t="s">
        <v>167</v>
      </c>
      <c r="D3026">
        <v>2010</v>
      </c>
      <c r="E3026">
        <v>0</v>
      </c>
      <c r="F3026" t="s">
        <v>184</v>
      </c>
    </row>
    <row r="3027" spans="1:6" x14ac:dyDescent="0.25">
      <c r="A3027" t="s">
        <v>192</v>
      </c>
      <c r="B3027" t="s">
        <v>170</v>
      </c>
      <c r="C3027" t="s">
        <v>168</v>
      </c>
      <c r="D3027">
        <v>2014</v>
      </c>
      <c r="E3027">
        <v>0</v>
      </c>
      <c r="F3027" t="s">
        <v>184</v>
      </c>
    </row>
    <row r="3028" spans="1:6" x14ac:dyDescent="0.25">
      <c r="A3028" t="s">
        <v>192</v>
      </c>
      <c r="B3028" t="s">
        <v>170</v>
      </c>
      <c r="C3028" t="s">
        <v>168</v>
      </c>
      <c r="D3028">
        <v>2013</v>
      </c>
      <c r="E3028">
        <v>0</v>
      </c>
      <c r="F3028" t="s">
        <v>184</v>
      </c>
    </row>
    <row r="3029" spans="1:6" x14ac:dyDescent="0.25">
      <c r="A3029" t="s">
        <v>192</v>
      </c>
      <c r="B3029" t="s">
        <v>170</v>
      </c>
      <c r="C3029" t="s">
        <v>168</v>
      </c>
      <c r="D3029">
        <v>2012</v>
      </c>
      <c r="E3029">
        <v>0</v>
      </c>
      <c r="F3029" t="s">
        <v>184</v>
      </c>
    </row>
    <row r="3030" spans="1:6" x14ac:dyDescent="0.25">
      <c r="A3030" t="s">
        <v>192</v>
      </c>
      <c r="B3030" t="s">
        <v>170</v>
      </c>
      <c r="C3030" t="s">
        <v>168</v>
      </c>
      <c r="D3030">
        <v>2011</v>
      </c>
      <c r="E3030">
        <v>0</v>
      </c>
      <c r="F3030" t="s">
        <v>184</v>
      </c>
    </row>
    <row r="3031" spans="1:6" x14ac:dyDescent="0.25">
      <c r="A3031" t="s">
        <v>192</v>
      </c>
      <c r="B3031" t="s">
        <v>170</v>
      </c>
      <c r="C3031" t="s">
        <v>168</v>
      </c>
      <c r="D3031">
        <v>2010</v>
      </c>
      <c r="E3031">
        <v>0</v>
      </c>
      <c r="F3031" t="s">
        <v>184</v>
      </c>
    </row>
    <row r="3032" spans="1:6" x14ac:dyDescent="0.25">
      <c r="A3032" t="s">
        <v>192</v>
      </c>
      <c r="B3032" t="s">
        <v>170</v>
      </c>
      <c r="C3032" t="s">
        <v>148</v>
      </c>
      <c r="D3032">
        <v>2014</v>
      </c>
      <c r="E3032">
        <v>0</v>
      </c>
      <c r="F3032" t="s">
        <v>184</v>
      </c>
    </row>
    <row r="3033" spans="1:6" x14ac:dyDescent="0.25">
      <c r="A3033" t="s">
        <v>192</v>
      </c>
      <c r="B3033" t="s">
        <v>170</v>
      </c>
      <c r="C3033" t="s">
        <v>148</v>
      </c>
      <c r="D3033">
        <v>2013</v>
      </c>
      <c r="E3033">
        <v>0</v>
      </c>
      <c r="F3033" t="s">
        <v>184</v>
      </c>
    </row>
    <row r="3034" spans="1:6" x14ac:dyDescent="0.25">
      <c r="A3034" t="s">
        <v>192</v>
      </c>
      <c r="B3034" t="s">
        <v>170</v>
      </c>
      <c r="C3034" t="s">
        <v>148</v>
      </c>
      <c r="D3034">
        <v>2012</v>
      </c>
      <c r="E3034">
        <v>0</v>
      </c>
      <c r="F3034" t="s">
        <v>184</v>
      </c>
    </row>
    <row r="3035" spans="1:6" x14ac:dyDescent="0.25">
      <c r="A3035" t="s">
        <v>192</v>
      </c>
      <c r="B3035" t="s">
        <v>170</v>
      </c>
      <c r="C3035" t="s">
        <v>148</v>
      </c>
      <c r="D3035">
        <v>2011</v>
      </c>
      <c r="E3035">
        <v>0</v>
      </c>
      <c r="F3035" t="s">
        <v>184</v>
      </c>
    </row>
    <row r="3036" spans="1:6" x14ac:dyDescent="0.25">
      <c r="A3036" t="s">
        <v>192</v>
      </c>
      <c r="B3036" t="s">
        <v>170</v>
      </c>
      <c r="C3036" t="s">
        <v>148</v>
      </c>
      <c r="D3036">
        <v>2010</v>
      </c>
      <c r="E3036">
        <v>0</v>
      </c>
      <c r="F3036" t="s">
        <v>184</v>
      </c>
    </row>
    <row r="3037" spans="1:6" x14ac:dyDescent="0.25">
      <c r="A3037" t="s">
        <v>192</v>
      </c>
      <c r="B3037" t="s">
        <v>170</v>
      </c>
      <c r="C3037" t="s">
        <v>149</v>
      </c>
      <c r="D3037">
        <v>2014</v>
      </c>
      <c r="E3037">
        <v>0</v>
      </c>
      <c r="F3037" t="s">
        <v>184</v>
      </c>
    </row>
    <row r="3038" spans="1:6" x14ac:dyDescent="0.25">
      <c r="A3038" t="s">
        <v>192</v>
      </c>
      <c r="B3038" t="s">
        <v>170</v>
      </c>
      <c r="C3038" t="s">
        <v>149</v>
      </c>
      <c r="D3038">
        <v>2013</v>
      </c>
      <c r="E3038">
        <v>0</v>
      </c>
      <c r="F3038" t="s">
        <v>184</v>
      </c>
    </row>
    <row r="3039" spans="1:6" x14ac:dyDescent="0.25">
      <c r="A3039" t="s">
        <v>192</v>
      </c>
      <c r="B3039" t="s">
        <v>170</v>
      </c>
      <c r="C3039" t="s">
        <v>149</v>
      </c>
      <c r="D3039">
        <v>2012</v>
      </c>
      <c r="E3039">
        <v>0</v>
      </c>
      <c r="F3039" t="s">
        <v>184</v>
      </c>
    </row>
    <row r="3040" spans="1:6" x14ac:dyDescent="0.25">
      <c r="A3040" t="s">
        <v>192</v>
      </c>
      <c r="B3040" t="s">
        <v>170</v>
      </c>
      <c r="C3040" t="s">
        <v>149</v>
      </c>
      <c r="D3040">
        <v>2011</v>
      </c>
      <c r="E3040">
        <v>0</v>
      </c>
      <c r="F3040" t="s">
        <v>184</v>
      </c>
    </row>
    <row r="3041" spans="1:6" x14ac:dyDescent="0.25">
      <c r="A3041" t="s">
        <v>192</v>
      </c>
      <c r="B3041" t="s">
        <v>170</v>
      </c>
      <c r="C3041" t="s">
        <v>149</v>
      </c>
      <c r="D3041">
        <v>2010</v>
      </c>
      <c r="E3041">
        <v>0</v>
      </c>
      <c r="F3041" t="s">
        <v>184</v>
      </c>
    </row>
    <row r="3042" spans="1:6" x14ac:dyDescent="0.25">
      <c r="A3042" t="s">
        <v>192</v>
      </c>
      <c r="B3042" t="s">
        <v>170</v>
      </c>
      <c r="C3042" t="s">
        <v>121</v>
      </c>
      <c r="D3042">
        <v>2014</v>
      </c>
      <c r="E3042">
        <v>0</v>
      </c>
      <c r="F3042" t="s">
        <v>193</v>
      </c>
    </row>
    <row r="3043" spans="1:6" x14ac:dyDescent="0.25">
      <c r="A3043" t="s">
        <v>192</v>
      </c>
      <c r="B3043" t="s">
        <v>170</v>
      </c>
      <c r="C3043" t="s">
        <v>121</v>
      </c>
      <c r="D3043">
        <v>2013</v>
      </c>
      <c r="E3043">
        <v>0</v>
      </c>
      <c r="F3043" t="s">
        <v>193</v>
      </c>
    </row>
    <row r="3044" spans="1:6" x14ac:dyDescent="0.25">
      <c r="A3044" t="s">
        <v>192</v>
      </c>
      <c r="B3044" t="s">
        <v>170</v>
      </c>
      <c r="C3044" t="s">
        <v>121</v>
      </c>
      <c r="D3044">
        <v>2012</v>
      </c>
      <c r="E3044">
        <v>0</v>
      </c>
      <c r="F3044" t="s">
        <v>193</v>
      </c>
    </row>
    <row r="3045" spans="1:6" x14ac:dyDescent="0.25">
      <c r="A3045" t="s">
        <v>192</v>
      </c>
      <c r="B3045" t="s">
        <v>170</v>
      </c>
      <c r="C3045" t="s">
        <v>121</v>
      </c>
      <c r="D3045">
        <v>2011</v>
      </c>
      <c r="E3045">
        <v>0</v>
      </c>
      <c r="F3045" t="s">
        <v>193</v>
      </c>
    </row>
    <row r="3046" spans="1:6" x14ac:dyDescent="0.25">
      <c r="A3046" t="s">
        <v>192</v>
      </c>
      <c r="B3046" t="s">
        <v>170</v>
      </c>
      <c r="C3046" t="s">
        <v>121</v>
      </c>
      <c r="D3046">
        <v>2010</v>
      </c>
      <c r="E3046">
        <v>0</v>
      </c>
      <c r="F3046" t="s">
        <v>193</v>
      </c>
    </row>
    <row r="3047" spans="1:6" x14ac:dyDescent="0.25">
      <c r="A3047" t="s">
        <v>192</v>
      </c>
      <c r="B3047" t="s">
        <v>170</v>
      </c>
      <c r="C3047" t="s">
        <v>122</v>
      </c>
      <c r="D3047">
        <v>2014</v>
      </c>
      <c r="E3047">
        <v>2.2800000000000001E-2</v>
      </c>
      <c r="F3047" t="s">
        <v>193</v>
      </c>
    </row>
    <row r="3048" spans="1:6" x14ac:dyDescent="0.25">
      <c r="A3048" t="s">
        <v>192</v>
      </c>
      <c r="B3048" t="s">
        <v>170</v>
      </c>
      <c r="C3048" t="s">
        <v>122</v>
      </c>
      <c r="D3048">
        <v>2013</v>
      </c>
      <c r="E3048">
        <v>1.18E-2</v>
      </c>
      <c r="F3048" t="s">
        <v>193</v>
      </c>
    </row>
    <row r="3049" spans="1:6" x14ac:dyDescent="0.25">
      <c r="A3049" t="s">
        <v>192</v>
      </c>
      <c r="B3049" t="s">
        <v>170</v>
      </c>
      <c r="C3049" t="s">
        <v>122</v>
      </c>
      <c r="D3049">
        <v>2012</v>
      </c>
      <c r="E3049">
        <v>0</v>
      </c>
      <c r="F3049" t="s">
        <v>193</v>
      </c>
    </row>
    <row r="3050" spans="1:6" x14ac:dyDescent="0.25">
      <c r="A3050" t="s">
        <v>192</v>
      </c>
      <c r="B3050" t="s">
        <v>170</v>
      </c>
      <c r="C3050" t="s">
        <v>122</v>
      </c>
      <c r="D3050">
        <v>2011</v>
      </c>
      <c r="E3050">
        <v>0</v>
      </c>
      <c r="F3050" t="s">
        <v>193</v>
      </c>
    </row>
    <row r="3051" spans="1:6" x14ac:dyDescent="0.25">
      <c r="A3051" t="s">
        <v>192</v>
      </c>
      <c r="B3051" t="s">
        <v>170</v>
      </c>
      <c r="C3051" t="s">
        <v>122</v>
      </c>
      <c r="D3051">
        <v>2010</v>
      </c>
      <c r="E3051">
        <v>1E-4</v>
      </c>
      <c r="F3051" t="s">
        <v>193</v>
      </c>
    </row>
    <row r="3052" spans="1:6" x14ac:dyDescent="0.25">
      <c r="A3052" t="s">
        <v>192</v>
      </c>
      <c r="B3052" t="s">
        <v>170</v>
      </c>
      <c r="C3052" t="s">
        <v>123</v>
      </c>
      <c r="D3052">
        <v>2014</v>
      </c>
      <c r="E3052">
        <v>0</v>
      </c>
      <c r="F3052" t="s">
        <v>193</v>
      </c>
    </row>
    <row r="3053" spans="1:6" x14ac:dyDescent="0.25">
      <c r="A3053" t="s">
        <v>192</v>
      </c>
      <c r="B3053" t="s">
        <v>170</v>
      </c>
      <c r="C3053" t="s">
        <v>123</v>
      </c>
      <c r="D3053">
        <v>2013</v>
      </c>
      <c r="E3053">
        <v>0</v>
      </c>
      <c r="F3053" t="s">
        <v>193</v>
      </c>
    </row>
    <row r="3054" spans="1:6" x14ac:dyDescent="0.25">
      <c r="A3054" t="s">
        <v>192</v>
      </c>
      <c r="B3054" t="s">
        <v>170</v>
      </c>
      <c r="C3054" t="s">
        <v>123</v>
      </c>
      <c r="D3054">
        <v>2012</v>
      </c>
      <c r="E3054">
        <v>0</v>
      </c>
      <c r="F3054" t="s">
        <v>193</v>
      </c>
    </row>
    <row r="3055" spans="1:6" x14ac:dyDescent="0.25">
      <c r="A3055" t="s">
        <v>192</v>
      </c>
      <c r="B3055" t="s">
        <v>170</v>
      </c>
      <c r="C3055" t="s">
        <v>123</v>
      </c>
      <c r="D3055">
        <v>2011</v>
      </c>
      <c r="E3055">
        <v>0</v>
      </c>
      <c r="F3055" t="s">
        <v>193</v>
      </c>
    </row>
    <row r="3056" spans="1:6" x14ac:dyDescent="0.25">
      <c r="A3056" t="s">
        <v>192</v>
      </c>
      <c r="B3056" t="s">
        <v>170</v>
      </c>
      <c r="C3056" t="s">
        <v>123</v>
      </c>
      <c r="D3056">
        <v>2010</v>
      </c>
      <c r="E3056">
        <v>0</v>
      </c>
      <c r="F3056" t="s">
        <v>193</v>
      </c>
    </row>
    <row r="3057" spans="1:6" x14ac:dyDescent="0.25">
      <c r="A3057" t="s">
        <v>192</v>
      </c>
      <c r="B3057" t="s">
        <v>170</v>
      </c>
      <c r="C3057" t="s">
        <v>124</v>
      </c>
      <c r="D3057">
        <v>2014</v>
      </c>
      <c r="E3057">
        <v>0</v>
      </c>
      <c r="F3057" t="s">
        <v>193</v>
      </c>
    </row>
    <row r="3058" spans="1:6" x14ac:dyDescent="0.25">
      <c r="A3058" t="s">
        <v>192</v>
      </c>
      <c r="B3058" t="s">
        <v>170</v>
      </c>
      <c r="C3058" t="s">
        <v>124</v>
      </c>
      <c r="D3058">
        <v>2013</v>
      </c>
      <c r="E3058">
        <v>0</v>
      </c>
      <c r="F3058" t="s">
        <v>193</v>
      </c>
    </row>
    <row r="3059" spans="1:6" x14ac:dyDescent="0.25">
      <c r="A3059" t="s">
        <v>192</v>
      </c>
      <c r="B3059" t="s">
        <v>170</v>
      </c>
      <c r="C3059" t="s">
        <v>124</v>
      </c>
      <c r="D3059">
        <v>2012</v>
      </c>
      <c r="E3059">
        <v>0</v>
      </c>
      <c r="F3059" t="s">
        <v>193</v>
      </c>
    </row>
    <row r="3060" spans="1:6" x14ac:dyDescent="0.25">
      <c r="A3060" t="s">
        <v>192</v>
      </c>
      <c r="B3060" t="s">
        <v>170</v>
      </c>
      <c r="C3060" t="s">
        <v>124</v>
      </c>
      <c r="D3060">
        <v>2011</v>
      </c>
      <c r="E3060">
        <v>0</v>
      </c>
      <c r="F3060" t="s">
        <v>193</v>
      </c>
    </row>
    <row r="3061" spans="1:6" x14ac:dyDescent="0.25">
      <c r="A3061" t="s">
        <v>192</v>
      </c>
      <c r="B3061" t="s">
        <v>170</v>
      </c>
      <c r="C3061" t="s">
        <v>124</v>
      </c>
      <c r="D3061">
        <v>2010</v>
      </c>
      <c r="E3061">
        <v>0</v>
      </c>
      <c r="F3061" t="s">
        <v>193</v>
      </c>
    </row>
    <row r="3062" spans="1:6" x14ac:dyDescent="0.25">
      <c r="A3062" t="s">
        <v>192</v>
      </c>
      <c r="B3062" t="s">
        <v>170</v>
      </c>
      <c r="C3062" t="s">
        <v>160</v>
      </c>
      <c r="D3062">
        <v>2014</v>
      </c>
      <c r="E3062">
        <v>0</v>
      </c>
      <c r="F3062" t="s">
        <v>193</v>
      </c>
    </row>
    <row r="3063" spans="1:6" x14ac:dyDescent="0.25">
      <c r="A3063" t="s">
        <v>192</v>
      </c>
      <c r="B3063" t="s">
        <v>170</v>
      </c>
      <c r="C3063" t="s">
        <v>160</v>
      </c>
      <c r="D3063">
        <v>2013</v>
      </c>
      <c r="E3063">
        <v>0</v>
      </c>
      <c r="F3063" t="s">
        <v>193</v>
      </c>
    </row>
    <row r="3064" spans="1:6" x14ac:dyDescent="0.25">
      <c r="A3064" t="s">
        <v>192</v>
      </c>
      <c r="B3064" t="s">
        <v>170</v>
      </c>
      <c r="C3064" t="s">
        <v>160</v>
      </c>
      <c r="D3064">
        <v>2012</v>
      </c>
      <c r="E3064">
        <v>0</v>
      </c>
      <c r="F3064" t="s">
        <v>193</v>
      </c>
    </row>
    <row r="3065" spans="1:6" x14ac:dyDescent="0.25">
      <c r="A3065" t="s">
        <v>192</v>
      </c>
      <c r="B3065" t="s">
        <v>170</v>
      </c>
      <c r="C3065" t="s">
        <v>160</v>
      </c>
      <c r="D3065">
        <v>2011</v>
      </c>
      <c r="E3065">
        <v>0</v>
      </c>
      <c r="F3065" t="s">
        <v>193</v>
      </c>
    </row>
    <row r="3066" spans="1:6" x14ac:dyDescent="0.25">
      <c r="A3066" t="s">
        <v>192</v>
      </c>
      <c r="B3066" t="s">
        <v>170</v>
      </c>
      <c r="C3066" t="s">
        <v>160</v>
      </c>
      <c r="D3066">
        <v>2010</v>
      </c>
      <c r="E3066">
        <v>0</v>
      </c>
      <c r="F3066" t="s">
        <v>193</v>
      </c>
    </row>
    <row r="3067" spans="1:6" x14ac:dyDescent="0.25">
      <c r="A3067" t="s">
        <v>192</v>
      </c>
      <c r="B3067" t="s">
        <v>170</v>
      </c>
      <c r="C3067" t="s">
        <v>125</v>
      </c>
      <c r="D3067">
        <v>2014</v>
      </c>
      <c r="E3067">
        <v>0</v>
      </c>
      <c r="F3067" t="s">
        <v>193</v>
      </c>
    </row>
    <row r="3068" spans="1:6" x14ac:dyDescent="0.25">
      <c r="A3068" t="s">
        <v>192</v>
      </c>
      <c r="B3068" t="s">
        <v>170</v>
      </c>
      <c r="C3068" t="s">
        <v>125</v>
      </c>
      <c r="D3068">
        <v>2013</v>
      </c>
      <c r="E3068">
        <v>0</v>
      </c>
      <c r="F3068" t="s">
        <v>193</v>
      </c>
    </row>
    <row r="3069" spans="1:6" x14ac:dyDescent="0.25">
      <c r="A3069" t="s">
        <v>192</v>
      </c>
      <c r="B3069" t="s">
        <v>170</v>
      </c>
      <c r="C3069" t="s">
        <v>125</v>
      </c>
      <c r="D3069">
        <v>2012</v>
      </c>
      <c r="E3069">
        <v>0</v>
      </c>
      <c r="F3069" t="s">
        <v>193</v>
      </c>
    </row>
    <row r="3070" spans="1:6" x14ac:dyDescent="0.25">
      <c r="A3070" t="s">
        <v>192</v>
      </c>
      <c r="B3070" t="s">
        <v>170</v>
      </c>
      <c r="C3070" t="s">
        <v>125</v>
      </c>
      <c r="D3070">
        <v>2011</v>
      </c>
      <c r="E3070">
        <v>0</v>
      </c>
      <c r="F3070" t="s">
        <v>193</v>
      </c>
    </row>
    <row r="3071" spans="1:6" x14ac:dyDescent="0.25">
      <c r="A3071" t="s">
        <v>192</v>
      </c>
      <c r="B3071" t="s">
        <v>170</v>
      </c>
      <c r="C3071" t="s">
        <v>125</v>
      </c>
      <c r="D3071">
        <v>2010</v>
      </c>
      <c r="E3071">
        <v>0</v>
      </c>
      <c r="F3071" t="s">
        <v>193</v>
      </c>
    </row>
    <row r="3072" spans="1:6" x14ac:dyDescent="0.25">
      <c r="A3072" t="s">
        <v>192</v>
      </c>
      <c r="B3072" t="s">
        <v>170</v>
      </c>
      <c r="C3072" t="s">
        <v>126</v>
      </c>
      <c r="D3072">
        <v>2014</v>
      </c>
      <c r="E3072">
        <v>2.81E-2</v>
      </c>
      <c r="F3072" t="s">
        <v>193</v>
      </c>
    </row>
    <row r="3073" spans="1:6" x14ac:dyDescent="0.25">
      <c r="A3073" t="s">
        <v>192</v>
      </c>
      <c r="B3073" t="s">
        <v>170</v>
      </c>
      <c r="C3073" t="s">
        <v>126</v>
      </c>
      <c r="D3073">
        <v>2013</v>
      </c>
      <c r="E3073">
        <v>2.81E-2</v>
      </c>
      <c r="F3073" t="s">
        <v>193</v>
      </c>
    </row>
    <row r="3074" spans="1:6" x14ac:dyDescent="0.25">
      <c r="A3074" t="s">
        <v>192</v>
      </c>
      <c r="B3074" t="s">
        <v>170</v>
      </c>
      <c r="C3074" t="s">
        <v>126</v>
      </c>
      <c r="D3074">
        <v>2012</v>
      </c>
      <c r="E3074">
        <v>5.9999999999999995E-4</v>
      </c>
      <c r="F3074" t="s">
        <v>193</v>
      </c>
    </row>
    <row r="3075" spans="1:6" x14ac:dyDescent="0.25">
      <c r="A3075" t="s">
        <v>192</v>
      </c>
      <c r="B3075" t="s">
        <v>170</v>
      </c>
      <c r="C3075" t="s">
        <v>126</v>
      </c>
      <c r="D3075">
        <v>2011</v>
      </c>
      <c r="E3075">
        <v>7.2700000000000001E-2</v>
      </c>
      <c r="F3075" t="s">
        <v>193</v>
      </c>
    </row>
    <row r="3076" spans="1:6" x14ac:dyDescent="0.25">
      <c r="A3076" t="s">
        <v>192</v>
      </c>
      <c r="B3076" t="s">
        <v>170</v>
      </c>
      <c r="C3076" t="s">
        <v>126</v>
      </c>
      <c r="D3076">
        <v>2010</v>
      </c>
      <c r="E3076">
        <v>0.2742</v>
      </c>
      <c r="F3076" t="s">
        <v>193</v>
      </c>
    </row>
    <row r="3077" spans="1:6" x14ac:dyDescent="0.25">
      <c r="A3077" t="s">
        <v>192</v>
      </c>
      <c r="B3077" t="s">
        <v>170</v>
      </c>
      <c r="C3077" t="s">
        <v>127</v>
      </c>
      <c r="D3077">
        <v>2014</v>
      </c>
      <c r="E3077">
        <v>0.78400000000000003</v>
      </c>
      <c r="F3077" t="s">
        <v>193</v>
      </c>
    </row>
    <row r="3078" spans="1:6" x14ac:dyDescent="0.25">
      <c r="A3078" t="s">
        <v>192</v>
      </c>
      <c r="B3078" t="s">
        <v>170</v>
      </c>
      <c r="C3078" t="s">
        <v>127</v>
      </c>
      <c r="D3078">
        <v>2013</v>
      </c>
      <c r="E3078">
        <v>0.82040000000000002</v>
      </c>
      <c r="F3078" t="s">
        <v>193</v>
      </c>
    </row>
    <row r="3079" spans="1:6" x14ac:dyDescent="0.25">
      <c r="A3079" t="s">
        <v>192</v>
      </c>
      <c r="B3079" t="s">
        <v>170</v>
      </c>
      <c r="C3079" t="s">
        <v>127</v>
      </c>
      <c r="D3079">
        <v>2012</v>
      </c>
      <c r="E3079">
        <v>0.93</v>
      </c>
      <c r="F3079" t="s">
        <v>193</v>
      </c>
    </row>
    <row r="3080" spans="1:6" x14ac:dyDescent="0.25">
      <c r="A3080" t="s">
        <v>192</v>
      </c>
      <c r="B3080" t="s">
        <v>170</v>
      </c>
      <c r="C3080" t="s">
        <v>127</v>
      </c>
      <c r="D3080">
        <v>2011</v>
      </c>
      <c r="E3080">
        <v>0.77529999999999999</v>
      </c>
      <c r="F3080" t="s">
        <v>193</v>
      </c>
    </row>
    <row r="3081" spans="1:6" x14ac:dyDescent="0.25">
      <c r="A3081" t="s">
        <v>192</v>
      </c>
      <c r="B3081" t="s">
        <v>170</v>
      </c>
      <c r="C3081" t="s">
        <v>127</v>
      </c>
      <c r="D3081">
        <v>2010</v>
      </c>
      <c r="E3081">
        <v>1.9279999999999999</v>
      </c>
      <c r="F3081" t="s">
        <v>193</v>
      </c>
    </row>
    <row r="3082" spans="1:6" x14ac:dyDescent="0.25">
      <c r="A3082" t="s">
        <v>192</v>
      </c>
      <c r="B3082" t="s">
        <v>170</v>
      </c>
      <c r="C3082" t="s">
        <v>128</v>
      </c>
      <c r="D3082">
        <v>2014</v>
      </c>
      <c r="E3082">
        <v>0</v>
      </c>
      <c r="F3082" t="s">
        <v>193</v>
      </c>
    </row>
    <row r="3083" spans="1:6" x14ac:dyDescent="0.25">
      <c r="A3083" t="s">
        <v>192</v>
      </c>
      <c r="B3083" t="s">
        <v>170</v>
      </c>
      <c r="C3083" t="s">
        <v>128</v>
      </c>
      <c r="D3083">
        <v>2013</v>
      </c>
      <c r="E3083">
        <v>0</v>
      </c>
      <c r="F3083" t="s">
        <v>193</v>
      </c>
    </row>
    <row r="3084" spans="1:6" x14ac:dyDescent="0.25">
      <c r="A3084" t="s">
        <v>192</v>
      </c>
      <c r="B3084" t="s">
        <v>170</v>
      </c>
      <c r="C3084" t="s">
        <v>128</v>
      </c>
      <c r="D3084">
        <v>2012</v>
      </c>
      <c r="E3084">
        <v>0</v>
      </c>
      <c r="F3084" t="s">
        <v>193</v>
      </c>
    </row>
    <row r="3085" spans="1:6" x14ac:dyDescent="0.25">
      <c r="A3085" t="s">
        <v>192</v>
      </c>
      <c r="B3085" t="s">
        <v>170</v>
      </c>
      <c r="C3085" t="s">
        <v>128</v>
      </c>
      <c r="D3085">
        <v>2011</v>
      </c>
      <c r="E3085">
        <v>0</v>
      </c>
      <c r="F3085" t="s">
        <v>193</v>
      </c>
    </row>
    <row r="3086" spans="1:6" x14ac:dyDescent="0.25">
      <c r="A3086" t="s">
        <v>192</v>
      </c>
      <c r="B3086" t="s">
        <v>170</v>
      </c>
      <c r="C3086" t="s">
        <v>128</v>
      </c>
      <c r="D3086">
        <v>2010</v>
      </c>
      <c r="E3086">
        <v>0</v>
      </c>
      <c r="F3086" t="s">
        <v>193</v>
      </c>
    </row>
    <row r="3087" spans="1:6" x14ac:dyDescent="0.25">
      <c r="A3087" t="s">
        <v>192</v>
      </c>
      <c r="B3087" t="s">
        <v>170</v>
      </c>
      <c r="C3087" t="s">
        <v>161</v>
      </c>
      <c r="D3087">
        <v>2014</v>
      </c>
      <c r="E3087">
        <v>0</v>
      </c>
      <c r="F3087" t="s">
        <v>193</v>
      </c>
    </row>
    <row r="3088" spans="1:6" x14ac:dyDescent="0.25">
      <c r="A3088" t="s">
        <v>192</v>
      </c>
      <c r="B3088" t="s">
        <v>170</v>
      </c>
      <c r="C3088" t="s">
        <v>161</v>
      </c>
      <c r="D3088">
        <v>2013</v>
      </c>
      <c r="E3088">
        <v>0</v>
      </c>
      <c r="F3088" t="s">
        <v>193</v>
      </c>
    </row>
    <row r="3089" spans="1:6" x14ac:dyDescent="0.25">
      <c r="A3089" t="s">
        <v>192</v>
      </c>
      <c r="B3089" t="s">
        <v>170</v>
      </c>
      <c r="C3089" t="s">
        <v>161</v>
      </c>
      <c r="D3089">
        <v>2012</v>
      </c>
      <c r="E3089">
        <v>0</v>
      </c>
      <c r="F3089" t="s">
        <v>193</v>
      </c>
    </row>
    <row r="3090" spans="1:6" x14ac:dyDescent="0.25">
      <c r="A3090" t="s">
        <v>192</v>
      </c>
      <c r="B3090" t="s">
        <v>170</v>
      </c>
      <c r="C3090" t="s">
        <v>161</v>
      </c>
      <c r="D3090">
        <v>2011</v>
      </c>
      <c r="E3090">
        <v>0</v>
      </c>
      <c r="F3090" t="s">
        <v>193</v>
      </c>
    </row>
    <row r="3091" spans="1:6" x14ac:dyDescent="0.25">
      <c r="A3091" t="s">
        <v>192</v>
      </c>
      <c r="B3091" t="s">
        <v>170</v>
      </c>
      <c r="C3091" t="s">
        <v>161</v>
      </c>
      <c r="D3091">
        <v>2010</v>
      </c>
      <c r="E3091">
        <v>0</v>
      </c>
      <c r="F3091" t="s">
        <v>193</v>
      </c>
    </row>
    <row r="3092" spans="1:6" x14ac:dyDescent="0.25">
      <c r="A3092" t="s">
        <v>192</v>
      </c>
      <c r="B3092" t="s">
        <v>170</v>
      </c>
      <c r="C3092" t="s">
        <v>162</v>
      </c>
      <c r="D3092">
        <v>2014</v>
      </c>
      <c r="E3092">
        <v>0</v>
      </c>
      <c r="F3092" t="s">
        <v>193</v>
      </c>
    </row>
    <row r="3093" spans="1:6" x14ac:dyDescent="0.25">
      <c r="A3093" t="s">
        <v>192</v>
      </c>
      <c r="B3093" t="s">
        <v>170</v>
      </c>
      <c r="C3093" t="s">
        <v>162</v>
      </c>
      <c r="D3093">
        <v>2013</v>
      </c>
      <c r="E3093">
        <v>0</v>
      </c>
      <c r="F3093" t="s">
        <v>193</v>
      </c>
    </row>
    <row r="3094" spans="1:6" x14ac:dyDescent="0.25">
      <c r="A3094" t="s">
        <v>192</v>
      </c>
      <c r="B3094" t="s">
        <v>170</v>
      </c>
      <c r="C3094" t="s">
        <v>162</v>
      </c>
      <c r="D3094">
        <v>2012</v>
      </c>
      <c r="E3094">
        <v>0</v>
      </c>
      <c r="F3094" t="s">
        <v>193</v>
      </c>
    </row>
    <row r="3095" spans="1:6" x14ac:dyDescent="0.25">
      <c r="A3095" t="s">
        <v>192</v>
      </c>
      <c r="B3095" t="s">
        <v>170</v>
      </c>
      <c r="C3095" t="s">
        <v>162</v>
      </c>
      <c r="D3095">
        <v>2011</v>
      </c>
      <c r="E3095">
        <v>0</v>
      </c>
      <c r="F3095" t="s">
        <v>193</v>
      </c>
    </row>
    <row r="3096" spans="1:6" x14ac:dyDescent="0.25">
      <c r="A3096" t="s">
        <v>192</v>
      </c>
      <c r="B3096" t="s">
        <v>170</v>
      </c>
      <c r="C3096" t="s">
        <v>162</v>
      </c>
      <c r="D3096">
        <v>2010</v>
      </c>
      <c r="E3096">
        <v>0</v>
      </c>
      <c r="F3096" t="s">
        <v>193</v>
      </c>
    </row>
    <row r="3097" spans="1:6" x14ac:dyDescent="0.25">
      <c r="A3097" t="s">
        <v>192</v>
      </c>
      <c r="B3097" t="s">
        <v>170</v>
      </c>
      <c r="C3097" t="s">
        <v>129</v>
      </c>
      <c r="D3097">
        <v>2014</v>
      </c>
      <c r="E3097">
        <v>7.4000000000000003E-3</v>
      </c>
      <c r="F3097" t="s">
        <v>193</v>
      </c>
    </row>
    <row r="3098" spans="1:6" x14ac:dyDescent="0.25">
      <c r="A3098" t="s">
        <v>192</v>
      </c>
      <c r="B3098" t="s">
        <v>170</v>
      </c>
      <c r="C3098" t="s">
        <v>129</v>
      </c>
      <c r="D3098">
        <v>2013</v>
      </c>
      <c r="E3098">
        <v>2.9999999999999997E-4</v>
      </c>
      <c r="F3098" t="s">
        <v>193</v>
      </c>
    </row>
    <row r="3099" spans="1:6" x14ac:dyDescent="0.25">
      <c r="A3099" t="s">
        <v>192</v>
      </c>
      <c r="B3099" t="s">
        <v>170</v>
      </c>
      <c r="C3099" t="s">
        <v>129</v>
      </c>
      <c r="D3099">
        <v>2012</v>
      </c>
      <c r="E3099">
        <v>0</v>
      </c>
      <c r="F3099" t="s">
        <v>193</v>
      </c>
    </row>
    <row r="3100" spans="1:6" x14ac:dyDescent="0.25">
      <c r="A3100" t="s">
        <v>192</v>
      </c>
      <c r="B3100" t="s">
        <v>170</v>
      </c>
      <c r="C3100" t="s">
        <v>129</v>
      </c>
      <c r="D3100">
        <v>2011</v>
      </c>
      <c r="E3100">
        <v>0</v>
      </c>
      <c r="F3100" t="s">
        <v>193</v>
      </c>
    </row>
    <row r="3101" spans="1:6" x14ac:dyDescent="0.25">
      <c r="A3101" t="s">
        <v>192</v>
      </c>
      <c r="B3101" t="s">
        <v>170</v>
      </c>
      <c r="C3101" t="s">
        <v>129</v>
      </c>
      <c r="D3101">
        <v>2010</v>
      </c>
      <c r="E3101">
        <v>0</v>
      </c>
      <c r="F3101" t="s">
        <v>193</v>
      </c>
    </row>
    <row r="3102" spans="1:6" x14ac:dyDescent="0.25">
      <c r="A3102" t="s">
        <v>192</v>
      </c>
      <c r="B3102" t="s">
        <v>170</v>
      </c>
      <c r="C3102" t="s">
        <v>130</v>
      </c>
      <c r="D3102">
        <v>2014</v>
      </c>
      <c r="E3102">
        <v>0</v>
      </c>
      <c r="F3102" t="s">
        <v>193</v>
      </c>
    </row>
    <row r="3103" spans="1:6" x14ac:dyDescent="0.25">
      <c r="A3103" t="s">
        <v>192</v>
      </c>
      <c r="B3103" t="s">
        <v>170</v>
      </c>
      <c r="C3103" t="s">
        <v>130</v>
      </c>
      <c r="D3103">
        <v>2013</v>
      </c>
      <c r="E3103">
        <v>0</v>
      </c>
      <c r="F3103" t="s">
        <v>193</v>
      </c>
    </row>
    <row r="3104" spans="1:6" x14ac:dyDescent="0.25">
      <c r="A3104" t="s">
        <v>192</v>
      </c>
      <c r="B3104" t="s">
        <v>170</v>
      </c>
      <c r="C3104" t="s">
        <v>130</v>
      </c>
      <c r="D3104">
        <v>2012</v>
      </c>
      <c r="E3104">
        <v>0</v>
      </c>
      <c r="F3104" t="s">
        <v>193</v>
      </c>
    </row>
    <row r="3105" spans="1:6" x14ac:dyDescent="0.25">
      <c r="A3105" t="s">
        <v>192</v>
      </c>
      <c r="B3105" t="s">
        <v>170</v>
      </c>
      <c r="C3105" t="s">
        <v>130</v>
      </c>
      <c r="D3105">
        <v>2011</v>
      </c>
      <c r="E3105">
        <v>0</v>
      </c>
      <c r="F3105" t="s">
        <v>193</v>
      </c>
    </row>
    <row r="3106" spans="1:6" x14ac:dyDescent="0.25">
      <c r="A3106" t="s">
        <v>192</v>
      </c>
      <c r="B3106" t="s">
        <v>170</v>
      </c>
      <c r="C3106" t="s">
        <v>130</v>
      </c>
      <c r="D3106">
        <v>2010</v>
      </c>
      <c r="E3106">
        <v>0</v>
      </c>
      <c r="F3106" t="s">
        <v>193</v>
      </c>
    </row>
    <row r="3107" spans="1:6" x14ac:dyDescent="0.25">
      <c r="A3107" t="s">
        <v>192</v>
      </c>
      <c r="B3107" t="s">
        <v>170</v>
      </c>
      <c r="C3107" t="s">
        <v>131</v>
      </c>
      <c r="D3107">
        <v>2014</v>
      </c>
      <c r="E3107">
        <v>0</v>
      </c>
      <c r="F3107" t="s">
        <v>193</v>
      </c>
    </row>
    <row r="3108" spans="1:6" x14ac:dyDescent="0.25">
      <c r="A3108" t="s">
        <v>192</v>
      </c>
      <c r="B3108" t="s">
        <v>170</v>
      </c>
      <c r="C3108" t="s">
        <v>131</v>
      </c>
      <c r="D3108">
        <v>2013</v>
      </c>
      <c r="E3108">
        <v>0</v>
      </c>
      <c r="F3108" t="s">
        <v>193</v>
      </c>
    </row>
    <row r="3109" spans="1:6" x14ac:dyDescent="0.25">
      <c r="A3109" t="s">
        <v>192</v>
      </c>
      <c r="B3109" t="s">
        <v>170</v>
      </c>
      <c r="C3109" t="s">
        <v>131</v>
      </c>
      <c r="D3109">
        <v>2012</v>
      </c>
      <c r="E3109">
        <v>0</v>
      </c>
      <c r="F3109" t="s">
        <v>193</v>
      </c>
    </row>
    <row r="3110" spans="1:6" x14ac:dyDescent="0.25">
      <c r="A3110" t="s">
        <v>192</v>
      </c>
      <c r="B3110" t="s">
        <v>170</v>
      </c>
      <c r="C3110" t="s">
        <v>131</v>
      </c>
      <c r="D3110">
        <v>2011</v>
      </c>
      <c r="E3110">
        <v>0</v>
      </c>
      <c r="F3110" t="s">
        <v>193</v>
      </c>
    </row>
    <row r="3111" spans="1:6" x14ac:dyDescent="0.25">
      <c r="A3111" t="s">
        <v>192</v>
      </c>
      <c r="B3111" t="s">
        <v>170</v>
      </c>
      <c r="C3111" t="s">
        <v>131</v>
      </c>
      <c r="D3111">
        <v>2010</v>
      </c>
      <c r="E3111">
        <v>0</v>
      </c>
      <c r="F3111" t="s">
        <v>193</v>
      </c>
    </row>
    <row r="3112" spans="1:6" x14ac:dyDescent="0.25">
      <c r="A3112" t="s">
        <v>192</v>
      </c>
      <c r="B3112" t="s">
        <v>170</v>
      </c>
      <c r="C3112" t="s">
        <v>132</v>
      </c>
      <c r="D3112">
        <v>2014</v>
      </c>
      <c r="E3112">
        <v>0</v>
      </c>
      <c r="F3112" t="s">
        <v>193</v>
      </c>
    </row>
    <row r="3113" spans="1:6" x14ac:dyDescent="0.25">
      <c r="A3113" t="s">
        <v>192</v>
      </c>
      <c r="B3113" t="s">
        <v>170</v>
      </c>
      <c r="C3113" t="s">
        <v>132</v>
      </c>
      <c r="D3113">
        <v>2013</v>
      </c>
      <c r="E3113">
        <v>0</v>
      </c>
      <c r="F3113" t="s">
        <v>193</v>
      </c>
    </row>
    <row r="3114" spans="1:6" x14ac:dyDescent="0.25">
      <c r="A3114" t="s">
        <v>192</v>
      </c>
      <c r="B3114" t="s">
        <v>170</v>
      </c>
      <c r="C3114" t="s">
        <v>132</v>
      </c>
      <c r="D3114">
        <v>2012</v>
      </c>
      <c r="E3114">
        <v>0</v>
      </c>
      <c r="F3114" t="s">
        <v>193</v>
      </c>
    </row>
    <row r="3115" spans="1:6" x14ac:dyDescent="0.25">
      <c r="A3115" t="s">
        <v>192</v>
      </c>
      <c r="B3115" t="s">
        <v>170</v>
      </c>
      <c r="C3115" t="s">
        <v>132</v>
      </c>
      <c r="D3115">
        <v>2011</v>
      </c>
      <c r="E3115">
        <v>0</v>
      </c>
      <c r="F3115" t="s">
        <v>193</v>
      </c>
    </row>
    <row r="3116" spans="1:6" x14ac:dyDescent="0.25">
      <c r="A3116" t="s">
        <v>192</v>
      </c>
      <c r="B3116" t="s">
        <v>170</v>
      </c>
      <c r="C3116" t="s">
        <v>132</v>
      </c>
      <c r="D3116">
        <v>2010</v>
      </c>
      <c r="E3116">
        <v>0</v>
      </c>
      <c r="F3116" t="s">
        <v>193</v>
      </c>
    </row>
    <row r="3117" spans="1:6" x14ac:dyDescent="0.25">
      <c r="A3117" t="s">
        <v>192</v>
      </c>
      <c r="B3117" t="s">
        <v>170</v>
      </c>
      <c r="C3117" t="s">
        <v>163</v>
      </c>
      <c r="D3117">
        <v>2014</v>
      </c>
      <c r="E3117">
        <v>0</v>
      </c>
      <c r="F3117" t="s">
        <v>193</v>
      </c>
    </row>
    <row r="3118" spans="1:6" x14ac:dyDescent="0.25">
      <c r="A3118" t="s">
        <v>192</v>
      </c>
      <c r="B3118" t="s">
        <v>170</v>
      </c>
      <c r="C3118" t="s">
        <v>163</v>
      </c>
      <c r="D3118">
        <v>2013</v>
      </c>
      <c r="E3118">
        <v>0</v>
      </c>
      <c r="F3118" t="s">
        <v>193</v>
      </c>
    </row>
    <row r="3119" spans="1:6" x14ac:dyDescent="0.25">
      <c r="A3119" t="s">
        <v>192</v>
      </c>
      <c r="B3119" t="s">
        <v>170</v>
      </c>
      <c r="C3119" t="s">
        <v>163</v>
      </c>
      <c r="D3119">
        <v>2012</v>
      </c>
      <c r="E3119">
        <v>0</v>
      </c>
      <c r="F3119" t="s">
        <v>193</v>
      </c>
    </row>
    <row r="3120" spans="1:6" x14ac:dyDescent="0.25">
      <c r="A3120" t="s">
        <v>192</v>
      </c>
      <c r="B3120" t="s">
        <v>170</v>
      </c>
      <c r="C3120" t="s">
        <v>163</v>
      </c>
      <c r="D3120">
        <v>2011</v>
      </c>
      <c r="E3120">
        <v>0</v>
      </c>
      <c r="F3120" t="s">
        <v>193</v>
      </c>
    </row>
    <row r="3121" spans="1:6" x14ac:dyDescent="0.25">
      <c r="A3121" t="s">
        <v>192</v>
      </c>
      <c r="B3121" t="s">
        <v>170</v>
      </c>
      <c r="C3121" t="s">
        <v>163</v>
      </c>
      <c r="D3121">
        <v>2010</v>
      </c>
      <c r="E3121">
        <v>0</v>
      </c>
      <c r="F3121" t="s">
        <v>193</v>
      </c>
    </row>
    <row r="3122" spans="1:6" x14ac:dyDescent="0.25">
      <c r="A3122" t="s">
        <v>192</v>
      </c>
      <c r="B3122" t="s">
        <v>170</v>
      </c>
      <c r="C3122" t="s">
        <v>133</v>
      </c>
      <c r="D3122">
        <v>2014</v>
      </c>
      <c r="E3122">
        <v>0</v>
      </c>
      <c r="F3122" t="s">
        <v>193</v>
      </c>
    </row>
    <row r="3123" spans="1:6" x14ac:dyDescent="0.25">
      <c r="A3123" t="s">
        <v>192</v>
      </c>
      <c r="B3123" t="s">
        <v>170</v>
      </c>
      <c r="C3123" t="s">
        <v>133</v>
      </c>
      <c r="D3123">
        <v>2013</v>
      </c>
      <c r="E3123">
        <v>0</v>
      </c>
      <c r="F3123" t="s">
        <v>193</v>
      </c>
    </row>
    <row r="3124" spans="1:6" x14ac:dyDescent="0.25">
      <c r="A3124" t="s">
        <v>192</v>
      </c>
      <c r="B3124" t="s">
        <v>170</v>
      </c>
      <c r="C3124" t="s">
        <v>133</v>
      </c>
      <c r="D3124">
        <v>2012</v>
      </c>
      <c r="E3124">
        <v>0</v>
      </c>
      <c r="F3124" t="s">
        <v>193</v>
      </c>
    </row>
    <row r="3125" spans="1:6" x14ac:dyDescent="0.25">
      <c r="A3125" t="s">
        <v>192</v>
      </c>
      <c r="B3125" t="s">
        <v>170</v>
      </c>
      <c r="C3125" t="s">
        <v>133</v>
      </c>
      <c r="D3125">
        <v>2011</v>
      </c>
      <c r="E3125">
        <v>0</v>
      </c>
      <c r="F3125" t="s">
        <v>193</v>
      </c>
    </row>
    <row r="3126" spans="1:6" x14ac:dyDescent="0.25">
      <c r="A3126" t="s">
        <v>192</v>
      </c>
      <c r="B3126" t="s">
        <v>170</v>
      </c>
      <c r="C3126" t="s">
        <v>133</v>
      </c>
      <c r="D3126">
        <v>2010</v>
      </c>
      <c r="E3126">
        <v>0</v>
      </c>
      <c r="F3126" t="s">
        <v>193</v>
      </c>
    </row>
    <row r="3127" spans="1:6" x14ac:dyDescent="0.25">
      <c r="A3127" t="s">
        <v>192</v>
      </c>
      <c r="B3127" t="s">
        <v>170</v>
      </c>
      <c r="C3127" t="s">
        <v>134</v>
      </c>
      <c r="D3127">
        <v>2014</v>
      </c>
      <c r="E3127">
        <v>1.2699999999999999E-2</v>
      </c>
      <c r="F3127" t="s">
        <v>193</v>
      </c>
    </row>
    <row r="3128" spans="1:6" x14ac:dyDescent="0.25">
      <c r="A3128" t="s">
        <v>192</v>
      </c>
      <c r="B3128" t="s">
        <v>170</v>
      </c>
      <c r="C3128" t="s">
        <v>134</v>
      </c>
      <c r="D3128">
        <v>2013</v>
      </c>
      <c r="E3128">
        <v>8.0000000000000004E-4</v>
      </c>
      <c r="F3128" t="s">
        <v>193</v>
      </c>
    </row>
    <row r="3129" spans="1:6" x14ac:dyDescent="0.25">
      <c r="A3129" t="s">
        <v>192</v>
      </c>
      <c r="B3129" t="s">
        <v>170</v>
      </c>
      <c r="C3129" t="s">
        <v>134</v>
      </c>
      <c r="D3129">
        <v>2012</v>
      </c>
      <c r="E3129">
        <v>1E-3</v>
      </c>
      <c r="F3129" t="s">
        <v>193</v>
      </c>
    </row>
    <row r="3130" spans="1:6" x14ac:dyDescent="0.25">
      <c r="A3130" t="s">
        <v>192</v>
      </c>
      <c r="B3130" t="s">
        <v>170</v>
      </c>
      <c r="C3130" t="s">
        <v>134</v>
      </c>
      <c r="D3130">
        <v>2011</v>
      </c>
      <c r="E3130">
        <v>6.9999999999999999E-4</v>
      </c>
      <c r="F3130" t="s">
        <v>193</v>
      </c>
    </row>
    <row r="3131" spans="1:6" x14ac:dyDescent="0.25">
      <c r="A3131" t="s">
        <v>192</v>
      </c>
      <c r="B3131" t="s">
        <v>170</v>
      </c>
      <c r="C3131" t="s">
        <v>134</v>
      </c>
      <c r="D3131">
        <v>2010</v>
      </c>
      <c r="E3131">
        <v>8.9999999999999998E-4</v>
      </c>
      <c r="F3131" t="s">
        <v>193</v>
      </c>
    </row>
    <row r="3132" spans="1:6" x14ac:dyDescent="0.25">
      <c r="A3132" t="s">
        <v>192</v>
      </c>
      <c r="B3132" t="s">
        <v>170</v>
      </c>
      <c r="C3132" t="s">
        <v>135</v>
      </c>
      <c r="D3132">
        <v>2014</v>
      </c>
      <c r="E3132">
        <v>0</v>
      </c>
      <c r="F3132" t="s">
        <v>193</v>
      </c>
    </row>
    <row r="3133" spans="1:6" x14ac:dyDescent="0.25">
      <c r="A3133" t="s">
        <v>192</v>
      </c>
      <c r="B3133" t="s">
        <v>170</v>
      </c>
      <c r="C3133" t="s">
        <v>135</v>
      </c>
      <c r="D3133">
        <v>2013</v>
      </c>
      <c r="E3133">
        <v>0</v>
      </c>
      <c r="F3133" t="s">
        <v>193</v>
      </c>
    </row>
    <row r="3134" spans="1:6" x14ac:dyDescent="0.25">
      <c r="A3134" t="s">
        <v>192</v>
      </c>
      <c r="B3134" t="s">
        <v>170</v>
      </c>
      <c r="C3134" t="s">
        <v>135</v>
      </c>
      <c r="D3134">
        <v>2012</v>
      </c>
      <c r="E3134">
        <v>0</v>
      </c>
      <c r="F3134" t="s">
        <v>193</v>
      </c>
    </row>
    <row r="3135" spans="1:6" x14ac:dyDescent="0.25">
      <c r="A3135" t="s">
        <v>192</v>
      </c>
      <c r="B3135" t="s">
        <v>170</v>
      </c>
      <c r="C3135" t="s">
        <v>135</v>
      </c>
      <c r="D3135">
        <v>2011</v>
      </c>
      <c r="E3135">
        <v>0</v>
      </c>
      <c r="F3135" t="s">
        <v>193</v>
      </c>
    </row>
    <row r="3136" spans="1:6" x14ac:dyDescent="0.25">
      <c r="A3136" t="s">
        <v>192</v>
      </c>
      <c r="B3136" t="s">
        <v>170</v>
      </c>
      <c r="C3136" t="s">
        <v>135</v>
      </c>
      <c r="D3136">
        <v>2010</v>
      </c>
      <c r="E3136">
        <v>0</v>
      </c>
      <c r="F3136" t="s">
        <v>193</v>
      </c>
    </row>
    <row r="3137" spans="1:6" x14ac:dyDescent="0.25">
      <c r="A3137" t="s">
        <v>192</v>
      </c>
      <c r="B3137" t="s">
        <v>170</v>
      </c>
      <c r="C3137" t="s">
        <v>136</v>
      </c>
      <c r="D3137">
        <v>2014</v>
      </c>
      <c r="E3137">
        <v>0</v>
      </c>
      <c r="F3137" t="s">
        <v>193</v>
      </c>
    </row>
    <row r="3138" spans="1:6" x14ac:dyDescent="0.25">
      <c r="A3138" t="s">
        <v>192</v>
      </c>
      <c r="B3138" t="s">
        <v>170</v>
      </c>
      <c r="C3138" t="s">
        <v>136</v>
      </c>
      <c r="D3138">
        <v>2013</v>
      </c>
      <c r="E3138">
        <v>0</v>
      </c>
      <c r="F3138" t="s">
        <v>193</v>
      </c>
    </row>
    <row r="3139" spans="1:6" x14ac:dyDescent="0.25">
      <c r="A3139" t="s">
        <v>192</v>
      </c>
      <c r="B3139" t="s">
        <v>170</v>
      </c>
      <c r="C3139" t="s">
        <v>136</v>
      </c>
      <c r="D3139">
        <v>2012</v>
      </c>
      <c r="E3139">
        <v>0</v>
      </c>
      <c r="F3139" t="s">
        <v>193</v>
      </c>
    </row>
    <row r="3140" spans="1:6" x14ac:dyDescent="0.25">
      <c r="A3140" t="s">
        <v>192</v>
      </c>
      <c r="B3140" t="s">
        <v>170</v>
      </c>
      <c r="C3140" t="s">
        <v>136</v>
      </c>
      <c r="D3140">
        <v>2011</v>
      </c>
      <c r="E3140">
        <v>0</v>
      </c>
      <c r="F3140" t="s">
        <v>193</v>
      </c>
    </row>
    <row r="3141" spans="1:6" x14ac:dyDescent="0.25">
      <c r="A3141" t="s">
        <v>192</v>
      </c>
      <c r="B3141" t="s">
        <v>170</v>
      </c>
      <c r="C3141" t="s">
        <v>136</v>
      </c>
      <c r="D3141">
        <v>2010</v>
      </c>
      <c r="E3141">
        <v>0</v>
      </c>
      <c r="F3141" t="s">
        <v>193</v>
      </c>
    </row>
    <row r="3142" spans="1:6" x14ac:dyDescent="0.25">
      <c r="A3142" t="s">
        <v>192</v>
      </c>
      <c r="B3142" t="s">
        <v>170</v>
      </c>
      <c r="C3142" t="s">
        <v>137</v>
      </c>
      <c r="D3142">
        <v>2014</v>
      </c>
      <c r="E3142">
        <v>0</v>
      </c>
      <c r="F3142" t="s">
        <v>193</v>
      </c>
    </row>
    <row r="3143" spans="1:6" x14ac:dyDescent="0.25">
      <c r="A3143" t="s">
        <v>192</v>
      </c>
      <c r="B3143" t="s">
        <v>170</v>
      </c>
      <c r="C3143" t="s">
        <v>137</v>
      </c>
      <c r="D3143">
        <v>2013</v>
      </c>
      <c r="E3143">
        <v>0</v>
      </c>
      <c r="F3143" t="s">
        <v>193</v>
      </c>
    </row>
    <row r="3144" spans="1:6" x14ac:dyDescent="0.25">
      <c r="A3144" t="s">
        <v>192</v>
      </c>
      <c r="B3144" t="s">
        <v>170</v>
      </c>
      <c r="C3144" t="s">
        <v>137</v>
      </c>
      <c r="D3144">
        <v>2012</v>
      </c>
      <c r="E3144">
        <v>0</v>
      </c>
      <c r="F3144" t="s">
        <v>193</v>
      </c>
    </row>
    <row r="3145" spans="1:6" x14ac:dyDescent="0.25">
      <c r="A3145" t="s">
        <v>192</v>
      </c>
      <c r="B3145" t="s">
        <v>170</v>
      </c>
      <c r="C3145" t="s">
        <v>137</v>
      </c>
      <c r="D3145">
        <v>2011</v>
      </c>
      <c r="E3145">
        <v>0</v>
      </c>
      <c r="F3145" t="s">
        <v>193</v>
      </c>
    </row>
    <row r="3146" spans="1:6" x14ac:dyDescent="0.25">
      <c r="A3146" t="s">
        <v>192</v>
      </c>
      <c r="B3146" t="s">
        <v>170</v>
      </c>
      <c r="C3146" t="s">
        <v>137</v>
      </c>
      <c r="D3146">
        <v>2010</v>
      </c>
      <c r="E3146">
        <v>0</v>
      </c>
      <c r="F3146" t="s">
        <v>193</v>
      </c>
    </row>
    <row r="3147" spans="1:6" x14ac:dyDescent="0.25">
      <c r="A3147" t="s">
        <v>192</v>
      </c>
      <c r="B3147" t="s">
        <v>170</v>
      </c>
      <c r="C3147" t="s">
        <v>138</v>
      </c>
      <c r="D3147">
        <v>2014</v>
      </c>
      <c r="E3147">
        <v>0</v>
      </c>
      <c r="F3147" t="s">
        <v>193</v>
      </c>
    </row>
    <row r="3148" spans="1:6" x14ac:dyDescent="0.25">
      <c r="A3148" t="s">
        <v>192</v>
      </c>
      <c r="B3148" t="s">
        <v>170</v>
      </c>
      <c r="C3148" t="s">
        <v>138</v>
      </c>
      <c r="D3148">
        <v>2013</v>
      </c>
      <c r="E3148">
        <v>0</v>
      </c>
      <c r="F3148" t="s">
        <v>193</v>
      </c>
    </row>
    <row r="3149" spans="1:6" x14ac:dyDescent="0.25">
      <c r="A3149" t="s">
        <v>192</v>
      </c>
      <c r="B3149" t="s">
        <v>170</v>
      </c>
      <c r="C3149" t="s">
        <v>138</v>
      </c>
      <c r="D3149">
        <v>2012</v>
      </c>
      <c r="E3149">
        <v>0</v>
      </c>
      <c r="F3149" t="s">
        <v>193</v>
      </c>
    </row>
    <row r="3150" spans="1:6" x14ac:dyDescent="0.25">
      <c r="A3150" t="s">
        <v>192</v>
      </c>
      <c r="B3150" t="s">
        <v>170</v>
      </c>
      <c r="C3150" t="s">
        <v>138</v>
      </c>
      <c r="D3150">
        <v>2011</v>
      </c>
      <c r="E3150">
        <v>0</v>
      </c>
      <c r="F3150" t="s">
        <v>193</v>
      </c>
    </row>
    <row r="3151" spans="1:6" x14ac:dyDescent="0.25">
      <c r="A3151" t="s">
        <v>192</v>
      </c>
      <c r="B3151" t="s">
        <v>170</v>
      </c>
      <c r="C3151" t="s">
        <v>138</v>
      </c>
      <c r="D3151">
        <v>2010</v>
      </c>
      <c r="E3151">
        <v>0</v>
      </c>
      <c r="F3151" t="s">
        <v>193</v>
      </c>
    </row>
    <row r="3152" spans="1:6" x14ac:dyDescent="0.25">
      <c r="A3152" t="s">
        <v>192</v>
      </c>
      <c r="B3152" t="s">
        <v>170</v>
      </c>
      <c r="C3152" t="s">
        <v>164</v>
      </c>
      <c r="D3152">
        <v>2014</v>
      </c>
      <c r="E3152">
        <v>0</v>
      </c>
      <c r="F3152" t="s">
        <v>193</v>
      </c>
    </row>
    <row r="3153" spans="1:6" x14ac:dyDescent="0.25">
      <c r="A3153" t="s">
        <v>192</v>
      </c>
      <c r="B3153" t="s">
        <v>170</v>
      </c>
      <c r="C3153" t="s">
        <v>164</v>
      </c>
      <c r="D3153">
        <v>2013</v>
      </c>
      <c r="E3153">
        <v>0</v>
      </c>
      <c r="F3153" t="s">
        <v>193</v>
      </c>
    </row>
    <row r="3154" spans="1:6" x14ac:dyDescent="0.25">
      <c r="A3154" t="s">
        <v>192</v>
      </c>
      <c r="B3154" t="s">
        <v>170</v>
      </c>
      <c r="C3154" t="s">
        <v>164</v>
      </c>
      <c r="D3154">
        <v>2012</v>
      </c>
      <c r="E3154">
        <v>0</v>
      </c>
      <c r="F3154" t="s">
        <v>193</v>
      </c>
    </row>
    <row r="3155" spans="1:6" x14ac:dyDescent="0.25">
      <c r="A3155" t="s">
        <v>192</v>
      </c>
      <c r="B3155" t="s">
        <v>170</v>
      </c>
      <c r="C3155" t="s">
        <v>164</v>
      </c>
      <c r="D3155">
        <v>2011</v>
      </c>
      <c r="E3155">
        <v>0</v>
      </c>
      <c r="F3155" t="s">
        <v>193</v>
      </c>
    </row>
    <row r="3156" spans="1:6" x14ac:dyDescent="0.25">
      <c r="A3156" t="s">
        <v>192</v>
      </c>
      <c r="B3156" t="s">
        <v>170</v>
      </c>
      <c r="C3156" t="s">
        <v>164</v>
      </c>
      <c r="D3156">
        <v>2010</v>
      </c>
      <c r="E3156">
        <v>0</v>
      </c>
      <c r="F3156" t="s">
        <v>193</v>
      </c>
    </row>
    <row r="3157" spans="1:6" x14ac:dyDescent="0.25">
      <c r="A3157" t="s">
        <v>192</v>
      </c>
      <c r="B3157" t="s">
        <v>170</v>
      </c>
      <c r="C3157" t="s">
        <v>139</v>
      </c>
      <c r="D3157">
        <v>2014</v>
      </c>
      <c r="E3157">
        <v>0</v>
      </c>
      <c r="F3157" t="s">
        <v>193</v>
      </c>
    </row>
    <row r="3158" spans="1:6" x14ac:dyDescent="0.25">
      <c r="A3158" t="s">
        <v>192</v>
      </c>
      <c r="B3158" t="s">
        <v>170</v>
      </c>
      <c r="C3158" t="s">
        <v>139</v>
      </c>
      <c r="D3158">
        <v>2013</v>
      </c>
      <c r="E3158">
        <v>0</v>
      </c>
      <c r="F3158" t="s">
        <v>193</v>
      </c>
    </row>
    <row r="3159" spans="1:6" x14ac:dyDescent="0.25">
      <c r="A3159" t="s">
        <v>192</v>
      </c>
      <c r="B3159" t="s">
        <v>170</v>
      </c>
      <c r="C3159" t="s">
        <v>139</v>
      </c>
      <c r="D3159">
        <v>2012</v>
      </c>
      <c r="E3159">
        <v>0</v>
      </c>
      <c r="F3159" t="s">
        <v>193</v>
      </c>
    </row>
    <row r="3160" spans="1:6" x14ac:dyDescent="0.25">
      <c r="A3160" t="s">
        <v>192</v>
      </c>
      <c r="B3160" t="s">
        <v>170</v>
      </c>
      <c r="C3160" t="s">
        <v>139</v>
      </c>
      <c r="D3160">
        <v>2011</v>
      </c>
      <c r="E3160">
        <v>0</v>
      </c>
      <c r="F3160" t="s">
        <v>193</v>
      </c>
    </row>
    <row r="3161" spans="1:6" x14ac:dyDescent="0.25">
      <c r="A3161" t="s">
        <v>192</v>
      </c>
      <c r="B3161" t="s">
        <v>170</v>
      </c>
      <c r="C3161" t="s">
        <v>139</v>
      </c>
      <c r="D3161">
        <v>2010</v>
      </c>
      <c r="E3161">
        <v>0</v>
      </c>
      <c r="F3161" t="s">
        <v>193</v>
      </c>
    </row>
    <row r="3162" spans="1:6" x14ac:dyDescent="0.25">
      <c r="A3162" t="s">
        <v>192</v>
      </c>
      <c r="B3162" t="s">
        <v>170</v>
      </c>
      <c r="C3162" t="s">
        <v>165</v>
      </c>
      <c r="D3162">
        <v>2014</v>
      </c>
      <c r="E3162">
        <v>0</v>
      </c>
      <c r="F3162" t="s">
        <v>193</v>
      </c>
    </row>
    <row r="3163" spans="1:6" x14ac:dyDescent="0.25">
      <c r="A3163" t="s">
        <v>192</v>
      </c>
      <c r="B3163" t="s">
        <v>170</v>
      </c>
      <c r="C3163" t="s">
        <v>165</v>
      </c>
      <c r="D3163">
        <v>2013</v>
      </c>
      <c r="E3163">
        <v>0</v>
      </c>
      <c r="F3163" t="s">
        <v>193</v>
      </c>
    </row>
    <row r="3164" spans="1:6" x14ac:dyDescent="0.25">
      <c r="A3164" t="s">
        <v>192</v>
      </c>
      <c r="B3164" t="s">
        <v>170</v>
      </c>
      <c r="C3164" t="s">
        <v>165</v>
      </c>
      <c r="D3164">
        <v>2012</v>
      </c>
      <c r="E3164">
        <v>0</v>
      </c>
      <c r="F3164" t="s">
        <v>193</v>
      </c>
    </row>
    <row r="3165" spans="1:6" x14ac:dyDescent="0.25">
      <c r="A3165" t="s">
        <v>192</v>
      </c>
      <c r="B3165" t="s">
        <v>170</v>
      </c>
      <c r="C3165" t="s">
        <v>165</v>
      </c>
      <c r="D3165">
        <v>2011</v>
      </c>
      <c r="E3165">
        <v>0</v>
      </c>
      <c r="F3165" t="s">
        <v>193</v>
      </c>
    </row>
    <row r="3166" spans="1:6" x14ac:dyDescent="0.25">
      <c r="A3166" t="s">
        <v>192</v>
      </c>
      <c r="B3166" t="s">
        <v>170</v>
      </c>
      <c r="C3166" t="s">
        <v>165</v>
      </c>
      <c r="D3166">
        <v>2010</v>
      </c>
      <c r="E3166">
        <v>0</v>
      </c>
      <c r="F3166" t="s">
        <v>193</v>
      </c>
    </row>
    <row r="3167" spans="1:6" x14ac:dyDescent="0.25">
      <c r="A3167" t="s">
        <v>192</v>
      </c>
      <c r="B3167" t="s">
        <v>170</v>
      </c>
      <c r="C3167" t="s">
        <v>140</v>
      </c>
      <c r="D3167">
        <v>2014</v>
      </c>
      <c r="E3167">
        <v>0</v>
      </c>
      <c r="F3167" t="s">
        <v>193</v>
      </c>
    </row>
    <row r="3168" spans="1:6" x14ac:dyDescent="0.25">
      <c r="A3168" t="s">
        <v>192</v>
      </c>
      <c r="B3168" t="s">
        <v>170</v>
      </c>
      <c r="C3168" t="s">
        <v>140</v>
      </c>
      <c r="D3168">
        <v>2013</v>
      </c>
      <c r="E3168">
        <v>0</v>
      </c>
      <c r="F3168" t="s">
        <v>193</v>
      </c>
    </row>
    <row r="3169" spans="1:6" x14ac:dyDescent="0.25">
      <c r="A3169" t="s">
        <v>192</v>
      </c>
      <c r="B3169" t="s">
        <v>170</v>
      </c>
      <c r="C3169" t="s">
        <v>140</v>
      </c>
      <c r="D3169">
        <v>2012</v>
      </c>
      <c r="E3169">
        <v>0</v>
      </c>
      <c r="F3169" t="s">
        <v>193</v>
      </c>
    </row>
    <row r="3170" spans="1:6" x14ac:dyDescent="0.25">
      <c r="A3170" t="s">
        <v>192</v>
      </c>
      <c r="B3170" t="s">
        <v>170</v>
      </c>
      <c r="C3170" t="s">
        <v>140</v>
      </c>
      <c r="D3170">
        <v>2011</v>
      </c>
      <c r="E3170">
        <v>0</v>
      </c>
      <c r="F3170" t="s">
        <v>193</v>
      </c>
    </row>
    <row r="3171" spans="1:6" x14ac:dyDescent="0.25">
      <c r="A3171" t="s">
        <v>192</v>
      </c>
      <c r="B3171" t="s">
        <v>170</v>
      </c>
      <c r="C3171" t="s">
        <v>140</v>
      </c>
      <c r="D3171">
        <v>2010</v>
      </c>
      <c r="E3171">
        <v>0</v>
      </c>
      <c r="F3171" t="s">
        <v>193</v>
      </c>
    </row>
    <row r="3172" spans="1:6" x14ac:dyDescent="0.25">
      <c r="A3172" t="s">
        <v>192</v>
      </c>
      <c r="B3172" t="s">
        <v>170</v>
      </c>
      <c r="C3172" t="s">
        <v>141</v>
      </c>
      <c r="D3172">
        <v>2014</v>
      </c>
      <c r="E3172">
        <v>0.1472</v>
      </c>
      <c r="F3172" t="s">
        <v>193</v>
      </c>
    </row>
    <row r="3173" spans="1:6" x14ac:dyDescent="0.25">
      <c r="A3173" t="s">
        <v>192</v>
      </c>
      <c r="B3173" t="s">
        <v>170</v>
      </c>
      <c r="C3173" t="s">
        <v>141</v>
      </c>
      <c r="D3173">
        <v>2013</v>
      </c>
      <c r="E3173">
        <v>0.2576</v>
      </c>
      <c r="F3173" t="s">
        <v>193</v>
      </c>
    </row>
    <row r="3174" spans="1:6" x14ac:dyDescent="0.25">
      <c r="A3174" t="s">
        <v>192</v>
      </c>
      <c r="B3174" t="s">
        <v>170</v>
      </c>
      <c r="C3174" t="s">
        <v>141</v>
      </c>
      <c r="D3174">
        <v>2012</v>
      </c>
      <c r="E3174">
        <v>0</v>
      </c>
      <c r="F3174" t="s">
        <v>193</v>
      </c>
    </row>
    <row r="3175" spans="1:6" x14ac:dyDescent="0.25">
      <c r="A3175" t="s">
        <v>192</v>
      </c>
      <c r="B3175" t="s">
        <v>170</v>
      </c>
      <c r="C3175" t="s">
        <v>141</v>
      </c>
      <c r="D3175">
        <v>2011</v>
      </c>
      <c r="E3175">
        <v>0</v>
      </c>
      <c r="F3175" t="s">
        <v>193</v>
      </c>
    </row>
    <row r="3176" spans="1:6" x14ac:dyDescent="0.25">
      <c r="A3176" t="s">
        <v>192</v>
      </c>
      <c r="B3176" t="s">
        <v>170</v>
      </c>
      <c r="C3176" t="s">
        <v>141</v>
      </c>
      <c r="D3176">
        <v>2010</v>
      </c>
      <c r="E3176">
        <v>0</v>
      </c>
      <c r="F3176" t="s">
        <v>193</v>
      </c>
    </row>
    <row r="3177" spans="1:6" x14ac:dyDescent="0.25">
      <c r="A3177" t="s">
        <v>192</v>
      </c>
      <c r="B3177" t="s">
        <v>170</v>
      </c>
      <c r="C3177" t="s">
        <v>142</v>
      </c>
      <c r="D3177">
        <v>2014</v>
      </c>
      <c r="E3177">
        <v>0</v>
      </c>
      <c r="F3177" t="s">
        <v>193</v>
      </c>
    </row>
    <row r="3178" spans="1:6" x14ac:dyDescent="0.25">
      <c r="A3178" t="s">
        <v>192</v>
      </c>
      <c r="B3178" t="s">
        <v>170</v>
      </c>
      <c r="C3178" t="s">
        <v>142</v>
      </c>
      <c r="D3178">
        <v>2013</v>
      </c>
      <c r="E3178">
        <v>0</v>
      </c>
      <c r="F3178" t="s">
        <v>193</v>
      </c>
    </row>
    <row r="3179" spans="1:6" x14ac:dyDescent="0.25">
      <c r="A3179" t="s">
        <v>192</v>
      </c>
      <c r="B3179" t="s">
        <v>170</v>
      </c>
      <c r="C3179" t="s">
        <v>142</v>
      </c>
      <c r="D3179">
        <v>2012</v>
      </c>
      <c r="E3179">
        <v>0</v>
      </c>
      <c r="F3179" t="s">
        <v>193</v>
      </c>
    </row>
    <row r="3180" spans="1:6" x14ac:dyDescent="0.25">
      <c r="A3180" t="s">
        <v>192</v>
      </c>
      <c r="B3180" t="s">
        <v>170</v>
      </c>
      <c r="C3180" t="s">
        <v>142</v>
      </c>
      <c r="D3180">
        <v>2011</v>
      </c>
      <c r="E3180">
        <v>0</v>
      </c>
      <c r="F3180" t="s">
        <v>193</v>
      </c>
    </row>
    <row r="3181" spans="1:6" x14ac:dyDescent="0.25">
      <c r="A3181" t="s">
        <v>192</v>
      </c>
      <c r="B3181" t="s">
        <v>170</v>
      </c>
      <c r="C3181" t="s">
        <v>142</v>
      </c>
      <c r="D3181">
        <v>2010</v>
      </c>
      <c r="E3181">
        <v>0</v>
      </c>
      <c r="F3181" t="s">
        <v>193</v>
      </c>
    </row>
    <row r="3182" spans="1:6" x14ac:dyDescent="0.25">
      <c r="A3182" t="s">
        <v>192</v>
      </c>
      <c r="B3182" t="s">
        <v>170</v>
      </c>
      <c r="C3182" t="s">
        <v>166</v>
      </c>
      <c r="D3182">
        <v>2014</v>
      </c>
      <c r="E3182">
        <v>0</v>
      </c>
      <c r="F3182" t="s">
        <v>193</v>
      </c>
    </row>
    <row r="3183" spans="1:6" x14ac:dyDescent="0.25">
      <c r="A3183" t="s">
        <v>192</v>
      </c>
      <c r="B3183" t="s">
        <v>170</v>
      </c>
      <c r="C3183" t="s">
        <v>166</v>
      </c>
      <c r="D3183">
        <v>2013</v>
      </c>
      <c r="E3183">
        <v>0</v>
      </c>
      <c r="F3183" t="s">
        <v>193</v>
      </c>
    </row>
    <row r="3184" spans="1:6" x14ac:dyDescent="0.25">
      <c r="A3184" t="s">
        <v>192</v>
      </c>
      <c r="B3184" t="s">
        <v>170</v>
      </c>
      <c r="C3184" t="s">
        <v>166</v>
      </c>
      <c r="D3184">
        <v>2012</v>
      </c>
      <c r="E3184">
        <v>0</v>
      </c>
      <c r="F3184" t="s">
        <v>193</v>
      </c>
    </row>
    <row r="3185" spans="1:6" x14ac:dyDescent="0.25">
      <c r="A3185" t="s">
        <v>192</v>
      </c>
      <c r="B3185" t="s">
        <v>170</v>
      </c>
      <c r="C3185" t="s">
        <v>166</v>
      </c>
      <c r="D3185">
        <v>2011</v>
      </c>
      <c r="E3185">
        <v>0</v>
      </c>
      <c r="F3185" t="s">
        <v>193</v>
      </c>
    </row>
    <row r="3186" spans="1:6" x14ac:dyDescent="0.25">
      <c r="A3186" t="s">
        <v>192</v>
      </c>
      <c r="B3186" t="s">
        <v>170</v>
      </c>
      <c r="C3186" t="s">
        <v>166</v>
      </c>
      <c r="D3186">
        <v>2010</v>
      </c>
      <c r="E3186">
        <v>0</v>
      </c>
      <c r="F3186" t="s">
        <v>193</v>
      </c>
    </row>
    <row r="3187" spans="1:6" x14ac:dyDescent="0.25">
      <c r="A3187" t="s">
        <v>192</v>
      </c>
      <c r="B3187" t="s">
        <v>170</v>
      </c>
      <c r="C3187" t="s">
        <v>143</v>
      </c>
      <c r="D3187">
        <v>2014</v>
      </c>
      <c r="E3187">
        <v>0</v>
      </c>
      <c r="F3187" t="s">
        <v>193</v>
      </c>
    </row>
    <row r="3188" spans="1:6" x14ac:dyDescent="0.25">
      <c r="A3188" t="s">
        <v>192</v>
      </c>
      <c r="B3188" t="s">
        <v>170</v>
      </c>
      <c r="C3188" t="s">
        <v>143</v>
      </c>
      <c r="D3188">
        <v>2013</v>
      </c>
      <c r="E3188">
        <v>0</v>
      </c>
      <c r="F3188" t="s">
        <v>193</v>
      </c>
    </row>
    <row r="3189" spans="1:6" x14ac:dyDescent="0.25">
      <c r="A3189" t="s">
        <v>192</v>
      </c>
      <c r="B3189" t="s">
        <v>170</v>
      </c>
      <c r="C3189" t="s">
        <v>143</v>
      </c>
      <c r="D3189">
        <v>2012</v>
      </c>
      <c r="E3189">
        <v>0</v>
      </c>
      <c r="F3189" t="s">
        <v>193</v>
      </c>
    </row>
    <row r="3190" spans="1:6" x14ac:dyDescent="0.25">
      <c r="A3190" t="s">
        <v>192</v>
      </c>
      <c r="B3190" t="s">
        <v>170</v>
      </c>
      <c r="C3190" t="s">
        <v>143</v>
      </c>
      <c r="D3190">
        <v>2011</v>
      </c>
      <c r="E3190">
        <v>0</v>
      </c>
      <c r="F3190" t="s">
        <v>193</v>
      </c>
    </row>
    <row r="3191" spans="1:6" x14ac:dyDescent="0.25">
      <c r="A3191" t="s">
        <v>192</v>
      </c>
      <c r="B3191" t="s">
        <v>170</v>
      </c>
      <c r="C3191" t="s">
        <v>143</v>
      </c>
      <c r="D3191">
        <v>2010</v>
      </c>
      <c r="E3191">
        <v>0</v>
      </c>
      <c r="F3191" t="s">
        <v>193</v>
      </c>
    </row>
    <row r="3192" spans="1:6" x14ac:dyDescent="0.25">
      <c r="A3192" t="s">
        <v>192</v>
      </c>
      <c r="B3192" t="s">
        <v>170</v>
      </c>
      <c r="C3192" t="s">
        <v>144</v>
      </c>
      <c r="D3192">
        <v>2014</v>
      </c>
      <c r="E3192">
        <v>0</v>
      </c>
      <c r="F3192" t="s">
        <v>193</v>
      </c>
    </row>
    <row r="3193" spans="1:6" x14ac:dyDescent="0.25">
      <c r="A3193" t="s">
        <v>192</v>
      </c>
      <c r="B3193" t="s">
        <v>170</v>
      </c>
      <c r="C3193" t="s">
        <v>144</v>
      </c>
      <c r="D3193">
        <v>2013</v>
      </c>
      <c r="E3193">
        <v>0</v>
      </c>
      <c r="F3193" t="s">
        <v>193</v>
      </c>
    </row>
    <row r="3194" spans="1:6" x14ac:dyDescent="0.25">
      <c r="A3194" t="s">
        <v>192</v>
      </c>
      <c r="B3194" t="s">
        <v>170</v>
      </c>
      <c r="C3194" t="s">
        <v>144</v>
      </c>
      <c r="D3194">
        <v>2012</v>
      </c>
      <c r="E3194">
        <v>0</v>
      </c>
      <c r="F3194" t="s">
        <v>193</v>
      </c>
    </row>
    <row r="3195" spans="1:6" x14ac:dyDescent="0.25">
      <c r="A3195" t="s">
        <v>192</v>
      </c>
      <c r="B3195" t="s">
        <v>170</v>
      </c>
      <c r="C3195" t="s">
        <v>144</v>
      </c>
      <c r="D3195">
        <v>2011</v>
      </c>
      <c r="E3195">
        <v>0</v>
      </c>
      <c r="F3195" t="s">
        <v>193</v>
      </c>
    </row>
    <row r="3196" spans="1:6" x14ac:dyDescent="0.25">
      <c r="A3196" t="s">
        <v>192</v>
      </c>
      <c r="B3196" t="s">
        <v>170</v>
      </c>
      <c r="C3196" t="s">
        <v>144</v>
      </c>
      <c r="D3196">
        <v>2010</v>
      </c>
      <c r="E3196">
        <v>0</v>
      </c>
      <c r="F3196" t="s">
        <v>193</v>
      </c>
    </row>
    <row r="3197" spans="1:6" x14ac:dyDescent="0.25">
      <c r="A3197" t="s">
        <v>192</v>
      </c>
      <c r="B3197" t="s">
        <v>170</v>
      </c>
      <c r="C3197" t="s">
        <v>145</v>
      </c>
      <c r="D3197">
        <v>2014</v>
      </c>
      <c r="E3197">
        <v>1.8480000000000001</v>
      </c>
      <c r="F3197" t="s">
        <v>193</v>
      </c>
    </row>
    <row r="3198" spans="1:6" x14ac:dyDescent="0.25">
      <c r="A3198" t="s">
        <v>192</v>
      </c>
      <c r="B3198" t="s">
        <v>170</v>
      </c>
      <c r="C3198" t="s">
        <v>145</v>
      </c>
      <c r="D3198">
        <v>2013</v>
      </c>
      <c r="E3198">
        <v>3.234</v>
      </c>
      <c r="F3198" t="s">
        <v>193</v>
      </c>
    </row>
    <row r="3199" spans="1:6" x14ac:dyDescent="0.25">
      <c r="A3199" t="s">
        <v>192</v>
      </c>
      <c r="B3199" t="s">
        <v>170</v>
      </c>
      <c r="C3199" t="s">
        <v>145</v>
      </c>
      <c r="D3199">
        <v>2012</v>
      </c>
      <c r="E3199">
        <v>4.4542000000000002</v>
      </c>
      <c r="F3199" t="s">
        <v>193</v>
      </c>
    </row>
    <row r="3200" spans="1:6" x14ac:dyDescent="0.25">
      <c r="A3200" t="s">
        <v>192</v>
      </c>
      <c r="B3200" t="s">
        <v>170</v>
      </c>
      <c r="C3200" t="s">
        <v>145</v>
      </c>
      <c r="D3200">
        <v>2011</v>
      </c>
      <c r="E3200">
        <v>3.6120000000000001</v>
      </c>
      <c r="F3200" t="s">
        <v>193</v>
      </c>
    </row>
    <row r="3201" spans="1:6" x14ac:dyDescent="0.25">
      <c r="A3201" t="s">
        <v>192</v>
      </c>
      <c r="B3201" t="s">
        <v>170</v>
      </c>
      <c r="C3201" t="s">
        <v>145</v>
      </c>
      <c r="D3201">
        <v>2010</v>
      </c>
      <c r="E3201">
        <v>7.2824</v>
      </c>
      <c r="F3201" t="s">
        <v>193</v>
      </c>
    </row>
    <row r="3202" spans="1:6" x14ac:dyDescent="0.25">
      <c r="A3202" t="s">
        <v>192</v>
      </c>
      <c r="B3202" t="s">
        <v>170</v>
      </c>
      <c r="C3202" t="s">
        <v>146</v>
      </c>
      <c r="D3202">
        <v>2014</v>
      </c>
      <c r="E3202">
        <v>0</v>
      </c>
      <c r="F3202" t="s">
        <v>193</v>
      </c>
    </row>
    <row r="3203" spans="1:6" x14ac:dyDescent="0.25">
      <c r="A3203" t="s">
        <v>192</v>
      </c>
      <c r="B3203" t="s">
        <v>170</v>
      </c>
      <c r="C3203" t="s">
        <v>146</v>
      </c>
      <c r="D3203">
        <v>2013</v>
      </c>
      <c r="E3203">
        <v>0</v>
      </c>
      <c r="F3203" t="s">
        <v>193</v>
      </c>
    </row>
    <row r="3204" spans="1:6" x14ac:dyDescent="0.25">
      <c r="A3204" t="s">
        <v>192</v>
      </c>
      <c r="B3204" t="s">
        <v>170</v>
      </c>
      <c r="C3204" t="s">
        <v>146</v>
      </c>
      <c r="D3204">
        <v>2012</v>
      </c>
      <c r="E3204">
        <v>0</v>
      </c>
      <c r="F3204" t="s">
        <v>193</v>
      </c>
    </row>
    <row r="3205" spans="1:6" x14ac:dyDescent="0.25">
      <c r="A3205" t="s">
        <v>192</v>
      </c>
      <c r="B3205" t="s">
        <v>170</v>
      </c>
      <c r="C3205" t="s">
        <v>146</v>
      </c>
      <c r="D3205">
        <v>2011</v>
      </c>
      <c r="E3205">
        <v>0</v>
      </c>
      <c r="F3205" t="s">
        <v>193</v>
      </c>
    </row>
    <row r="3206" spans="1:6" x14ac:dyDescent="0.25">
      <c r="A3206" t="s">
        <v>192</v>
      </c>
      <c r="B3206" t="s">
        <v>170</v>
      </c>
      <c r="C3206" t="s">
        <v>146</v>
      </c>
      <c r="D3206">
        <v>2010</v>
      </c>
      <c r="E3206">
        <v>0</v>
      </c>
      <c r="F3206" t="s">
        <v>193</v>
      </c>
    </row>
    <row r="3207" spans="1:6" x14ac:dyDescent="0.25">
      <c r="A3207" t="s">
        <v>192</v>
      </c>
      <c r="B3207" t="s">
        <v>170</v>
      </c>
      <c r="C3207" t="s">
        <v>147</v>
      </c>
      <c r="D3207">
        <v>2014</v>
      </c>
      <c r="E3207">
        <v>0</v>
      </c>
      <c r="F3207" t="s">
        <v>193</v>
      </c>
    </row>
    <row r="3208" spans="1:6" x14ac:dyDescent="0.25">
      <c r="A3208" t="s">
        <v>192</v>
      </c>
      <c r="B3208" t="s">
        <v>170</v>
      </c>
      <c r="C3208" t="s">
        <v>147</v>
      </c>
      <c r="D3208">
        <v>2013</v>
      </c>
      <c r="E3208">
        <v>0</v>
      </c>
      <c r="F3208" t="s">
        <v>193</v>
      </c>
    </row>
    <row r="3209" spans="1:6" x14ac:dyDescent="0.25">
      <c r="A3209" t="s">
        <v>192</v>
      </c>
      <c r="B3209" t="s">
        <v>170</v>
      </c>
      <c r="C3209" t="s">
        <v>147</v>
      </c>
      <c r="D3209">
        <v>2012</v>
      </c>
      <c r="E3209">
        <v>0</v>
      </c>
      <c r="F3209" t="s">
        <v>193</v>
      </c>
    </row>
    <row r="3210" spans="1:6" x14ac:dyDescent="0.25">
      <c r="A3210" t="s">
        <v>192</v>
      </c>
      <c r="B3210" t="s">
        <v>170</v>
      </c>
      <c r="C3210" t="s">
        <v>147</v>
      </c>
      <c r="D3210">
        <v>2011</v>
      </c>
      <c r="E3210">
        <v>0</v>
      </c>
      <c r="F3210" t="s">
        <v>193</v>
      </c>
    </row>
    <row r="3211" spans="1:6" x14ac:dyDescent="0.25">
      <c r="A3211" t="s">
        <v>192</v>
      </c>
      <c r="B3211" t="s">
        <v>170</v>
      </c>
      <c r="C3211" t="s">
        <v>147</v>
      </c>
      <c r="D3211">
        <v>2010</v>
      </c>
      <c r="E3211">
        <v>0</v>
      </c>
      <c r="F3211" t="s">
        <v>193</v>
      </c>
    </row>
    <row r="3212" spans="1:6" x14ac:dyDescent="0.25">
      <c r="A3212" t="s">
        <v>192</v>
      </c>
      <c r="B3212" t="s">
        <v>170</v>
      </c>
      <c r="C3212" t="s">
        <v>167</v>
      </c>
      <c r="D3212">
        <v>2014</v>
      </c>
      <c r="E3212">
        <v>0</v>
      </c>
      <c r="F3212" t="s">
        <v>193</v>
      </c>
    </row>
    <row r="3213" spans="1:6" x14ac:dyDescent="0.25">
      <c r="A3213" t="s">
        <v>192</v>
      </c>
      <c r="B3213" t="s">
        <v>170</v>
      </c>
      <c r="C3213" t="s">
        <v>167</v>
      </c>
      <c r="D3213">
        <v>2013</v>
      </c>
      <c r="E3213">
        <v>0</v>
      </c>
      <c r="F3213" t="s">
        <v>193</v>
      </c>
    </row>
    <row r="3214" spans="1:6" x14ac:dyDescent="0.25">
      <c r="A3214" t="s">
        <v>192</v>
      </c>
      <c r="B3214" t="s">
        <v>170</v>
      </c>
      <c r="C3214" t="s">
        <v>167</v>
      </c>
      <c r="D3214">
        <v>2012</v>
      </c>
      <c r="E3214">
        <v>0</v>
      </c>
      <c r="F3214" t="s">
        <v>193</v>
      </c>
    </row>
    <row r="3215" spans="1:6" x14ac:dyDescent="0.25">
      <c r="A3215" t="s">
        <v>192</v>
      </c>
      <c r="B3215" t="s">
        <v>170</v>
      </c>
      <c r="C3215" t="s">
        <v>167</v>
      </c>
      <c r="D3215">
        <v>2011</v>
      </c>
      <c r="E3215">
        <v>0</v>
      </c>
      <c r="F3215" t="s">
        <v>193</v>
      </c>
    </row>
    <row r="3216" spans="1:6" x14ac:dyDescent="0.25">
      <c r="A3216" t="s">
        <v>192</v>
      </c>
      <c r="B3216" t="s">
        <v>170</v>
      </c>
      <c r="C3216" t="s">
        <v>167</v>
      </c>
      <c r="D3216">
        <v>2010</v>
      </c>
      <c r="E3216">
        <v>0</v>
      </c>
      <c r="F3216" t="s">
        <v>193</v>
      </c>
    </row>
    <row r="3217" spans="1:6" x14ac:dyDescent="0.25">
      <c r="A3217" t="s">
        <v>192</v>
      </c>
      <c r="B3217" t="s">
        <v>170</v>
      </c>
      <c r="C3217" t="s">
        <v>168</v>
      </c>
      <c r="D3217">
        <v>2014</v>
      </c>
      <c r="E3217">
        <v>0</v>
      </c>
      <c r="F3217" t="s">
        <v>193</v>
      </c>
    </row>
    <row r="3218" spans="1:6" x14ac:dyDescent="0.25">
      <c r="A3218" t="s">
        <v>192</v>
      </c>
      <c r="B3218" t="s">
        <v>170</v>
      </c>
      <c r="C3218" t="s">
        <v>168</v>
      </c>
      <c r="D3218">
        <v>2013</v>
      </c>
      <c r="E3218">
        <v>0</v>
      </c>
      <c r="F3218" t="s">
        <v>193</v>
      </c>
    </row>
    <row r="3219" spans="1:6" x14ac:dyDescent="0.25">
      <c r="A3219" t="s">
        <v>192</v>
      </c>
      <c r="B3219" t="s">
        <v>170</v>
      </c>
      <c r="C3219" t="s">
        <v>168</v>
      </c>
      <c r="D3219">
        <v>2012</v>
      </c>
      <c r="E3219">
        <v>0</v>
      </c>
      <c r="F3219" t="s">
        <v>193</v>
      </c>
    </row>
    <row r="3220" spans="1:6" x14ac:dyDescent="0.25">
      <c r="A3220" t="s">
        <v>192</v>
      </c>
      <c r="B3220" t="s">
        <v>170</v>
      </c>
      <c r="C3220" t="s">
        <v>168</v>
      </c>
      <c r="D3220">
        <v>2011</v>
      </c>
      <c r="E3220">
        <v>0</v>
      </c>
      <c r="F3220" t="s">
        <v>193</v>
      </c>
    </row>
    <row r="3221" spans="1:6" x14ac:dyDescent="0.25">
      <c r="A3221" t="s">
        <v>192</v>
      </c>
      <c r="B3221" t="s">
        <v>170</v>
      </c>
      <c r="C3221" t="s">
        <v>168</v>
      </c>
      <c r="D3221">
        <v>2010</v>
      </c>
      <c r="E3221">
        <v>0</v>
      </c>
      <c r="F3221" t="s">
        <v>193</v>
      </c>
    </row>
    <row r="3222" spans="1:6" x14ac:dyDescent="0.25">
      <c r="A3222" t="s">
        <v>192</v>
      </c>
      <c r="B3222" t="s">
        <v>170</v>
      </c>
      <c r="C3222" t="s">
        <v>148</v>
      </c>
      <c r="D3222">
        <v>2014</v>
      </c>
      <c r="E3222">
        <v>0</v>
      </c>
      <c r="F3222" t="s">
        <v>193</v>
      </c>
    </row>
    <row r="3223" spans="1:6" x14ac:dyDescent="0.25">
      <c r="A3223" t="s">
        <v>192</v>
      </c>
      <c r="B3223" t="s">
        <v>170</v>
      </c>
      <c r="C3223" t="s">
        <v>148</v>
      </c>
      <c r="D3223">
        <v>2013</v>
      </c>
      <c r="E3223">
        <v>0</v>
      </c>
      <c r="F3223" t="s">
        <v>193</v>
      </c>
    </row>
    <row r="3224" spans="1:6" x14ac:dyDescent="0.25">
      <c r="A3224" t="s">
        <v>192</v>
      </c>
      <c r="B3224" t="s">
        <v>170</v>
      </c>
      <c r="C3224" t="s">
        <v>148</v>
      </c>
      <c r="D3224">
        <v>2012</v>
      </c>
      <c r="E3224">
        <v>0</v>
      </c>
      <c r="F3224" t="s">
        <v>193</v>
      </c>
    </row>
    <row r="3225" spans="1:6" x14ac:dyDescent="0.25">
      <c r="A3225" t="s">
        <v>192</v>
      </c>
      <c r="B3225" t="s">
        <v>170</v>
      </c>
      <c r="C3225" t="s">
        <v>148</v>
      </c>
      <c r="D3225">
        <v>2011</v>
      </c>
      <c r="E3225">
        <v>0</v>
      </c>
      <c r="F3225" t="s">
        <v>193</v>
      </c>
    </row>
    <row r="3226" spans="1:6" x14ac:dyDescent="0.25">
      <c r="A3226" t="s">
        <v>192</v>
      </c>
      <c r="B3226" t="s">
        <v>170</v>
      </c>
      <c r="C3226" t="s">
        <v>148</v>
      </c>
      <c r="D3226">
        <v>2010</v>
      </c>
      <c r="E3226">
        <v>0</v>
      </c>
      <c r="F3226" t="s">
        <v>193</v>
      </c>
    </row>
    <row r="3227" spans="1:6" x14ac:dyDescent="0.25">
      <c r="A3227" t="s">
        <v>192</v>
      </c>
      <c r="B3227" t="s">
        <v>170</v>
      </c>
      <c r="C3227" t="s">
        <v>149</v>
      </c>
      <c r="D3227">
        <v>2014</v>
      </c>
      <c r="E3227">
        <v>0</v>
      </c>
      <c r="F3227" t="s">
        <v>193</v>
      </c>
    </row>
    <row r="3228" spans="1:6" x14ac:dyDescent="0.25">
      <c r="A3228" t="s">
        <v>192</v>
      </c>
      <c r="B3228" t="s">
        <v>170</v>
      </c>
      <c r="C3228" t="s">
        <v>149</v>
      </c>
      <c r="D3228">
        <v>2013</v>
      </c>
      <c r="E3228">
        <v>0</v>
      </c>
      <c r="F3228" t="s">
        <v>193</v>
      </c>
    </row>
    <row r="3229" spans="1:6" x14ac:dyDescent="0.25">
      <c r="A3229" t="s">
        <v>192</v>
      </c>
      <c r="B3229" t="s">
        <v>170</v>
      </c>
      <c r="C3229" t="s">
        <v>149</v>
      </c>
      <c r="D3229">
        <v>2012</v>
      </c>
      <c r="E3229">
        <v>0</v>
      </c>
      <c r="F3229" t="s">
        <v>193</v>
      </c>
    </row>
    <row r="3230" spans="1:6" x14ac:dyDescent="0.25">
      <c r="A3230" t="s">
        <v>192</v>
      </c>
      <c r="B3230" t="s">
        <v>170</v>
      </c>
      <c r="C3230" t="s">
        <v>149</v>
      </c>
      <c r="D3230">
        <v>2011</v>
      </c>
      <c r="E3230">
        <v>0</v>
      </c>
      <c r="F3230" t="s">
        <v>193</v>
      </c>
    </row>
    <row r="3231" spans="1:6" x14ac:dyDescent="0.25">
      <c r="A3231" t="s">
        <v>192</v>
      </c>
      <c r="B3231" t="s">
        <v>170</v>
      </c>
      <c r="C3231" t="s">
        <v>149</v>
      </c>
      <c r="D3231">
        <v>2010</v>
      </c>
      <c r="E3231">
        <v>0</v>
      </c>
      <c r="F3231" t="s">
        <v>193</v>
      </c>
    </row>
    <row r="3232" spans="1:6" x14ac:dyDescent="0.25">
      <c r="A3232" t="s">
        <v>192</v>
      </c>
      <c r="B3232" t="s">
        <v>170</v>
      </c>
      <c r="C3232" t="s">
        <v>121</v>
      </c>
      <c r="D3232">
        <v>2014</v>
      </c>
      <c r="E3232">
        <v>0</v>
      </c>
      <c r="F3232" t="s">
        <v>183</v>
      </c>
    </row>
    <row r="3233" spans="1:6" x14ac:dyDescent="0.25">
      <c r="A3233" t="s">
        <v>192</v>
      </c>
      <c r="B3233" t="s">
        <v>170</v>
      </c>
      <c r="C3233" t="s">
        <v>121</v>
      </c>
      <c r="D3233">
        <v>2013</v>
      </c>
      <c r="E3233">
        <v>0</v>
      </c>
      <c r="F3233" t="s">
        <v>183</v>
      </c>
    </row>
    <row r="3234" spans="1:6" x14ac:dyDescent="0.25">
      <c r="A3234" t="s">
        <v>192</v>
      </c>
      <c r="B3234" t="s">
        <v>170</v>
      </c>
      <c r="C3234" t="s">
        <v>121</v>
      </c>
      <c r="D3234">
        <v>2012</v>
      </c>
      <c r="E3234">
        <v>0</v>
      </c>
      <c r="F3234" t="s">
        <v>183</v>
      </c>
    </row>
    <row r="3235" spans="1:6" x14ac:dyDescent="0.25">
      <c r="A3235" t="s">
        <v>192</v>
      </c>
      <c r="B3235" t="s">
        <v>170</v>
      </c>
      <c r="C3235" t="s">
        <v>121</v>
      </c>
      <c r="D3235">
        <v>2011</v>
      </c>
      <c r="E3235">
        <v>0</v>
      </c>
      <c r="F3235" t="s">
        <v>183</v>
      </c>
    </row>
    <row r="3236" spans="1:6" x14ac:dyDescent="0.25">
      <c r="A3236" t="s">
        <v>192</v>
      </c>
      <c r="B3236" t="s">
        <v>170</v>
      </c>
      <c r="C3236" t="s">
        <v>121</v>
      </c>
      <c r="D3236">
        <v>2010</v>
      </c>
      <c r="E3236">
        <v>0</v>
      </c>
      <c r="F3236" t="s">
        <v>183</v>
      </c>
    </row>
    <row r="3237" spans="1:6" x14ac:dyDescent="0.25">
      <c r="A3237" t="s">
        <v>192</v>
      </c>
      <c r="B3237" t="s">
        <v>170</v>
      </c>
      <c r="C3237" t="s">
        <v>122</v>
      </c>
      <c r="D3237">
        <v>2014</v>
      </c>
      <c r="E3237">
        <v>0</v>
      </c>
      <c r="F3237" t="s">
        <v>183</v>
      </c>
    </row>
    <row r="3238" spans="1:6" x14ac:dyDescent="0.25">
      <c r="A3238" t="s">
        <v>192</v>
      </c>
      <c r="B3238" t="s">
        <v>170</v>
      </c>
      <c r="C3238" t="s">
        <v>122</v>
      </c>
      <c r="D3238">
        <v>2013</v>
      </c>
      <c r="E3238">
        <v>0</v>
      </c>
      <c r="F3238" t="s">
        <v>183</v>
      </c>
    </row>
    <row r="3239" spans="1:6" x14ac:dyDescent="0.25">
      <c r="A3239" t="s">
        <v>192</v>
      </c>
      <c r="B3239" t="s">
        <v>170</v>
      </c>
      <c r="C3239" t="s">
        <v>122</v>
      </c>
      <c r="D3239">
        <v>2012</v>
      </c>
      <c r="E3239">
        <v>0</v>
      </c>
      <c r="F3239" t="s">
        <v>183</v>
      </c>
    </row>
    <row r="3240" spans="1:6" x14ac:dyDescent="0.25">
      <c r="A3240" t="s">
        <v>192</v>
      </c>
      <c r="B3240" t="s">
        <v>170</v>
      </c>
      <c r="C3240" t="s">
        <v>122</v>
      </c>
      <c r="D3240">
        <v>2011</v>
      </c>
      <c r="E3240">
        <v>0</v>
      </c>
      <c r="F3240" t="s">
        <v>183</v>
      </c>
    </row>
    <row r="3241" spans="1:6" x14ac:dyDescent="0.25">
      <c r="A3241" t="s">
        <v>192</v>
      </c>
      <c r="B3241" t="s">
        <v>170</v>
      </c>
      <c r="C3241" t="s">
        <v>122</v>
      </c>
      <c r="D3241">
        <v>2010</v>
      </c>
      <c r="E3241">
        <v>0</v>
      </c>
      <c r="F3241" t="s">
        <v>183</v>
      </c>
    </row>
    <row r="3242" spans="1:6" x14ac:dyDescent="0.25">
      <c r="A3242" t="s">
        <v>192</v>
      </c>
      <c r="B3242" t="s">
        <v>170</v>
      </c>
      <c r="C3242" t="s">
        <v>123</v>
      </c>
      <c r="D3242">
        <v>2014</v>
      </c>
      <c r="E3242">
        <v>0</v>
      </c>
      <c r="F3242" t="s">
        <v>183</v>
      </c>
    </row>
    <row r="3243" spans="1:6" x14ac:dyDescent="0.25">
      <c r="A3243" t="s">
        <v>192</v>
      </c>
      <c r="B3243" t="s">
        <v>170</v>
      </c>
      <c r="C3243" t="s">
        <v>123</v>
      </c>
      <c r="D3243">
        <v>2013</v>
      </c>
      <c r="E3243">
        <v>0</v>
      </c>
      <c r="F3243" t="s">
        <v>183</v>
      </c>
    </row>
    <row r="3244" spans="1:6" x14ac:dyDescent="0.25">
      <c r="A3244" t="s">
        <v>192</v>
      </c>
      <c r="B3244" t="s">
        <v>170</v>
      </c>
      <c r="C3244" t="s">
        <v>123</v>
      </c>
      <c r="D3244">
        <v>2012</v>
      </c>
      <c r="E3244">
        <v>0</v>
      </c>
      <c r="F3244" t="s">
        <v>183</v>
      </c>
    </row>
    <row r="3245" spans="1:6" x14ac:dyDescent="0.25">
      <c r="A3245" t="s">
        <v>192</v>
      </c>
      <c r="B3245" t="s">
        <v>170</v>
      </c>
      <c r="C3245" t="s">
        <v>123</v>
      </c>
      <c r="D3245">
        <v>2011</v>
      </c>
      <c r="E3245">
        <v>0</v>
      </c>
      <c r="F3245" t="s">
        <v>183</v>
      </c>
    </row>
    <row r="3246" spans="1:6" x14ac:dyDescent="0.25">
      <c r="A3246" t="s">
        <v>192</v>
      </c>
      <c r="B3246" t="s">
        <v>170</v>
      </c>
      <c r="C3246" t="s">
        <v>123</v>
      </c>
      <c r="D3246">
        <v>2010</v>
      </c>
      <c r="E3246">
        <v>0</v>
      </c>
      <c r="F3246" t="s">
        <v>183</v>
      </c>
    </row>
    <row r="3247" spans="1:6" x14ac:dyDescent="0.25">
      <c r="A3247" t="s">
        <v>192</v>
      </c>
      <c r="B3247" t="s">
        <v>170</v>
      </c>
      <c r="C3247" t="s">
        <v>124</v>
      </c>
      <c r="D3247">
        <v>2014</v>
      </c>
      <c r="E3247">
        <v>0</v>
      </c>
      <c r="F3247" t="s">
        <v>183</v>
      </c>
    </row>
    <row r="3248" spans="1:6" x14ac:dyDescent="0.25">
      <c r="A3248" t="s">
        <v>192</v>
      </c>
      <c r="B3248" t="s">
        <v>170</v>
      </c>
      <c r="C3248" t="s">
        <v>124</v>
      </c>
      <c r="D3248">
        <v>2013</v>
      </c>
      <c r="E3248">
        <v>0</v>
      </c>
      <c r="F3248" t="s">
        <v>183</v>
      </c>
    </row>
    <row r="3249" spans="1:6" x14ac:dyDescent="0.25">
      <c r="A3249" t="s">
        <v>192</v>
      </c>
      <c r="B3249" t="s">
        <v>170</v>
      </c>
      <c r="C3249" t="s">
        <v>124</v>
      </c>
      <c r="D3249">
        <v>2012</v>
      </c>
      <c r="E3249">
        <v>0</v>
      </c>
      <c r="F3249" t="s">
        <v>183</v>
      </c>
    </row>
    <row r="3250" spans="1:6" x14ac:dyDescent="0.25">
      <c r="A3250" t="s">
        <v>192</v>
      </c>
      <c r="B3250" t="s">
        <v>170</v>
      </c>
      <c r="C3250" t="s">
        <v>124</v>
      </c>
      <c r="D3250">
        <v>2011</v>
      </c>
      <c r="E3250">
        <v>0</v>
      </c>
      <c r="F3250" t="s">
        <v>183</v>
      </c>
    </row>
    <row r="3251" spans="1:6" x14ac:dyDescent="0.25">
      <c r="A3251" t="s">
        <v>192</v>
      </c>
      <c r="B3251" t="s">
        <v>170</v>
      </c>
      <c r="C3251" t="s">
        <v>124</v>
      </c>
      <c r="D3251">
        <v>2010</v>
      </c>
      <c r="E3251">
        <v>0</v>
      </c>
      <c r="F3251" t="s">
        <v>183</v>
      </c>
    </row>
    <row r="3252" spans="1:6" x14ac:dyDescent="0.25">
      <c r="A3252" t="s">
        <v>192</v>
      </c>
      <c r="B3252" t="s">
        <v>170</v>
      </c>
      <c r="C3252" t="s">
        <v>160</v>
      </c>
      <c r="D3252">
        <v>2014</v>
      </c>
      <c r="E3252">
        <v>0</v>
      </c>
      <c r="F3252" t="s">
        <v>183</v>
      </c>
    </row>
    <row r="3253" spans="1:6" x14ac:dyDescent="0.25">
      <c r="A3253" t="s">
        <v>192</v>
      </c>
      <c r="B3253" t="s">
        <v>170</v>
      </c>
      <c r="C3253" t="s">
        <v>160</v>
      </c>
      <c r="D3253">
        <v>2013</v>
      </c>
      <c r="E3253">
        <v>0</v>
      </c>
      <c r="F3253" t="s">
        <v>183</v>
      </c>
    </row>
    <row r="3254" spans="1:6" x14ac:dyDescent="0.25">
      <c r="A3254" t="s">
        <v>192</v>
      </c>
      <c r="B3254" t="s">
        <v>170</v>
      </c>
      <c r="C3254" t="s">
        <v>160</v>
      </c>
      <c r="D3254">
        <v>2012</v>
      </c>
      <c r="E3254">
        <v>0</v>
      </c>
      <c r="F3254" t="s">
        <v>183</v>
      </c>
    </row>
    <row r="3255" spans="1:6" x14ac:dyDescent="0.25">
      <c r="A3255" t="s">
        <v>192</v>
      </c>
      <c r="B3255" t="s">
        <v>170</v>
      </c>
      <c r="C3255" t="s">
        <v>160</v>
      </c>
      <c r="D3255">
        <v>2011</v>
      </c>
      <c r="E3255">
        <v>0</v>
      </c>
      <c r="F3255" t="s">
        <v>183</v>
      </c>
    </row>
    <row r="3256" spans="1:6" x14ac:dyDescent="0.25">
      <c r="A3256" t="s">
        <v>192</v>
      </c>
      <c r="B3256" t="s">
        <v>170</v>
      </c>
      <c r="C3256" t="s">
        <v>160</v>
      </c>
      <c r="D3256">
        <v>2010</v>
      </c>
      <c r="E3256">
        <v>0</v>
      </c>
      <c r="F3256" t="s">
        <v>183</v>
      </c>
    </row>
    <row r="3257" spans="1:6" x14ac:dyDescent="0.25">
      <c r="A3257" t="s">
        <v>192</v>
      </c>
      <c r="B3257" t="s">
        <v>170</v>
      </c>
      <c r="C3257" t="s">
        <v>125</v>
      </c>
      <c r="D3257">
        <v>2014</v>
      </c>
      <c r="E3257">
        <v>0</v>
      </c>
      <c r="F3257" t="s">
        <v>183</v>
      </c>
    </row>
    <row r="3258" spans="1:6" x14ac:dyDescent="0.25">
      <c r="A3258" t="s">
        <v>192</v>
      </c>
      <c r="B3258" t="s">
        <v>170</v>
      </c>
      <c r="C3258" t="s">
        <v>125</v>
      </c>
      <c r="D3258">
        <v>2013</v>
      </c>
      <c r="E3258">
        <v>0</v>
      </c>
      <c r="F3258" t="s">
        <v>183</v>
      </c>
    </row>
    <row r="3259" spans="1:6" x14ac:dyDescent="0.25">
      <c r="A3259" t="s">
        <v>192</v>
      </c>
      <c r="B3259" t="s">
        <v>170</v>
      </c>
      <c r="C3259" t="s">
        <v>125</v>
      </c>
      <c r="D3259">
        <v>2012</v>
      </c>
      <c r="E3259">
        <v>0</v>
      </c>
      <c r="F3259" t="s">
        <v>183</v>
      </c>
    </row>
    <row r="3260" spans="1:6" x14ac:dyDescent="0.25">
      <c r="A3260" t="s">
        <v>192</v>
      </c>
      <c r="B3260" t="s">
        <v>170</v>
      </c>
      <c r="C3260" t="s">
        <v>125</v>
      </c>
      <c r="D3260">
        <v>2011</v>
      </c>
      <c r="E3260">
        <v>0</v>
      </c>
      <c r="F3260" t="s">
        <v>183</v>
      </c>
    </row>
    <row r="3261" spans="1:6" x14ac:dyDescent="0.25">
      <c r="A3261" t="s">
        <v>192</v>
      </c>
      <c r="B3261" t="s">
        <v>170</v>
      </c>
      <c r="C3261" t="s">
        <v>125</v>
      </c>
      <c r="D3261">
        <v>2010</v>
      </c>
      <c r="E3261">
        <v>0</v>
      </c>
      <c r="F3261" t="s">
        <v>183</v>
      </c>
    </row>
    <row r="3262" spans="1:6" x14ac:dyDescent="0.25">
      <c r="A3262" t="s">
        <v>192</v>
      </c>
      <c r="B3262" t="s">
        <v>170</v>
      </c>
      <c r="C3262" t="s">
        <v>126</v>
      </c>
      <c r="D3262">
        <v>2014</v>
      </c>
      <c r="E3262">
        <v>0</v>
      </c>
      <c r="F3262" t="s">
        <v>183</v>
      </c>
    </row>
    <row r="3263" spans="1:6" x14ac:dyDescent="0.25">
      <c r="A3263" t="s">
        <v>192</v>
      </c>
      <c r="B3263" t="s">
        <v>170</v>
      </c>
      <c r="C3263" t="s">
        <v>126</v>
      </c>
      <c r="D3263">
        <v>2013</v>
      </c>
      <c r="E3263">
        <v>0</v>
      </c>
      <c r="F3263" t="s">
        <v>183</v>
      </c>
    </row>
    <row r="3264" spans="1:6" x14ac:dyDescent="0.25">
      <c r="A3264" t="s">
        <v>192</v>
      </c>
      <c r="B3264" t="s">
        <v>170</v>
      </c>
      <c r="C3264" t="s">
        <v>126</v>
      </c>
      <c r="D3264">
        <v>2012</v>
      </c>
      <c r="E3264">
        <v>0</v>
      </c>
      <c r="F3264" t="s">
        <v>183</v>
      </c>
    </row>
    <row r="3265" spans="1:6" x14ac:dyDescent="0.25">
      <c r="A3265" t="s">
        <v>192</v>
      </c>
      <c r="B3265" t="s">
        <v>170</v>
      </c>
      <c r="C3265" t="s">
        <v>126</v>
      </c>
      <c r="D3265">
        <v>2011</v>
      </c>
      <c r="E3265">
        <v>0</v>
      </c>
      <c r="F3265" t="s">
        <v>183</v>
      </c>
    </row>
    <row r="3266" spans="1:6" x14ac:dyDescent="0.25">
      <c r="A3266" t="s">
        <v>192</v>
      </c>
      <c r="B3266" t="s">
        <v>170</v>
      </c>
      <c r="C3266" t="s">
        <v>126</v>
      </c>
      <c r="D3266">
        <v>2010</v>
      </c>
      <c r="E3266">
        <v>0</v>
      </c>
      <c r="F3266" t="s">
        <v>183</v>
      </c>
    </row>
    <row r="3267" spans="1:6" x14ac:dyDescent="0.25">
      <c r="A3267" t="s">
        <v>192</v>
      </c>
      <c r="B3267" t="s">
        <v>170</v>
      </c>
      <c r="C3267" t="s">
        <v>127</v>
      </c>
      <c r="D3267">
        <v>2014</v>
      </c>
      <c r="E3267">
        <v>0</v>
      </c>
      <c r="F3267" t="s">
        <v>183</v>
      </c>
    </row>
    <row r="3268" spans="1:6" x14ac:dyDescent="0.25">
      <c r="A3268" t="s">
        <v>192</v>
      </c>
      <c r="B3268" t="s">
        <v>170</v>
      </c>
      <c r="C3268" t="s">
        <v>127</v>
      </c>
      <c r="D3268">
        <v>2013</v>
      </c>
      <c r="E3268">
        <v>0</v>
      </c>
      <c r="F3268" t="s">
        <v>183</v>
      </c>
    </row>
    <row r="3269" spans="1:6" x14ac:dyDescent="0.25">
      <c r="A3269" t="s">
        <v>192</v>
      </c>
      <c r="B3269" t="s">
        <v>170</v>
      </c>
      <c r="C3269" t="s">
        <v>127</v>
      </c>
      <c r="D3269">
        <v>2012</v>
      </c>
      <c r="E3269">
        <v>0</v>
      </c>
      <c r="F3269" t="s">
        <v>183</v>
      </c>
    </row>
    <row r="3270" spans="1:6" x14ac:dyDescent="0.25">
      <c r="A3270" t="s">
        <v>192</v>
      </c>
      <c r="B3270" t="s">
        <v>170</v>
      </c>
      <c r="C3270" t="s">
        <v>127</v>
      </c>
      <c r="D3270">
        <v>2011</v>
      </c>
      <c r="E3270">
        <v>0</v>
      </c>
      <c r="F3270" t="s">
        <v>183</v>
      </c>
    </row>
    <row r="3271" spans="1:6" x14ac:dyDescent="0.25">
      <c r="A3271" t="s">
        <v>192</v>
      </c>
      <c r="B3271" t="s">
        <v>170</v>
      </c>
      <c r="C3271" t="s">
        <v>127</v>
      </c>
      <c r="D3271">
        <v>2010</v>
      </c>
      <c r="E3271">
        <v>0</v>
      </c>
      <c r="F3271" t="s">
        <v>183</v>
      </c>
    </row>
    <row r="3272" spans="1:6" x14ac:dyDescent="0.25">
      <c r="A3272" t="s">
        <v>192</v>
      </c>
      <c r="B3272" t="s">
        <v>170</v>
      </c>
      <c r="C3272" t="s">
        <v>128</v>
      </c>
      <c r="D3272">
        <v>2014</v>
      </c>
      <c r="E3272">
        <v>0</v>
      </c>
      <c r="F3272" t="s">
        <v>183</v>
      </c>
    </row>
    <row r="3273" spans="1:6" x14ac:dyDescent="0.25">
      <c r="A3273" t="s">
        <v>192</v>
      </c>
      <c r="B3273" t="s">
        <v>170</v>
      </c>
      <c r="C3273" t="s">
        <v>128</v>
      </c>
      <c r="D3273">
        <v>2013</v>
      </c>
      <c r="E3273">
        <v>0</v>
      </c>
      <c r="F3273" t="s">
        <v>183</v>
      </c>
    </row>
    <row r="3274" spans="1:6" x14ac:dyDescent="0.25">
      <c r="A3274" t="s">
        <v>192</v>
      </c>
      <c r="B3274" t="s">
        <v>170</v>
      </c>
      <c r="C3274" t="s">
        <v>128</v>
      </c>
      <c r="D3274">
        <v>2012</v>
      </c>
      <c r="E3274">
        <v>0</v>
      </c>
      <c r="F3274" t="s">
        <v>183</v>
      </c>
    </row>
    <row r="3275" spans="1:6" x14ac:dyDescent="0.25">
      <c r="A3275" t="s">
        <v>192</v>
      </c>
      <c r="B3275" t="s">
        <v>170</v>
      </c>
      <c r="C3275" t="s">
        <v>128</v>
      </c>
      <c r="D3275">
        <v>2011</v>
      </c>
      <c r="E3275">
        <v>0</v>
      </c>
      <c r="F3275" t="s">
        <v>183</v>
      </c>
    </row>
    <row r="3276" spans="1:6" x14ac:dyDescent="0.25">
      <c r="A3276" t="s">
        <v>192</v>
      </c>
      <c r="B3276" t="s">
        <v>170</v>
      </c>
      <c r="C3276" t="s">
        <v>128</v>
      </c>
      <c r="D3276">
        <v>2010</v>
      </c>
      <c r="E3276">
        <v>0</v>
      </c>
      <c r="F3276" t="s">
        <v>183</v>
      </c>
    </row>
    <row r="3277" spans="1:6" x14ac:dyDescent="0.25">
      <c r="A3277" t="s">
        <v>192</v>
      </c>
      <c r="B3277" t="s">
        <v>170</v>
      </c>
      <c r="C3277" t="s">
        <v>161</v>
      </c>
      <c r="D3277">
        <v>2014</v>
      </c>
      <c r="E3277">
        <v>0</v>
      </c>
      <c r="F3277" t="s">
        <v>183</v>
      </c>
    </row>
    <row r="3278" spans="1:6" x14ac:dyDescent="0.25">
      <c r="A3278" t="s">
        <v>192</v>
      </c>
      <c r="B3278" t="s">
        <v>170</v>
      </c>
      <c r="C3278" t="s">
        <v>161</v>
      </c>
      <c r="D3278">
        <v>2013</v>
      </c>
      <c r="E3278">
        <v>0</v>
      </c>
      <c r="F3278" t="s">
        <v>183</v>
      </c>
    </row>
    <row r="3279" spans="1:6" x14ac:dyDescent="0.25">
      <c r="A3279" t="s">
        <v>192</v>
      </c>
      <c r="B3279" t="s">
        <v>170</v>
      </c>
      <c r="C3279" t="s">
        <v>161</v>
      </c>
      <c r="D3279">
        <v>2012</v>
      </c>
      <c r="E3279">
        <v>0</v>
      </c>
      <c r="F3279" t="s">
        <v>183</v>
      </c>
    </row>
    <row r="3280" spans="1:6" x14ac:dyDescent="0.25">
      <c r="A3280" t="s">
        <v>192</v>
      </c>
      <c r="B3280" t="s">
        <v>170</v>
      </c>
      <c r="C3280" t="s">
        <v>161</v>
      </c>
      <c r="D3280">
        <v>2011</v>
      </c>
      <c r="E3280">
        <v>0</v>
      </c>
      <c r="F3280" t="s">
        <v>183</v>
      </c>
    </row>
    <row r="3281" spans="1:6" x14ac:dyDescent="0.25">
      <c r="A3281" t="s">
        <v>192</v>
      </c>
      <c r="B3281" t="s">
        <v>170</v>
      </c>
      <c r="C3281" t="s">
        <v>161</v>
      </c>
      <c r="D3281">
        <v>2010</v>
      </c>
      <c r="E3281">
        <v>0</v>
      </c>
      <c r="F3281" t="s">
        <v>183</v>
      </c>
    </row>
    <row r="3282" spans="1:6" x14ac:dyDescent="0.25">
      <c r="A3282" t="s">
        <v>192</v>
      </c>
      <c r="B3282" t="s">
        <v>170</v>
      </c>
      <c r="C3282" t="s">
        <v>162</v>
      </c>
      <c r="D3282">
        <v>2014</v>
      </c>
      <c r="E3282">
        <v>0</v>
      </c>
      <c r="F3282" t="s">
        <v>183</v>
      </c>
    </row>
    <row r="3283" spans="1:6" x14ac:dyDescent="0.25">
      <c r="A3283" t="s">
        <v>192</v>
      </c>
      <c r="B3283" t="s">
        <v>170</v>
      </c>
      <c r="C3283" t="s">
        <v>162</v>
      </c>
      <c r="D3283">
        <v>2013</v>
      </c>
      <c r="E3283">
        <v>0</v>
      </c>
      <c r="F3283" t="s">
        <v>183</v>
      </c>
    </row>
    <row r="3284" spans="1:6" x14ac:dyDescent="0.25">
      <c r="A3284" t="s">
        <v>192</v>
      </c>
      <c r="B3284" t="s">
        <v>170</v>
      </c>
      <c r="C3284" t="s">
        <v>162</v>
      </c>
      <c r="D3284">
        <v>2012</v>
      </c>
      <c r="E3284">
        <v>0</v>
      </c>
      <c r="F3284" t="s">
        <v>183</v>
      </c>
    </row>
    <row r="3285" spans="1:6" x14ac:dyDescent="0.25">
      <c r="A3285" t="s">
        <v>192</v>
      </c>
      <c r="B3285" t="s">
        <v>170</v>
      </c>
      <c r="C3285" t="s">
        <v>162</v>
      </c>
      <c r="D3285">
        <v>2011</v>
      </c>
      <c r="E3285">
        <v>0</v>
      </c>
      <c r="F3285" t="s">
        <v>183</v>
      </c>
    </row>
    <row r="3286" spans="1:6" x14ac:dyDescent="0.25">
      <c r="A3286" t="s">
        <v>192</v>
      </c>
      <c r="B3286" t="s">
        <v>170</v>
      </c>
      <c r="C3286" t="s">
        <v>162</v>
      </c>
      <c r="D3286">
        <v>2010</v>
      </c>
      <c r="E3286">
        <v>0</v>
      </c>
      <c r="F3286" t="s">
        <v>183</v>
      </c>
    </row>
    <row r="3287" spans="1:6" x14ac:dyDescent="0.25">
      <c r="A3287" t="s">
        <v>192</v>
      </c>
      <c r="B3287" t="s">
        <v>170</v>
      </c>
      <c r="C3287" t="s">
        <v>129</v>
      </c>
      <c r="D3287">
        <v>2014</v>
      </c>
      <c r="E3287">
        <v>0</v>
      </c>
      <c r="F3287" t="s">
        <v>183</v>
      </c>
    </row>
    <row r="3288" spans="1:6" x14ac:dyDescent="0.25">
      <c r="A3288" t="s">
        <v>192</v>
      </c>
      <c r="B3288" t="s">
        <v>170</v>
      </c>
      <c r="C3288" t="s">
        <v>129</v>
      </c>
      <c r="D3288">
        <v>2013</v>
      </c>
      <c r="E3288">
        <v>0</v>
      </c>
      <c r="F3288" t="s">
        <v>183</v>
      </c>
    </row>
    <row r="3289" spans="1:6" x14ac:dyDescent="0.25">
      <c r="A3289" t="s">
        <v>192</v>
      </c>
      <c r="B3289" t="s">
        <v>170</v>
      </c>
      <c r="C3289" t="s">
        <v>129</v>
      </c>
      <c r="D3289">
        <v>2012</v>
      </c>
      <c r="E3289">
        <v>0</v>
      </c>
      <c r="F3289" t="s">
        <v>183</v>
      </c>
    </row>
    <row r="3290" spans="1:6" x14ac:dyDescent="0.25">
      <c r="A3290" t="s">
        <v>192</v>
      </c>
      <c r="B3290" t="s">
        <v>170</v>
      </c>
      <c r="C3290" t="s">
        <v>129</v>
      </c>
      <c r="D3290">
        <v>2011</v>
      </c>
      <c r="E3290">
        <v>0</v>
      </c>
      <c r="F3290" t="s">
        <v>183</v>
      </c>
    </row>
    <row r="3291" spans="1:6" x14ac:dyDescent="0.25">
      <c r="A3291" t="s">
        <v>192</v>
      </c>
      <c r="B3291" t="s">
        <v>170</v>
      </c>
      <c r="C3291" t="s">
        <v>129</v>
      </c>
      <c r="D3291">
        <v>2010</v>
      </c>
      <c r="E3291">
        <v>0</v>
      </c>
      <c r="F3291" t="s">
        <v>183</v>
      </c>
    </row>
    <row r="3292" spans="1:6" x14ac:dyDescent="0.25">
      <c r="A3292" t="s">
        <v>192</v>
      </c>
      <c r="B3292" t="s">
        <v>170</v>
      </c>
      <c r="C3292" t="s">
        <v>130</v>
      </c>
      <c r="D3292">
        <v>2014</v>
      </c>
      <c r="E3292">
        <v>0</v>
      </c>
      <c r="F3292" t="s">
        <v>183</v>
      </c>
    </row>
    <row r="3293" spans="1:6" x14ac:dyDescent="0.25">
      <c r="A3293" t="s">
        <v>192</v>
      </c>
      <c r="B3293" t="s">
        <v>170</v>
      </c>
      <c r="C3293" t="s">
        <v>130</v>
      </c>
      <c r="D3293">
        <v>2013</v>
      </c>
      <c r="E3293">
        <v>0</v>
      </c>
      <c r="F3293" t="s">
        <v>183</v>
      </c>
    </row>
    <row r="3294" spans="1:6" x14ac:dyDescent="0.25">
      <c r="A3294" t="s">
        <v>192</v>
      </c>
      <c r="B3294" t="s">
        <v>170</v>
      </c>
      <c r="C3294" t="s">
        <v>130</v>
      </c>
      <c r="D3294">
        <v>2012</v>
      </c>
      <c r="E3294">
        <v>0</v>
      </c>
      <c r="F3294" t="s">
        <v>183</v>
      </c>
    </row>
    <row r="3295" spans="1:6" x14ac:dyDescent="0.25">
      <c r="A3295" t="s">
        <v>192</v>
      </c>
      <c r="B3295" t="s">
        <v>170</v>
      </c>
      <c r="C3295" t="s">
        <v>130</v>
      </c>
      <c r="D3295">
        <v>2011</v>
      </c>
      <c r="E3295">
        <v>0</v>
      </c>
      <c r="F3295" t="s">
        <v>183</v>
      </c>
    </row>
    <row r="3296" spans="1:6" x14ac:dyDescent="0.25">
      <c r="A3296" t="s">
        <v>192</v>
      </c>
      <c r="B3296" t="s">
        <v>170</v>
      </c>
      <c r="C3296" t="s">
        <v>130</v>
      </c>
      <c r="D3296">
        <v>2010</v>
      </c>
      <c r="E3296">
        <v>0</v>
      </c>
      <c r="F3296" t="s">
        <v>183</v>
      </c>
    </row>
    <row r="3297" spans="1:6" x14ac:dyDescent="0.25">
      <c r="A3297" t="s">
        <v>192</v>
      </c>
      <c r="B3297" t="s">
        <v>170</v>
      </c>
      <c r="C3297" t="s">
        <v>131</v>
      </c>
      <c r="D3297">
        <v>2014</v>
      </c>
      <c r="E3297">
        <v>0</v>
      </c>
      <c r="F3297" t="s">
        <v>183</v>
      </c>
    </row>
    <row r="3298" spans="1:6" x14ac:dyDescent="0.25">
      <c r="A3298" t="s">
        <v>192</v>
      </c>
      <c r="B3298" t="s">
        <v>170</v>
      </c>
      <c r="C3298" t="s">
        <v>131</v>
      </c>
      <c r="D3298">
        <v>2013</v>
      </c>
      <c r="E3298">
        <v>0</v>
      </c>
      <c r="F3298" t="s">
        <v>183</v>
      </c>
    </row>
    <row r="3299" spans="1:6" x14ac:dyDescent="0.25">
      <c r="A3299" t="s">
        <v>192</v>
      </c>
      <c r="B3299" t="s">
        <v>170</v>
      </c>
      <c r="C3299" t="s">
        <v>131</v>
      </c>
      <c r="D3299">
        <v>2012</v>
      </c>
      <c r="E3299">
        <v>0</v>
      </c>
      <c r="F3299" t="s">
        <v>183</v>
      </c>
    </row>
    <row r="3300" spans="1:6" x14ac:dyDescent="0.25">
      <c r="A3300" t="s">
        <v>192</v>
      </c>
      <c r="B3300" t="s">
        <v>170</v>
      </c>
      <c r="C3300" t="s">
        <v>131</v>
      </c>
      <c r="D3300">
        <v>2011</v>
      </c>
      <c r="E3300">
        <v>0</v>
      </c>
      <c r="F3300" t="s">
        <v>183</v>
      </c>
    </row>
    <row r="3301" spans="1:6" x14ac:dyDescent="0.25">
      <c r="A3301" t="s">
        <v>192</v>
      </c>
      <c r="B3301" t="s">
        <v>170</v>
      </c>
      <c r="C3301" t="s">
        <v>131</v>
      </c>
      <c r="D3301">
        <v>2010</v>
      </c>
      <c r="E3301">
        <v>0</v>
      </c>
      <c r="F3301" t="s">
        <v>183</v>
      </c>
    </row>
    <row r="3302" spans="1:6" x14ac:dyDescent="0.25">
      <c r="A3302" t="s">
        <v>192</v>
      </c>
      <c r="B3302" t="s">
        <v>170</v>
      </c>
      <c r="C3302" t="s">
        <v>132</v>
      </c>
      <c r="D3302">
        <v>2014</v>
      </c>
      <c r="E3302">
        <v>0</v>
      </c>
      <c r="F3302" t="s">
        <v>183</v>
      </c>
    </row>
    <row r="3303" spans="1:6" x14ac:dyDescent="0.25">
      <c r="A3303" t="s">
        <v>192</v>
      </c>
      <c r="B3303" t="s">
        <v>170</v>
      </c>
      <c r="C3303" t="s">
        <v>132</v>
      </c>
      <c r="D3303">
        <v>2013</v>
      </c>
      <c r="E3303">
        <v>0</v>
      </c>
      <c r="F3303" t="s">
        <v>183</v>
      </c>
    </row>
    <row r="3304" spans="1:6" x14ac:dyDescent="0.25">
      <c r="A3304" t="s">
        <v>192</v>
      </c>
      <c r="B3304" t="s">
        <v>170</v>
      </c>
      <c r="C3304" t="s">
        <v>132</v>
      </c>
      <c r="D3304">
        <v>2012</v>
      </c>
      <c r="E3304">
        <v>0</v>
      </c>
      <c r="F3304" t="s">
        <v>183</v>
      </c>
    </row>
    <row r="3305" spans="1:6" x14ac:dyDescent="0.25">
      <c r="A3305" t="s">
        <v>192</v>
      </c>
      <c r="B3305" t="s">
        <v>170</v>
      </c>
      <c r="C3305" t="s">
        <v>132</v>
      </c>
      <c r="D3305">
        <v>2011</v>
      </c>
      <c r="E3305">
        <v>0</v>
      </c>
      <c r="F3305" t="s">
        <v>183</v>
      </c>
    </row>
    <row r="3306" spans="1:6" x14ac:dyDescent="0.25">
      <c r="A3306" t="s">
        <v>192</v>
      </c>
      <c r="B3306" t="s">
        <v>170</v>
      </c>
      <c r="C3306" t="s">
        <v>132</v>
      </c>
      <c r="D3306">
        <v>2010</v>
      </c>
      <c r="E3306">
        <v>0</v>
      </c>
      <c r="F3306" t="s">
        <v>183</v>
      </c>
    </row>
    <row r="3307" spans="1:6" x14ac:dyDescent="0.25">
      <c r="A3307" t="s">
        <v>192</v>
      </c>
      <c r="B3307" t="s">
        <v>170</v>
      </c>
      <c r="C3307" t="s">
        <v>163</v>
      </c>
      <c r="D3307">
        <v>2014</v>
      </c>
      <c r="E3307">
        <v>0</v>
      </c>
      <c r="F3307" t="s">
        <v>183</v>
      </c>
    </row>
    <row r="3308" spans="1:6" x14ac:dyDescent="0.25">
      <c r="A3308" t="s">
        <v>192</v>
      </c>
      <c r="B3308" t="s">
        <v>170</v>
      </c>
      <c r="C3308" t="s">
        <v>163</v>
      </c>
      <c r="D3308">
        <v>2013</v>
      </c>
      <c r="E3308">
        <v>0</v>
      </c>
      <c r="F3308" t="s">
        <v>183</v>
      </c>
    </row>
    <row r="3309" spans="1:6" x14ac:dyDescent="0.25">
      <c r="A3309" t="s">
        <v>192</v>
      </c>
      <c r="B3309" t="s">
        <v>170</v>
      </c>
      <c r="C3309" t="s">
        <v>163</v>
      </c>
      <c r="D3309">
        <v>2012</v>
      </c>
      <c r="E3309">
        <v>0</v>
      </c>
      <c r="F3309" t="s">
        <v>183</v>
      </c>
    </row>
    <row r="3310" spans="1:6" x14ac:dyDescent="0.25">
      <c r="A3310" t="s">
        <v>192</v>
      </c>
      <c r="B3310" t="s">
        <v>170</v>
      </c>
      <c r="C3310" t="s">
        <v>163</v>
      </c>
      <c r="D3310">
        <v>2011</v>
      </c>
      <c r="E3310">
        <v>0</v>
      </c>
      <c r="F3310" t="s">
        <v>183</v>
      </c>
    </row>
    <row r="3311" spans="1:6" x14ac:dyDescent="0.25">
      <c r="A3311" t="s">
        <v>192</v>
      </c>
      <c r="B3311" t="s">
        <v>170</v>
      </c>
      <c r="C3311" t="s">
        <v>163</v>
      </c>
      <c r="D3311">
        <v>2010</v>
      </c>
      <c r="E3311">
        <v>0</v>
      </c>
      <c r="F3311" t="s">
        <v>183</v>
      </c>
    </row>
    <row r="3312" spans="1:6" x14ac:dyDescent="0.25">
      <c r="A3312" t="s">
        <v>192</v>
      </c>
      <c r="B3312" t="s">
        <v>170</v>
      </c>
      <c r="C3312" t="s">
        <v>133</v>
      </c>
      <c r="D3312">
        <v>2014</v>
      </c>
      <c r="E3312">
        <v>0</v>
      </c>
      <c r="F3312" t="s">
        <v>183</v>
      </c>
    </row>
    <row r="3313" spans="1:6" x14ac:dyDescent="0.25">
      <c r="A3313" t="s">
        <v>192</v>
      </c>
      <c r="B3313" t="s">
        <v>170</v>
      </c>
      <c r="C3313" t="s">
        <v>133</v>
      </c>
      <c r="D3313">
        <v>2013</v>
      </c>
      <c r="E3313">
        <v>0</v>
      </c>
      <c r="F3313" t="s">
        <v>183</v>
      </c>
    </row>
    <row r="3314" spans="1:6" x14ac:dyDescent="0.25">
      <c r="A3314" t="s">
        <v>192</v>
      </c>
      <c r="B3314" t="s">
        <v>170</v>
      </c>
      <c r="C3314" t="s">
        <v>133</v>
      </c>
      <c r="D3314">
        <v>2012</v>
      </c>
      <c r="E3314">
        <v>0</v>
      </c>
      <c r="F3314" t="s">
        <v>183</v>
      </c>
    </row>
    <row r="3315" spans="1:6" x14ac:dyDescent="0.25">
      <c r="A3315" t="s">
        <v>192</v>
      </c>
      <c r="B3315" t="s">
        <v>170</v>
      </c>
      <c r="C3315" t="s">
        <v>133</v>
      </c>
      <c r="D3315">
        <v>2011</v>
      </c>
      <c r="E3315">
        <v>0</v>
      </c>
      <c r="F3315" t="s">
        <v>183</v>
      </c>
    </row>
    <row r="3316" spans="1:6" x14ac:dyDescent="0.25">
      <c r="A3316" t="s">
        <v>192</v>
      </c>
      <c r="B3316" t="s">
        <v>170</v>
      </c>
      <c r="C3316" t="s">
        <v>133</v>
      </c>
      <c r="D3316">
        <v>2010</v>
      </c>
      <c r="E3316">
        <v>0</v>
      </c>
      <c r="F3316" t="s">
        <v>183</v>
      </c>
    </row>
    <row r="3317" spans="1:6" x14ac:dyDescent="0.25">
      <c r="A3317" t="s">
        <v>192</v>
      </c>
      <c r="B3317" t="s">
        <v>170</v>
      </c>
      <c r="C3317" t="s">
        <v>134</v>
      </c>
      <c r="D3317">
        <v>2014</v>
      </c>
      <c r="E3317">
        <v>0</v>
      </c>
      <c r="F3317" t="s">
        <v>183</v>
      </c>
    </row>
    <row r="3318" spans="1:6" x14ac:dyDescent="0.25">
      <c r="A3318" t="s">
        <v>192</v>
      </c>
      <c r="B3318" t="s">
        <v>170</v>
      </c>
      <c r="C3318" t="s">
        <v>134</v>
      </c>
      <c r="D3318">
        <v>2013</v>
      </c>
      <c r="E3318">
        <v>0</v>
      </c>
      <c r="F3318" t="s">
        <v>183</v>
      </c>
    </row>
    <row r="3319" spans="1:6" x14ac:dyDescent="0.25">
      <c r="A3319" t="s">
        <v>192</v>
      </c>
      <c r="B3319" t="s">
        <v>170</v>
      </c>
      <c r="C3319" t="s">
        <v>134</v>
      </c>
      <c r="D3319">
        <v>2012</v>
      </c>
      <c r="E3319">
        <v>0</v>
      </c>
      <c r="F3319" t="s">
        <v>183</v>
      </c>
    </row>
    <row r="3320" spans="1:6" x14ac:dyDescent="0.25">
      <c r="A3320" t="s">
        <v>192</v>
      </c>
      <c r="B3320" t="s">
        <v>170</v>
      </c>
      <c r="C3320" t="s">
        <v>134</v>
      </c>
      <c r="D3320">
        <v>2011</v>
      </c>
      <c r="E3320">
        <v>0</v>
      </c>
      <c r="F3320" t="s">
        <v>183</v>
      </c>
    </row>
    <row r="3321" spans="1:6" x14ac:dyDescent="0.25">
      <c r="A3321" t="s">
        <v>192</v>
      </c>
      <c r="B3321" t="s">
        <v>170</v>
      </c>
      <c r="C3321" t="s">
        <v>134</v>
      </c>
      <c r="D3321">
        <v>2010</v>
      </c>
      <c r="E3321">
        <v>0</v>
      </c>
      <c r="F3321" t="s">
        <v>183</v>
      </c>
    </row>
    <row r="3322" spans="1:6" x14ac:dyDescent="0.25">
      <c r="A3322" t="s">
        <v>192</v>
      </c>
      <c r="B3322" t="s">
        <v>170</v>
      </c>
      <c r="C3322" t="s">
        <v>135</v>
      </c>
      <c r="D3322">
        <v>2014</v>
      </c>
      <c r="E3322">
        <v>0</v>
      </c>
      <c r="F3322" t="s">
        <v>183</v>
      </c>
    </row>
    <row r="3323" spans="1:6" x14ac:dyDescent="0.25">
      <c r="A3323" t="s">
        <v>192</v>
      </c>
      <c r="B3323" t="s">
        <v>170</v>
      </c>
      <c r="C3323" t="s">
        <v>135</v>
      </c>
      <c r="D3323">
        <v>2013</v>
      </c>
      <c r="E3323">
        <v>0</v>
      </c>
      <c r="F3323" t="s">
        <v>183</v>
      </c>
    </row>
    <row r="3324" spans="1:6" x14ac:dyDescent="0.25">
      <c r="A3324" t="s">
        <v>192</v>
      </c>
      <c r="B3324" t="s">
        <v>170</v>
      </c>
      <c r="C3324" t="s">
        <v>135</v>
      </c>
      <c r="D3324">
        <v>2012</v>
      </c>
      <c r="E3324">
        <v>0</v>
      </c>
      <c r="F3324" t="s">
        <v>183</v>
      </c>
    </row>
    <row r="3325" spans="1:6" x14ac:dyDescent="0.25">
      <c r="A3325" t="s">
        <v>192</v>
      </c>
      <c r="B3325" t="s">
        <v>170</v>
      </c>
      <c r="C3325" t="s">
        <v>135</v>
      </c>
      <c r="D3325">
        <v>2011</v>
      </c>
      <c r="E3325">
        <v>0</v>
      </c>
      <c r="F3325" t="s">
        <v>183</v>
      </c>
    </row>
    <row r="3326" spans="1:6" x14ac:dyDescent="0.25">
      <c r="A3326" t="s">
        <v>192</v>
      </c>
      <c r="B3326" t="s">
        <v>170</v>
      </c>
      <c r="C3326" t="s">
        <v>135</v>
      </c>
      <c r="D3326">
        <v>2010</v>
      </c>
      <c r="E3326">
        <v>0</v>
      </c>
      <c r="F3326" t="s">
        <v>183</v>
      </c>
    </row>
    <row r="3327" spans="1:6" x14ac:dyDescent="0.25">
      <c r="A3327" t="s">
        <v>192</v>
      </c>
      <c r="B3327" t="s">
        <v>170</v>
      </c>
      <c r="C3327" t="s">
        <v>136</v>
      </c>
      <c r="D3327">
        <v>2014</v>
      </c>
      <c r="E3327">
        <v>0</v>
      </c>
      <c r="F3327" t="s">
        <v>183</v>
      </c>
    </row>
    <row r="3328" spans="1:6" x14ac:dyDescent="0.25">
      <c r="A3328" t="s">
        <v>192</v>
      </c>
      <c r="B3328" t="s">
        <v>170</v>
      </c>
      <c r="C3328" t="s">
        <v>136</v>
      </c>
      <c r="D3328">
        <v>2013</v>
      </c>
      <c r="E3328">
        <v>0</v>
      </c>
      <c r="F3328" t="s">
        <v>183</v>
      </c>
    </row>
    <row r="3329" spans="1:6" x14ac:dyDescent="0.25">
      <c r="A3329" t="s">
        <v>192</v>
      </c>
      <c r="B3329" t="s">
        <v>170</v>
      </c>
      <c r="C3329" t="s">
        <v>136</v>
      </c>
      <c r="D3329">
        <v>2012</v>
      </c>
      <c r="E3329">
        <v>0</v>
      </c>
      <c r="F3329" t="s">
        <v>183</v>
      </c>
    </row>
    <row r="3330" spans="1:6" x14ac:dyDescent="0.25">
      <c r="A3330" t="s">
        <v>192</v>
      </c>
      <c r="B3330" t="s">
        <v>170</v>
      </c>
      <c r="C3330" t="s">
        <v>136</v>
      </c>
      <c r="D3330">
        <v>2011</v>
      </c>
      <c r="E3330">
        <v>0</v>
      </c>
      <c r="F3330" t="s">
        <v>183</v>
      </c>
    </row>
    <row r="3331" spans="1:6" x14ac:dyDescent="0.25">
      <c r="A3331" t="s">
        <v>192</v>
      </c>
      <c r="B3331" t="s">
        <v>170</v>
      </c>
      <c r="C3331" t="s">
        <v>136</v>
      </c>
      <c r="D3331">
        <v>2010</v>
      </c>
      <c r="E3331">
        <v>0</v>
      </c>
      <c r="F3331" t="s">
        <v>183</v>
      </c>
    </row>
    <row r="3332" spans="1:6" x14ac:dyDescent="0.25">
      <c r="A3332" t="s">
        <v>192</v>
      </c>
      <c r="B3332" t="s">
        <v>170</v>
      </c>
      <c r="C3332" t="s">
        <v>137</v>
      </c>
      <c r="D3332">
        <v>2014</v>
      </c>
      <c r="E3332">
        <v>0</v>
      </c>
      <c r="F3332" t="s">
        <v>183</v>
      </c>
    </row>
    <row r="3333" spans="1:6" x14ac:dyDescent="0.25">
      <c r="A3333" t="s">
        <v>192</v>
      </c>
      <c r="B3333" t="s">
        <v>170</v>
      </c>
      <c r="C3333" t="s">
        <v>137</v>
      </c>
      <c r="D3333">
        <v>2013</v>
      </c>
      <c r="E3333">
        <v>0</v>
      </c>
      <c r="F3333" t="s">
        <v>183</v>
      </c>
    </row>
    <row r="3334" spans="1:6" x14ac:dyDescent="0.25">
      <c r="A3334" t="s">
        <v>192</v>
      </c>
      <c r="B3334" t="s">
        <v>170</v>
      </c>
      <c r="C3334" t="s">
        <v>137</v>
      </c>
      <c r="D3334">
        <v>2012</v>
      </c>
      <c r="E3334">
        <v>0</v>
      </c>
      <c r="F3334" t="s">
        <v>183</v>
      </c>
    </row>
    <row r="3335" spans="1:6" x14ac:dyDescent="0.25">
      <c r="A3335" t="s">
        <v>192</v>
      </c>
      <c r="B3335" t="s">
        <v>170</v>
      </c>
      <c r="C3335" t="s">
        <v>137</v>
      </c>
      <c r="D3335">
        <v>2011</v>
      </c>
      <c r="E3335">
        <v>0</v>
      </c>
      <c r="F3335" t="s">
        <v>183</v>
      </c>
    </row>
    <row r="3336" spans="1:6" x14ac:dyDescent="0.25">
      <c r="A3336" t="s">
        <v>192</v>
      </c>
      <c r="B3336" t="s">
        <v>170</v>
      </c>
      <c r="C3336" t="s">
        <v>137</v>
      </c>
      <c r="D3336">
        <v>2010</v>
      </c>
      <c r="E3336">
        <v>0</v>
      </c>
      <c r="F3336" t="s">
        <v>183</v>
      </c>
    </row>
    <row r="3337" spans="1:6" x14ac:dyDescent="0.25">
      <c r="A3337" t="s">
        <v>192</v>
      </c>
      <c r="B3337" t="s">
        <v>170</v>
      </c>
      <c r="C3337" t="s">
        <v>138</v>
      </c>
      <c r="D3337">
        <v>2014</v>
      </c>
      <c r="E3337">
        <v>0</v>
      </c>
      <c r="F3337" t="s">
        <v>183</v>
      </c>
    </row>
    <row r="3338" spans="1:6" x14ac:dyDescent="0.25">
      <c r="A3338" t="s">
        <v>192</v>
      </c>
      <c r="B3338" t="s">
        <v>170</v>
      </c>
      <c r="C3338" t="s">
        <v>138</v>
      </c>
      <c r="D3338">
        <v>2013</v>
      </c>
      <c r="E3338">
        <v>0</v>
      </c>
      <c r="F3338" t="s">
        <v>183</v>
      </c>
    </row>
    <row r="3339" spans="1:6" x14ac:dyDescent="0.25">
      <c r="A3339" t="s">
        <v>192</v>
      </c>
      <c r="B3339" t="s">
        <v>170</v>
      </c>
      <c r="C3339" t="s">
        <v>138</v>
      </c>
      <c r="D3339">
        <v>2012</v>
      </c>
      <c r="E3339">
        <v>0</v>
      </c>
      <c r="F3339" t="s">
        <v>183</v>
      </c>
    </row>
    <row r="3340" spans="1:6" x14ac:dyDescent="0.25">
      <c r="A3340" t="s">
        <v>192</v>
      </c>
      <c r="B3340" t="s">
        <v>170</v>
      </c>
      <c r="C3340" t="s">
        <v>138</v>
      </c>
      <c r="D3340">
        <v>2011</v>
      </c>
      <c r="E3340">
        <v>0</v>
      </c>
      <c r="F3340" t="s">
        <v>183</v>
      </c>
    </row>
    <row r="3341" spans="1:6" x14ac:dyDescent="0.25">
      <c r="A3341" t="s">
        <v>192</v>
      </c>
      <c r="B3341" t="s">
        <v>170</v>
      </c>
      <c r="C3341" t="s">
        <v>138</v>
      </c>
      <c r="D3341">
        <v>2010</v>
      </c>
      <c r="E3341">
        <v>0</v>
      </c>
      <c r="F3341" t="s">
        <v>183</v>
      </c>
    </row>
    <row r="3342" spans="1:6" x14ac:dyDescent="0.25">
      <c r="A3342" t="s">
        <v>192</v>
      </c>
      <c r="B3342" t="s">
        <v>170</v>
      </c>
      <c r="C3342" t="s">
        <v>164</v>
      </c>
      <c r="D3342">
        <v>2014</v>
      </c>
      <c r="E3342">
        <v>0</v>
      </c>
      <c r="F3342" t="s">
        <v>183</v>
      </c>
    </row>
    <row r="3343" spans="1:6" x14ac:dyDescent="0.25">
      <c r="A3343" t="s">
        <v>192</v>
      </c>
      <c r="B3343" t="s">
        <v>170</v>
      </c>
      <c r="C3343" t="s">
        <v>164</v>
      </c>
      <c r="D3343">
        <v>2013</v>
      </c>
      <c r="E3343">
        <v>0</v>
      </c>
      <c r="F3343" t="s">
        <v>183</v>
      </c>
    </row>
    <row r="3344" spans="1:6" x14ac:dyDescent="0.25">
      <c r="A3344" t="s">
        <v>192</v>
      </c>
      <c r="B3344" t="s">
        <v>170</v>
      </c>
      <c r="C3344" t="s">
        <v>164</v>
      </c>
      <c r="D3344">
        <v>2012</v>
      </c>
      <c r="E3344">
        <v>0</v>
      </c>
      <c r="F3344" t="s">
        <v>183</v>
      </c>
    </row>
    <row r="3345" spans="1:6" x14ac:dyDescent="0.25">
      <c r="A3345" t="s">
        <v>192</v>
      </c>
      <c r="B3345" t="s">
        <v>170</v>
      </c>
      <c r="C3345" t="s">
        <v>164</v>
      </c>
      <c r="D3345">
        <v>2011</v>
      </c>
      <c r="E3345">
        <v>0</v>
      </c>
      <c r="F3345" t="s">
        <v>183</v>
      </c>
    </row>
    <row r="3346" spans="1:6" x14ac:dyDescent="0.25">
      <c r="A3346" t="s">
        <v>192</v>
      </c>
      <c r="B3346" t="s">
        <v>170</v>
      </c>
      <c r="C3346" t="s">
        <v>164</v>
      </c>
      <c r="D3346">
        <v>2010</v>
      </c>
      <c r="E3346">
        <v>0</v>
      </c>
      <c r="F3346" t="s">
        <v>183</v>
      </c>
    </row>
    <row r="3347" spans="1:6" x14ac:dyDescent="0.25">
      <c r="A3347" t="s">
        <v>192</v>
      </c>
      <c r="B3347" t="s">
        <v>170</v>
      </c>
      <c r="C3347" t="s">
        <v>139</v>
      </c>
      <c r="D3347">
        <v>2014</v>
      </c>
      <c r="E3347">
        <v>0</v>
      </c>
      <c r="F3347" t="s">
        <v>183</v>
      </c>
    </row>
    <row r="3348" spans="1:6" x14ac:dyDescent="0.25">
      <c r="A3348" t="s">
        <v>192</v>
      </c>
      <c r="B3348" t="s">
        <v>170</v>
      </c>
      <c r="C3348" t="s">
        <v>139</v>
      </c>
      <c r="D3348">
        <v>2013</v>
      </c>
      <c r="E3348">
        <v>0</v>
      </c>
      <c r="F3348" t="s">
        <v>183</v>
      </c>
    </row>
    <row r="3349" spans="1:6" x14ac:dyDescent="0.25">
      <c r="A3349" t="s">
        <v>192</v>
      </c>
      <c r="B3349" t="s">
        <v>170</v>
      </c>
      <c r="C3349" t="s">
        <v>139</v>
      </c>
      <c r="D3349">
        <v>2012</v>
      </c>
      <c r="E3349">
        <v>0</v>
      </c>
      <c r="F3349" t="s">
        <v>183</v>
      </c>
    </row>
    <row r="3350" spans="1:6" x14ac:dyDescent="0.25">
      <c r="A3350" t="s">
        <v>192</v>
      </c>
      <c r="B3350" t="s">
        <v>170</v>
      </c>
      <c r="C3350" t="s">
        <v>139</v>
      </c>
      <c r="D3350">
        <v>2011</v>
      </c>
      <c r="E3350">
        <v>0</v>
      </c>
      <c r="F3350" t="s">
        <v>183</v>
      </c>
    </row>
    <row r="3351" spans="1:6" x14ac:dyDescent="0.25">
      <c r="A3351" t="s">
        <v>192</v>
      </c>
      <c r="B3351" t="s">
        <v>170</v>
      </c>
      <c r="C3351" t="s">
        <v>139</v>
      </c>
      <c r="D3351">
        <v>2010</v>
      </c>
      <c r="E3351">
        <v>0</v>
      </c>
      <c r="F3351" t="s">
        <v>183</v>
      </c>
    </row>
    <row r="3352" spans="1:6" x14ac:dyDescent="0.25">
      <c r="A3352" t="s">
        <v>192</v>
      </c>
      <c r="B3352" t="s">
        <v>170</v>
      </c>
      <c r="C3352" t="s">
        <v>165</v>
      </c>
      <c r="D3352">
        <v>2014</v>
      </c>
      <c r="E3352">
        <v>0</v>
      </c>
      <c r="F3352" t="s">
        <v>183</v>
      </c>
    </row>
    <row r="3353" spans="1:6" x14ac:dyDescent="0.25">
      <c r="A3353" t="s">
        <v>192</v>
      </c>
      <c r="B3353" t="s">
        <v>170</v>
      </c>
      <c r="C3353" t="s">
        <v>165</v>
      </c>
      <c r="D3353">
        <v>2013</v>
      </c>
      <c r="E3353">
        <v>0</v>
      </c>
      <c r="F3353" t="s">
        <v>183</v>
      </c>
    </row>
    <row r="3354" spans="1:6" x14ac:dyDescent="0.25">
      <c r="A3354" t="s">
        <v>192</v>
      </c>
      <c r="B3354" t="s">
        <v>170</v>
      </c>
      <c r="C3354" t="s">
        <v>165</v>
      </c>
      <c r="D3354">
        <v>2012</v>
      </c>
      <c r="E3354">
        <v>0</v>
      </c>
      <c r="F3354" t="s">
        <v>183</v>
      </c>
    </row>
    <row r="3355" spans="1:6" x14ac:dyDescent="0.25">
      <c r="A3355" t="s">
        <v>192</v>
      </c>
      <c r="B3355" t="s">
        <v>170</v>
      </c>
      <c r="C3355" t="s">
        <v>165</v>
      </c>
      <c r="D3355">
        <v>2011</v>
      </c>
      <c r="E3355">
        <v>0</v>
      </c>
      <c r="F3355" t="s">
        <v>183</v>
      </c>
    </row>
    <row r="3356" spans="1:6" x14ac:dyDescent="0.25">
      <c r="A3356" t="s">
        <v>192</v>
      </c>
      <c r="B3356" t="s">
        <v>170</v>
      </c>
      <c r="C3356" t="s">
        <v>165</v>
      </c>
      <c r="D3356">
        <v>2010</v>
      </c>
      <c r="E3356">
        <v>0</v>
      </c>
      <c r="F3356" t="s">
        <v>183</v>
      </c>
    </row>
    <row r="3357" spans="1:6" x14ac:dyDescent="0.25">
      <c r="A3357" t="s">
        <v>192</v>
      </c>
      <c r="B3357" t="s">
        <v>170</v>
      </c>
      <c r="C3357" t="s">
        <v>140</v>
      </c>
      <c r="D3357">
        <v>2014</v>
      </c>
      <c r="E3357">
        <v>0</v>
      </c>
      <c r="F3357" t="s">
        <v>183</v>
      </c>
    </row>
    <row r="3358" spans="1:6" x14ac:dyDescent="0.25">
      <c r="A3358" t="s">
        <v>192</v>
      </c>
      <c r="B3358" t="s">
        <v>170</v>
      </c>
      <c r="C3358" t="s">
        <v>140</v>
      </c>
      <c r="D3358">
        <v>2013</v>
      </c>
      <c r="E3358">
        <v>0</v>
      </c>
      <c r="F3358" t="s">
        <v>183</v>
      </c>
    </row>
    <row r="3359" spans="1:6" x14ac:dyDescent="0.25">
      <c r="A3359" t="s">
        <v>192</v>
      </c>
      <c r="B3359" t="s">
        <v>170</v>
      </c>
      <c r="C3359" t="s">
        <v>140</v>
      </c>
      <c r="D3359">
        <v>2012</v>
      </c>
      <c r="E3359">
        <v>0</v>
      </c>
      <c r="F3359" t="s">
        <v>183</v>
      </c>
    </row>
    <row r="3360" spans="1:6" x14ac:dyDescent="0.25">
      <c r="A3360" t="s">
        <v>192</v>
      </c>
      <c r="B3360" t="s">
        <v>170</v>
      </c>
      <c r="C3360" t="s">
        <v>140</v>
      </c>
      <c r="D3360">
        <v>2011</v>
      </c>
      <c r="E3360">
        <v>0</v>
      </c>
      <c r="F3360" t="s">
        <v>183</v>
      </c>
    </row>
    <row r="3361" spans="1:6" x14ac:dyDescent="0.25">
      <c r="A3361" t="s">
        <v>192</v>
      </c>
      <c r="B3361" t="s">
        <v>170</v>
      </c>
      <c r="C3361" t="s">
        <v>140</v>
      </c>
      <c r="D3361">
        <v>2010</v>
      </c>
      <c r="E3361">
        <v>0</v>
      </c>
      <c r="F3361" t="s">
        <v>183</v>
      </c>
    </row>
    <row r="3362" spans="1:6" x14ac:dyDescent="0.25">
      <c r="A3362" t="s">
        <v>192</v>
      </c>
      <c r="B3362" t="s">
        <v>170</v>
      </c>
      <c r="C3362" t="s">
        <v>141</v>
      </c>
      <c r="D3362">
        <v>2014</v>
      </c>
      <c r="E3362">
        <v>0</v>
      </c>
      <c r="F3362" t="s">
        <v>183</v>
      </c>
    </row>
    <row r="3363" spans="1:6" x14ac:dyDescent="0.25">
      <c r="A3363" t="s">
        <v>192</v>
      </c>
      <c r="B3363" t="s">
        <v>170</v>
      </c>
      <c r="C3363" t="s">
        <v>141</v>
      </c>
      <c r="D3363">
        <v>2013</v>
      </c>
      <c r="E3363">
        <v>0</v>
      </c>
      <c r="F3363" t="s">
        <v>183</v>
      </c>
    </row>
    <row r="3364" spans="1:6" x14ac:dyDescent="0.25">
      <c r="A3364" t="s">
        <v>192</v>
      </c>
      <c r="B3364" t="s">
        <v>170</v>
      </c>
      <c r="C3364" t="s">
        <v>141</v>
      </c>
      <c r="D3364">
        <v>2012</v>
      </c>
      <c r="E3364">
        <v>0</v>
      </c>
      <c r="F3364" t="s">
        <v>183</v>
      </c>
    </row>
    <row r="3365" spans="1:6" x14ac:dyDescent="0.25">
      <c r="A3365" t="s">
        <v>192</v>
      </c>
      <c r="B3365" t="s">
        <v>170</v>
      </c>
      <c r="C3365" t="s">
        <v>141</v>
      </c>
      <c r="D3365">
        <v>2011</v>
      </c>
      <c r="E3365">
        <v>0</v>
      </c>
      <c r="F3365" t="s">
        <v>183</v>
      </c>
    </row>
    <row r="3366" spans="1:6" x14ac:dyDescent="0.25">
      <c r="A3366" t="s">
        <v>192</v>
      </c>
      <c r="B3366" t="s">
        <v>170</v>
      </c>
      <c r="C3366" t="s">
        <v>141</v>
      </c>
      <c r="D3366">
        <v>2010</v>
      </c>
      <c r="E3366">
        <v>0</v>
      </c>
      <c r="F3366" t="s">
        <v>183</v>
      </c>
    </row>
    <row r="3367" spans="1:6" x14ac:dyDescent="0.25">
      <c r="A3367" t="s">
        <v>192</v>
      </c>
      <c r="B3367" t="s">
        <v>170</v>
      </c>
      <c r="C3367" t="s">
        <v>142</v>
      </c>
      <c r="D3367">
        <v>2014</v>
      </c>
      <c r="E3367">
        <v>0</v>
      </c>
      <c r="F3367" t="s">
        <v>183</v>
      </c>
    </row>
    <row r="3368" spans="1:6" x14ac:dyDescent="0.25">
      <c r="A3368" t="s">
        <v>192</v>
      </c>
      <c r="B3368" t="s">
        <v>170</v>
      </c>
      <c r="C3368" t="s">
        <v>142</v>
      </c>
      <c r="D3368">
        <v>2013</v>
      </c>
      <c r="E3368">
        <v>0</v>
      </c>
      <c r="F3368" t="s">
        <v>183</v>
      </c>
    </row>
    <row r="3369" spans="1:6" x14ac:dyDescent="0.25">
      <c r="A3369" t="s">
        <v>192</v>
      </c>
      <c r="B3369" t="s">
        <v>170</v>
      </c>
      <c r="C3369" t="s">
        <v>142</v>
      </c>
      <c r="D3369">
        <v>2012</v>
      </c>
      <c r="E3369">
        <v>0</v>
      </c>
      <c r="F3369" t="s">
        <v>183</v>
      </c>
    </row>
    <row r="3370" spans="1:6" x14ac:dyDescent="0.25">
      <c r="A3370" t="s">
        <v>192</v>
      </c>
      <c r="B3370" t="s">
        <v>170</v>
      </c>
      <c r="C3370" t="s">
        <v>142</v>
      </c>
      <c r="D3370">
        <v>2011</v>
      </c>
      <c r="E3370">
        <v>0</v>
      </c>
      <c r="F3370" t="s">
        <v>183</v>
      </c>
    </row>
    <row r="3371" spans="1:6" x14ac:dyDescent="0.25">
      <c r="A3371" t="s">
        <v>192</v>
      </c>
      <c r="B3371" t="s">
        <v>170</v>
      </c>
      <c r="C3371" t="s">
        <v>142</v>
      </c>
      <c r="D3371">
        <v>2010</v>
      </c>
      <c r="E3371">
        <v>0</v>
      </c>
      <c r="F3371" t="s">
        <v>183</v>
      </c>
    </row>
    <row r="3372" spans="1:6" x14ac:dyDescent="0.25">
      <c r="A3372" t="s">
        <v>192</v>
      </c>
      <c r="B3372" t="s">
        <v>170</v>
      </c>
      <c r="C3372" t="s">
        <v>166</v>
      </c>
      <c r="D3372">
        <v>2014</v>
      </c>
      <c r="E3372">
        <v>0</v>
      </c>
      <c r="F3372" t="s">
        <v>183</v>
      </c>
    </row>
    <row r="3373" spans="1:6" x14ac:dyDescent="0.25">
      <c r="A3373" t="s">
        <v>192</v>
      </c>
      <c r="B3373" t="s">
        <v>170</v>
      </c>
      <c r="C3373" t="s">
        <v>166</v>
      </c>
      <c r="D3373">
        <v>2013</v>
      </c>
      <c r="E3373">
        <v>0</v>
      </c>
      <c r="F3373" t="s">
        <v>183</v>
      </c>
    </row>
    <row r="3374" spans="1:6" x14ac:dyDescent="0.25">
      <c r="A3374" t="s">
        <v>192</v>
      </c>
      <c r="B3374" t="s">
        <v>170</v>
      </c>
      <c r="C3374" t="s">
        <v>166</v>
      </c>
      <c r="D3374">
        <v>2012</v>
      </c>
      <c r="E3374">
        <v>0</v>
      </c>
      <c r="F3374" t="s">
        <v>183</v>
      </c>
    </row>
    <row r="3375" spans="1:6" x14ac:dyDescent="0.25">
      <c r="A3375" t="s">
        <v>192</v>
      </c>
      <c r="B3375" t="s">
        <v>170</v>
      </c>
      <c r="C3375" t="s">
        <v>166</v>
      </c>
      <c r="D3375">
        <v>2011</v>
      </c>
      <c r="E3375">
        <v>0</v>
      </c>
      <c r="F3375" t="s">
        <v>183</v>
      </c>
    </row>
    <row r="3376" spans="1:6" x14ac:dyDescent="0.25">
      <c r="A3376" t="s">
        <v>192</v>
      </c>
      <c r="B3376" t="s">
        <v>170</v>
      </c>
      <c r="C3376" t="s">
        <v>166</v>
      </c>
      <c r="D3376">
        <v>2010</v>
      </c>
      <c r="E3376">
        <v>0</v>
      </c>
      <c r="F3376" t="s">
        <v>183</v>
      </c>
    </row>
    <row r="3377" spans="1:6" x14ac:dyDescent="0.25">
      <c r="A3377" t="s">
        <v>192</v>
      </c>
      <c r="B3377" t="s">
        <v>170</v>
      </c>
      <c r="C3377" t="s">
        <v>143</v>
      </c>
      <c r="D3377">
        <v>2014</v>
      </c>
      <c r="E3377">
        <v>0</v>
      </c>
      <c r="F3377" t="s">
        <v>183</v>
      </c>
    </row>
    <row r="3378" spans="1:6" x14ac:dyDescent="0.25">
      <c r="A3378" t="s">
        <v>192</v>
      </c>
      <c r="B3378" t="s">
        <v>170</v>
      </c>
      <c r="C3378" t="s">
        <v>143</v>
      </c>
      <c r="D3378">
        <v>2013</v>
      </c>
      <c r="E3378">
        <v>0</v>
      </c>
      <c r="F3378" t="s">
        <v>183</v>
      </c>
    </row>
    <row r="3379" spans="1:6" x14ac:dyDescent="0.25">
      <c r="A3379" t="s">
        <v>192</v>
      </c>
      <c r="B3379" t="s">
        <v>170</v>
      </c>
      <c r="C3379" t="s">
        <v>143</v>
      </c>
      <c r="D3379">
        <v>2012</v>
      </c>
      <c r="E3379">
        <v>0</v>
      </c>
      <c r="F3379" t="s">
        <v>183</v>
      </c>
    </row>
    <row r="3380" spans="1:6" x14ac:dyDescent="0.25">
      <c r="A3380" t="s">
        <v>192</v>
      </c>
      <c r="B3380" t="s">
        <v>170</v>
      </c>
      <c r="C3380" t="s">
        <v>143</v>
      </c>
      <c r="D3380">
        <v>2011</v>
      </c>
      <c r="E3380">
        <v>0</v>
      </c>
      <c r="F3380" t="s">
        <v>183</v>
      </c>
    </row>
    <row r="3381" spans="1:6" x14ac:dyDescent="0.25">
      <c r="A3381" t="s">
        <v>192</v>
      </c>
      <c r="B3381" t="s">
        <v>170</v>
      </c>
      <c r="C3381" t="s">
        <v>143</v>
      </c>
      <c r="D3381">
        <v>2010</v>
      </c>
      <c r="E3381">
        <v>0</v>
      </c>
      <c r="F3381" t="s">
        <v>183</v>
      </c>
    </row>
    <row r="3382" spans="1:6" x14ac:dyDescent="0.25">
      <c r="A3382" t="s">
        <v>192</v>
      </c>
      <c r="B3382" t="s">
        <v>170</v>
      </c>
      <c r="C3382" t="s">
        <v>144</v>
      </c>
      <c r="D3382">
        <v>2014</v>
      </c>
      <c r="E3382">
        <v>0</v>
      </c>
      <c r="F3382" t="s">
        <v>183</v>
      </c>
    </row>
    <row r="3383" spans="1:6" x14ac:dyDescent="0.25">
      <c r="A3383" t="s">
        <v>192</v>
      </c>
      <c r="B3383" t="s">
        <v>170</v>
      </c>
      <c r="C3383" t="s">
        <v>144</v>
      </c>
      <c r="D3383">
        <v>2013</v>
      </c>
      <c r="E3383">
        <v>0</v>
      </c>
      <c r="F3383" t="s">
        <v>183</v>
      </c>
    </row>
    <row r="3384" spans="1:6" x14ac:dyDescent="0.25">
      <c r="A3384" t="s">
        <v>192</v>
      </c>
      <c r="B3384" t="s">
        <v>170</v>
      </c>
      <c r="C3384" t="s">
        <v>144</v>
      </c>
      <c r="D3384">
        <v>2012</v>
      </c>
      <c r="E3384">
        <v>0</v>
      </c>
      <c r="F3384" t="s">
        <v>183</v>
      </c>
    </row>
    <row r="3385" spans="1:6" x14ac:dyDescent="0.25">
      <c r="A3385" t="s">
        <v>192</v>
      </c>
      <c r="B3385" t="s">
        <v>170</v>
      </c>
      <c r="C3385" t="s">
        <v>144</v>
      </c>
      <c r="D3385">
        <v>2011</v>
      </c>
      <c r="E3385">
        <v>0</v>
      </c>
      <c r="F3385" t="s">
        <v>183</v>
      </c>
    </row>
    <row r="3386" spans="1:6" x14ac:dyDescent="0.25">
      <c r="A3386" t="s">
        <v>192</v>
      </c>
      <c r="B3386" t="s">
        <v>170</v>
      </c>
      <c r="C3386" t="s">
        <v>144</v>
      </c>
      <c r="D3386">
        <v>2010</v>
      </c>
      <c r="E3386">
        <v>0</v>
      </c>
      <c r="F3386" t="s">
        <v>183</v>
      </c>
    </row>
    <row r="3387" spans="1:6" x14ac:dyDescent="0.25">
      <c r="A3387" t="s">
        <v>192</v>
      </c>
      <c r="B3387" t="s">
        <v>170</v>
      </c>
      <c r="C3387" t="s">
        <v>145</v>
      </c>
      <c r="D3387">
        <v>2014</v>
      </c>
      <c r="E3387">
        <v>0</v>
      </c>
      <c r="F3387" t="s">
        <v>183</v>
      </c>
    </row>
    <row r="3388" spans="1:6" x14ac:dyDescent="0.25">
      <c r="A3388" t="s">
        <v>192</v>
      </c>
      <c r="B3388" t="s">
        <v>170</v>
      </c>
      <c r="C3388" t="s">
        <v>145</v>
      </c>
      <c r="D3388">
        <v>2013</v>
      </c>
      <c r="E3388">
        <v>0</v>
      </c>
      <c r="F3388" t="s">
        <v>183</v>
      </c>
    </row>
    <row r="3389" spans="1:6" x14ac:dyDescent="0.25">
      <c r="A3389" t="s">
        <v>192</v>
      </c>
      <c r="B3389" t="s">
        <v>170</v>
      </c>
      <c r="C3389" t="s">
        <v>145</v>
      </c>
      <c r="D3389">
        <v>2012</v>
      </c>
      <c r="E3389">
        <v>0</v>
      </c>
      <c r="F3389" t="s">
        <v>183</v>
      </c>
    </row>
    <row r="3390" spans="1:6" x14ac:dyDescent="0.25">
      <c r="A3390" t="s">
        <v>192</v>
      </c>
      <c r="B3390" t="s">
        <v>170</v>
      </c>
      <c r="C3390" t="s">
        <v>145</v>
      </c>
      <c r="D3390">
        <v>2011</v>
      </c>
      <c r="E3390">
        <v>0</v>
      </c>
      <c r="F3390" t="s">
        <v>183</v>
      </c>
    </row>
    <row r="3391" spans="1:6" x14ac:dyDescent="0.25">
      <c r="A3391" t="s">
        <v>192</v>
      </c>
      <c r="B3391" t="s">
        <v>170</v>
      </c>
      <c r="C3391" t="s">
        <v>145</v>
      </c>
      <c r="D3391">
        <v>2010</v>
      </c>
      <c r="E3391">
        <v>0</v>
      </c>
      <c r="F3391" t="s">
        <v>183</v>
      </c>
    </row>
    <row r="3392" spans="1:6" x14ac:dyDescent="0.25">
      <c r="A3392" t="s">
        <v>192</v>
      </c>
      <c r="B3392" t="s">
        <v>170</v>
      </c>
      <c r="C3392" t="s">
        <v>146</v>
      </c>
      <c r="D3392">
        <v>2014</v>
      </c>
      <c r="E3392">
        <v>0</v>
      </c>
      <c r="F3392" t="s">
        <v>183</v>
      </c>
    </row>
    <row r="3393" spans="1:6" x14ac:dyDescent="0.25">
      <c r="A3393" t="s">
        <v>192</v>
      </c>
      <c r="B3393" t="s">
        <v>170</v>
      </c>
      <c r="C3393" t="s">
        <v>146</v>
      </c>
      <c r="D3393">
        <v>2013</v>
      </c>
      <c r="E3393">
        <v>0</v>
      </c>
      <c r="F3393" t="s">
        <v>183</v>
      </c>
    </row>
    <row r="3394" spans="1:6" x14ac:dyDescent="0.25">
      <c r="A3394" t="s">
        <v>192</v>
      </c>
      <c r="B3394" t="s">
        <v>170</v>
      </c>
      <c r="C3394" t="s">
        <v>146</v>
      </c>
      <c r="D3394">
        <v>2012</v>
      </c>
      <c r="E3394">
        <v>0</v>
      </c>
      <c r="F3394" t="s">
        <v>183</v>
      </c>
    </row>
    <row r="3395" spans="1:6" x14ac:dyDescent="0.25">
      <c r="A3395" t="s">
        <v>192</v>
      </c>
      <c r="B3395" t="s">
        <v>170</v>
      </c>
      <c r="C3395" t="s">
        <v>146</v>
      </c>
      <c r="D3395">
        <v>2011</v>
      </c>
      <c r="E3395">
        <v>0</v>
      </c>
      <c r="F3395" t="s">
        <v>183</v>
      </c>
    </row>
    <row r="3396" spans="1:6" x14ac:dyDescent="0.25">
      <c r="A3396" t="s">
        <v>192</v>
      </c>
      <c r="B3396" t="s">
        <v>170</v>
      </c>
      <c r="C3396" t="s">
        <v>146</v>
      </c>
      <c r="D3396">
        <v>2010</v>
      </c>
      <c r="E3396">
        <v>0</v>
      </c>
      <c r="F3396" t="s">
        <v>183</v>
      </c>
    </row>
    <row r="3397" spans="1:6" x14ac:dyDescent="0.25">
      <c r="A3397" t="s">
        <v>192</v>
      </c>
      <c r="B3397" t="s">
        <v>170</v>
      </c>
      <c r="C3397" t="s">
        <v>147</v>
      </c>
      <c r="D3397">
        <v>2014</v>
      </c>
      <c r="E3397">
        <v>0</v>
      </c>
      <c r="F3397" t="s">
        <v>183</v>
      </c>
    </row>
    <row r="3398" spans="1:6" x14ac:dyDescent="0.25">
      <c r="A3398" t="s">
        <v>192</v>
      </c>
      <c r="B3398" t="s">
        <v>170</v>
      </c>
      <c r="C3398" t="s">
        <v>147</v>
      </c>
      <c r="D3398">
        <v>2013</v>
      </c>
      <c r="E3398">
        <v>0</v>
      </c>
      <c r="F3398" t="s">
        <v>183</v>
      </c>
    </row>
    <row r="3399" spans="1:6" x14ac:dyDescent="0.25">
      <c r="A3399" t="s">
        <v>192</v>
      </c>
      <c r="B3399" t="s">
        <v>170</v>
      </c>
      <c r="C3399" t="s">
        <v>147</v>
      </c>
      <c r="D3399">
        <v>2012</v>
      </c>
      <c r="E3399">
        <v>0</v>
      </c>
      <c r="F3399" t="s">
        <v>183</v>
      </c>
    </row>
    <row r="3400" spans="1:6" x14ac:dyDescent="0.25">
      <c r="A3400" t="s">
        <v>192</v>
      </c>
      <c r="B3400" t="s">
        <v>170</v>
      </c>
      <c r="C3400" t="s">
        <v>147</v>
      </c>
      <c r="D3400">
        <v>2011</v>
      </c>
      <c r="E3400">
        <v>0</v>
      </c>
      <c r="F3400" t="s">
        <v>183</v>
      </c>
    </row>
    <row r="3401" spans="1:6" x14ac:dyDescent="0.25">
      <c r="A3401" t="s">
        <v>192</v>
      </c>
      <c r="B3401" t="s">
        <v>170</v>
      </c>
      <c r="C3401" t="s">
        <v>147</v>
      </c>
      <c r="D3401">
        <v>2010</v>
      </c>
      <c r="E3401">
        <v>0</v>
      </c>
      <c r="F3401" t="s">
        <v>183</v>
      </c>
    </row>
    <row r="3402" spans="1:6" x14ac:dyDescent="0.25">
      <c r="A3402" t="s">
        <v>192</v>
      </c>
      <c r="B3402" t="s">
        <v>170</v>
      </c>
      <c r="C3402" t="s">
        <v>167</v>
      </c>
      <c r="D3402">
        <v>2014</v>
      </c>
      <c r="E3402">
        <v>0</v>
      </c>
      <c r="F3402" t="s">
        <v>183</v>
      </c>
    </row>
    <row r="3403" spans="1:6" x14ac:dyDescent="0.25">
      <c r="A3403" t="s">
        <v>192</v>
      </c>
      <c r="B3403" t="s">
        <v>170</v>
      </c>
      <c r="C3403" t="s">
        <v>167</v>
      </c>
      <c r="D3403">
        <v>2013</v>
      </c>
      <c r="E3403">
        <v>0</v>
      </c>
      <c r="F3403" t="s">
        <v>183</v>
      </c>
    </row>
    <row r="3404" spans="1:6" x14ac:dyDescent="0.25">
      <c r="A3404" t="s">
        <v>192</v>
      </c>
      <c r="B3404" t="s">
        <v>170</v>
      </c>
      <c r="C3404" t="s">
        <v>167</v>
      </c>
      <c r="D3404">
        <v>2012</v>
      </c>
      <c r="E3404">
        <v>0</v>
      </c>
      <c r="F3404" t="s">
        <v>183</v>
      </c>
    </row>
    <row r="3405" spans="1:6" x14ac:dyDescent="0.25">
      <c r="A3405" t="s">
        <v>192</v>
      </c>
      <c r="B3405" t="s">
        <v>170</v>
      </c>
      <c r="C3405" t="s">
        <v>167</v>
      </c>
      <c r="D3405">
        <v>2011</v>
      </c>
      <c r="E3405">
        <v>0</v>
      </c>
      <c r="F3405" t="s">
        <v>183</v>
      </c>
    </row>
    <row r="3406" spans="1:6" x14ac:dyDescent="0.25">
      <c r="A3406" t="s">
        <v>192</v>
      </c>
      <c r="B3406" t="s">
        <v>170</v>
      </c>
      <c r="C3406" t="s">
        <v>167</v>
      </c>
      <c r="D3406">
        <v>2010</v>
      </c>
      <c r="E3406">
        <v>0</v>
      </c>
      <c r="F3406" t="s">
        <v>183</v>
      </c>
    </row>
    <row r="3407" spans="1:6" x14ac:dyDescent="0.25">
      <c r="A3407" t="s">
        <v>192</v>
      </c>
      <c r="B3407" t="s">
        <v>170</v>
      </c>
      <c r="C3407" t="s">
        <v>168</v>
      </c>
      <c r="D3407">
        <v>2014</v>
      </c>
      <c r="E3407">
        <v>0</v>
      </c>
      <c r="F3407" t="s">
        <v>183</v>
      </c>
    </row>
    <row r="3408" spans="1:6" x14ac:dyDescent="0.25">
      <c r="A3408" t="s">
        <v>192</v>
      </c>
      <c r="B3408" t="s">
        <v>170</v>
      </c>
      <c r="C3408" t="s">
        <v>168</v>
      </c>
      <c r="D3408">
        <v>2013</v>
      </c>
      <c r="E3408">
        <v>0</v>
      </c>
      <c r="F3408" t="s">
        <v>183</v>
      </c>
    </row>
    <row r="3409" spans="1:6" x14ac:dyDescent="0.25">
      <c r="A3409" t="s">
        <v>192</v>
      </c>
      <c r="B3409" t="s">
        <v>170</v>
      </c>
      <c r="C3409" t="s">
        <v>168</v>
      </c>
      <c r="D3409">
        <v>2012</v>
      </c>
      <c r="E3409">
        <v>0</v>
      </c>
      <c r="F3409" t="s">
        <v>183</v>
      </c>
    </row>
    <row r="3410" spans="1:6" x14ac:dyDescent="0.25">
      <c r="A3410" t="s">
        <v>192</v>
      </c>
      <c r="B3410" t="s">
        <v>170</v>
      </c>
      <c r="C3410" t="s">
        <v>168</v>
      </c>
      <c r="D3410">
        <v>2011</v>
      </c>
      <c r="E3410">
        <v>0</v>
      </c>
      <c r="F3410" t="s">
        <v>183</v>
      </c>
    </row>
    <row r="3411" spans="1:6" x14ac:dyDescent="0.25">
      <c r="A3411" t="s">
        <v>192</v>
      </c>
      <c r="B3411" t="s">
        <v>170</v>
      </c>
      <c r="C3411" t="s">
        <v>168</v>
      </c>
      <c r="D3411">
        <v>2010</v>
      </c>
      <c r="E3411">
        <v>0</v>
      </c>
      <c r="F3411" t="s">
        <v>183</v>
      </c>
    </row>
    <row r="3412" spans="1:6" x14ac:dyDescent="0.25">
      <c r="A3412" t="s">
        <v>192</v>
      </c>
      <c r="B3412" t="s">
        <v>170</v>
      </c>
      <c r="C3412" t="s">
        <v>148</v>
      </c>
      <c r="D3412">
        <v>2014</v>
      </c>
      <c r="E3412">
        <v>0</v>
      </c>
      <c r="F3412" t="s">
        <v>183</v>
      </c>
    </row>
    <row r="3413" spans="1:6" x14ac:dyDescent="0.25">
      <c r="A3413" t="s">
        <v>192</v>
      </c>
      <c r="B3413" t="s">
        <v>170</v>
      </c>
      <c r="C3413" t="s">
        <v>148</v>
      </c>
      <c r="D3413">
        <v>2013</v>
      </c>
      <c r="E3413">
        <v>0</v>
      </c>
      <c r="F3413" t="s">
        <v>183</v>
      </c>
    </row>
    <row r="3414" spans="1:6" x14ac:dyDescent="0.25">
      <c r="A3414" t="s">
        <v>192</v>
      </c>
      <c r="B3414" t="s">
        <v>170</v>
      </c>
      <c r="C3414" t="s">
        <v>148</v>
      </c>
      <c r="D3414">
        <v>2012</v>
      </c>
      <c r="E3414">
        <v>0</v>
      </c>
      <c r="F3414" t="s">
        <v>183</v>
      </c>
    </row>
    <row r="3415" spans="1:6" x14ac:dyDescent="0.25">
      <c r="A3415" t="s">
        <v>192</v>
      </c>
      <c r="B3415" t="s">
        <v>170</v>
      </c>
      <c r="C3415" t="s">
        <v>148</v>
      </c>
      <c r="D3415">
        <v>2011</v>
      </c>
      <c r="E3415">
        <v>0</v>
      </c>
      <c r="F3415" t="s">
        <v>183</v>
      </c>
    </row>
    <row r="3416" spans="1:6" x14ac:dyDescent="0.25">
      <c r="A3416" t="s">
        <v>192</v>
      </c>
      <c r="B3416" t="s">
        <v>170</v>
      </c>
      <c r="C3416" t="s">
        <v>148</v>
      </c>
      <c r="D3416">
        <v>2010</v>
      </c>
      <c r="E3416">
        <v>0</v>
      </c>
      <c r="F3416" t="s">
        <v>183</v>
      </c>
    </row>
    <row r="3417" spans="1:6" x14ac:dyDescent="0.25">
      <c r="A3417" t="s">
        <v>192</v>
      </c>
      <c r="B3417" t="s">
        <v>170</v>
      </c>
      <c r="C3417" t="s">
        <v>149</v>
      </c>
      <c r="D3417">
        <v>2014</v>
      </c>
      <c r="E3417">
        <v>0</v>
      </c>
      <c r="F3417" t="s">
        <v>183</v>
      </c>
    </row>
    <row r="3418" spans="1:6" x14ac:dyDescent="0.25">
      <c r="A3418" t="s">
        <v>192</v>
      </c>
      <c r="B3418" t="s">
        <v>170</v>
      </c>
      <c r="C3418" t="s">
        <v>149</v>
      </c>
      <c r="D3418">
        <v>2013</v>
      </c>
      <c r="E3418">
        <v>0</v>
      </c>
      <c r="F3418" t="s">
        <v>183</v>
      </c>
    </row>
    <row r="3419" spans="1:6" x14ac:dyDescent="0.25">
      <c r="A3419" t="s">
        <v>192</v>
      </c>
      <c r="B3419" t="s">
        <v>170</v>
      </c>
      <c r="C3419" t="s">
        <v>149</v>
      </c>
      <c r="D3419">
        <v>2012</v>
      </c>
      <c r="E3419">
        <v>0</v>
      </c>
      <c r="F3419" t="s">
        <v>183</v>
      </c>
    </row>
    <row r="3420" spans="1:6" x14ac:dyDescent="0.25">
      <c r="A3420" t="s">
        <v>192</v>
      </c>
      <c r="B3420" t="s">
        <v>170</v>
      </c>
      <c r="C3420" t="s">
        <v>149</v>
      </c>
      <c r="D3420">
        <v>2011</v>
      </c>
      <c r="E3420">
        <v>0</v>
      </c>
      <c r="F3420" t="s">
        <v>183</v>
      </c>
    </row>
    <row r="3421" spans="1:6" x14ac:dyDescent="0.25">
      <c r="A3421" t="s">
        <v>192</v>
      </c>
      <c r="B3421" t="s">
        <v>170</v>
      </c>
      <c r="C3421" t="s">
        <v>149</v>
      </c>
      <c r="D3421">
        <v>2010</v>
      </c>
      <c r="E3421">
        <v>0</v>
      </c>
      <c r="F3421" t="s">
        <v>183</v>
      </c>
    </row>
    <row r="3422" spans="1:6" x14ac:dyDescent="0.25">
      <c r="A3422" t="s">
        <v>192</v>
      </c>
      <c r="B3422" t="s">
        <v>170</v>
      </c>
      <c r="C3422" t="s">
        <v>121</v>
      </c>
      <c r="D3422">
        <v>2014</v>
      </c>
      <c r="E3422">
        <v>0</v>
      </c>
      <c r="F3422" t="s">
        <v>179</v>
      </c>
    </row>
    <row r="3423" spans="1:6" x14ac:dyDescent="0.25">
      <c r="A3423" t="s">
        <v>192</v>
      </c>
      <c r="B3423" t="s">
        <v>170</v>
      </c>
      <c r="C3423" t="s">
        <v>121</v>
      </c>
      <c r="D3423">
        <v>2013</v>
      </c>
      <c r="E3423">
        <v>0</v>
      </c>
      <c r="F3423" t="s">
        <v>179</v>
      </c>
    </row>
    <row r="3424" spans="1:6" x14ac:dyDescent="0.25">
      <c r="A3424" t="s">
        <v>192</v>
      </c>
      <c r="B3424" t="s">
        <v>170</v>
      </c>
      <c r="C3424" t="s">
        <v>121</v>
      </c>
      <c r="D3424">
        <v>2012</v>
      </c>
      <c r="E3424">
        <v>0</v>
      </c>
      <c r="F3424" t="s">
        <v>179</v>
      </c>
    </row>
    <row r="3425" spans="1:6" x14ac:dyDescent="0.25">
      <c r="A3425" t="s">
        <v>192</v>
      </c>
      <c r="B3425" t="s">
        <v>170</v>
      </c>
      <c r="C3425" t="s">
        <v>121</v>
      </c>
      <c r="D3425">
        <v>2011</v>
      </c>
      <c r="E3425">
        <v>0</v>
      </c>
      <c r="F3425" t="s">
        <v>179</v>
      </c>
    </row>
    <row r="3426" spans="1:6" x14ac:dyDescent="0.25">
      <c r="A3426" t="s">
        <v>192</v>
      </c>
      <c r="B3426" t="s">
        <v>170</v>
      </c>
      <c r="C3426" t="s">
        <v>121</v>
      </c>
      <c r="D3426">
        <v>2010</v>
      </c>
      <c r="E3426">
        <v>0</v>
      </c>
      <c r="F3426" t="s">
        <v>179</v>
      </c>
    </row>
    <row r="3427" spans="1:6" x14ac:dyDescent="0.25">
      <c r="A3427" t="s">
        <v>192</v>
      </c>
      <c r="B3427" t="s">
        <v>170</v>
      </c>
      <c r="C3427" t="s">
        <v>122</v>
      </c>
      <c r="D3427">
        <v>2014</v>
      </c>
      <c r="E3427">
        <v>1.085</v>
      </c>
      <c r="F3427" t="s">
        <v>179</v>
      </c>
    </row>
    <row r="3428" spans="1:6" x14ac:dyDescent="0.25">
      <c r="A3428" t="s">
        <v>192</v>
      </c>
      <c r="B3428" t="s">
        <v>170</v>
      </c>
      <c r="C3428" t="s">
        <v>122</v>
      </c>
      <c r="D3428">
        <v>2013</v>
      </c>
      <c r="E3428">
        <v>1.1870000000000001</v>
      </c>
      <c r="F3428" t="s">
        <v>179</v>
      </c>
    </row>
    <row r="3429" spans="1:6" x14ac:dyDescent="0.25">
      <c r="A3429" t="s">
        <v>192</v>
      </c>
      <c r="B3429" t="s">
        <v>170</v>
      </c>
      <c r="C3429" t="s">
        <v>122</v>
      </c>
      <c r="D3429">
        <v>2012</v>
      </c>
      <c r="E3429">
        <v>1.1559999999999999</v>
      </c>
      <c r="F3429" t="s">
        <v>179</v>
      </c>
    </row>
    <row r="3430" spans="1:6" x14ac:dyDescent="0.25">
      <c r="A3430" t="s">
        <v>192</v>
      </c>
      <c r="B3430" t="s">
        <v>170</v>
      </c>
      <c r="C3430" t="s">
        <v>122</v>
      </c>
      <c r="D3430">
        <v>2011</v>
      </c>
      <c r="E3430">
        <v>1.0469999999999999</v>
      </c>
      <c r="F3430" t="s">
        <v>179</v>
      </c>
    </row>
    <row r="3431" spans="1:6" x14ac:dyDescent="0.25">
      <c r="A3431" t="s">
        <v>192</v>
      </c>
      <c r="B3431" t="s">
        <v>170</v>
      </c>
      <c r="C3431" t="s">
        <v>122</v>
      </c>
      <c r="D3431">
        <v>2010</v>
      </c>
      <c r="E3431">
        <v>1.075</v>
      </c>
      <c r="F3431" t="s">
        <v>179</v>
      </c>
    </row>
    <row r="3432" spans="1:6" x14ac:dyDescent="0.25">
      <c r="A3432" t="s">
        <v>192</v>
      </c>
      <c r="B3432" t="s">
        <v>170</v>
      </c>
      <c r="C3432" t="s">
        <v>123</v>
      </c>
      <c r="D3432">
        <v>2014</v>
      </c>
      <c r="E3432">
        <v>0.12</v>
      </c>
      <c r="F3432" t="s">
        <v>179</v>
      </c>
    </row>
    <row r="3433" spans="1:6" x14ac:dyDescent="0.25">
      <c r="A3433" t="s">
        <v>192</v>
      </c>
      <c r="B3433" t="s">
        <v>170</v>
      </c>
      <c r="C3433" t="s">
        <v>123</v>
      </c>
      <c r="D3433">
        <v>2013</v>
      </c>
      <c r="E3433">
        <v>0.13600000000000001</v>
      </c>
      <c r="F3433" t="s">
        <v>179</v>
      </c>
    </row>
    <row r="3434" spans="1:6" x14ac:dyDescent="0.25">
      <c r="A3434" t="s">
        <v>192</v>
      </c>
      <c r="B3434" t="s">
        <v>170</v>
      </c>
      <c r="C3434" t="s">
        <v>123</v>
      </c>
      <c r="D3434">
        <v>2012</v>
      </c>
      <c r="E3434">
        <v>0.12</v>
      </c>
      <c r="F3434" t="s">
        <v>179</v>
      </c>
    </row>
    <row r="3435" spans="1:6" x14ac:dyDescent="0.25">
      <c r="A3435" t="s">
        <v>192</v>
      </c>
      <c r="B3435" t="s">
        <v>170</v>
      </c>
      <c r="C3435" t="s">
        <v>123</v>
      </c>
      <c r="D3435">
        <v>2011</v>
      </c>
      <c r="E3435">
        <v>0.11</v>
      </c>
      <c r="F3435" t="s">
        <v>179</v>
      </c>
    </row>
    <row r="3436" spans="1:6" x14ac:dyDescent="0.25">
      <c r="A3436" t="s">
        <v>192</v>
      </c>
      <c r="B3436" t="s">
        <v>170</v>
      </c>
      <c r="C3436" t="s">
        <v>123</v>
      </c>
      <c r="D3436">
        <v>2010</v>
      </c>
      <c r="E3436">
        <v>0.17599999999999999</v>
      </c>
      <c r="F3436" t="s">
        <v>179</v>
      </c>
    </row>
    <row r="3437" spans="1:6" x14ac:dyDescent="0.25">
      <c r="A3437" t="s">
        <v>192</v>
      </c>
      <c r="B3437" t="s">
        <v>170</v>
      </c>
      <c r="C3437" t="s">
        <v>124</v>
      </c>
      <c r="D3437">
        <v>2014</v>
      </c>
      <c r="E3437">
        <v>0</v>
      </c>
      <c r="F3437" t="s">
        <v>179</v>
      </c>
    </row>
    <row r="3438" spans="1:6" x14ac:dyDescent="0.25">
      <c r="A3438" t="s">
        <v>192</v>
      </c>
      <c r="B3438" t="s">
        <v>170</v>
      </c>
      <c r="C3438" t="s">
        <v>124</v>
      </c>
      <c r="D3438">
        <v>2013</v>
      </c>
      <c r="E3438">
        <v>0</v>
      </c>
      <c r="F3438" t="s">
        <v>179</v>
      </c>
    </row>
    <row r="3439" spans="1:6" x14ac:dyDescent="0.25">
      <c r="A3439" t="s">
        <v>192</v>
      </c>
      <c r="B3439" t="s">
        <v>170</v>
      </c>
      <c r="C3439" t="s">
        <v>124</v>
      </c>
      <c r="D3439">
        <v>2012</v>
      </c>
      <c r="E3439">
        <v>0</v>
      </c>
      <c r="F3439" t="s">
        <v>179</v>
      </c>
    </row>
    <row r="3440" spans="1:6" x14ac:dyDescent="0.25">
      <c r="A3440" t="s">
        <v>192</v>
      </c>
      <c r="B3440" t="s">
        <v>170</v>
      </c>
      <c r="C3440" t="s">
        <v>124</v>
      </c>
      <c r="D3440">
        <v>2011</v>
      </c>
      <c r="E3440">
        <v>0</v>
      </c>
      <c r="F3440" t="s">
        <v>179</v>
      </c>
    </row>
    <row r="3441" spans="1:6" x14ac:dyDescent="0.25">
      <c r="A3441" t="s">
        <v>192</v>
      </c>
      <c r="B3441" t="s">
        <v>170</v>
      </c>
      <c r="C3441" t="s">
        <v>124</v>
      </c>
      <c r="D3441">
        <v>2010</v>
      </c>
      <c r="E3441">
        <v>0</v>
      </c>
      <c r="F3441" t="s">
        <v>179</v>
      </c>
    </row>
    <row r="3442" spans="1:6" x14ac:dyDescent="0.25">
      <c r="A3442" t="s">
        <v>192</v>
      </c>
      <c r="B3442" t="s">
        <v>170</v>
      </c>
      <c r="C3442" t="s">
        <v>160</v>
      </c>
      <c r="D3442">
        <v>2014</v>
      </c>
      <c r="E3442">
        <v>0</v>
      </c>
      <c r="F3442" t="s">
        <v>179</v>
      </c>
    </row>
    <row r="3443" spans="1:6" x14ac:dyDescent="0.25">
      <c r="A3443" t="s">
        <v>192</v>
      </c>
      <c r="B3443" t="s">
        <v>170</v>
      </c>
      <c r="C3443" t="s">
        <v>160</v>
      </c>
      <c r="D3443">
        <v>2013</v>
      </c>
      <c r="E3443">
        <v>0</v>
      </c>
      <c r="F3443" t="s">
        <v>179</v>
      </c>
    </row>
    <row r="3444" spans="1:6" x14ac:dyDescent="0.25">
      <c r="A3444" t="s">
        <v>192</v>
      </c>
      <c r="B3444" t="s">
        <v>170</v>
      </c>
      <c r="C3444" t="s">
        <v>160</v>
      </c>
      <c r="D3444">
        <v>2012</v>
      </c>
      <c r="E3444">
        <v>0</v>
      </c>
      <c r="F3444" t="s">
        <v>179</v>
      </c>
    </row>
    <row r="3445" spans="1:6" x14ac:dyDescent="0.25">
      <c r="A3445" t="s">
        <v>192</v>
      </c>
      <c r="B3445" t="s">
        <v>170</v>
      </c>
      <c r="C3445" t="s">
        <v>160</v>
      </c>
      <c r="D3445">
        <v>2011</v>
      </c>
      <c r="E3445">
        <v>0</v>
      </c>
      <c r="F3445" t="s">
        <v>179</v>
      </c>
    </row>
    <row r="3446" spans="1:6" x14ac:dyDescent="0.25">
      <c r="A3446" t="s">
        <v>192</v>
      </c>
      <c r="B3446" t="s">
        <v>170</v>
      </c>
      <c r="C3446" t="s">
        <v>160</v>
      </c>
      <c r="D3446">
        <v>2010</v>
      </c>
      <c r="E3446">
        <v>0</v>
      </c>
      <c r="F3446" t="s">
        <v>179</v>
      </c>
    </row>
    <row r="3447" spans="1:6" x14ac:dyDescent="0.25">
      <c r="A3447" t="s">
        <v>192</v>
      </c>
      <c r="B3447" t="s">
        <v>170</v>
      </c>
      <c r="C3447" t="s">
        <v>125</v>
      </c>
      <c r="D3447">
        <v>2014</v>
      </c>
      <c r="E3447">
        <v>0</v>
      </c>
      <c r="F3447" t="s">
        <v>179</v>
      </c>
    </row>
    <row r="3448" spans="1:6" x14ac:dyDescent="0.25">
      <c r="A3448" t="s">
        <v>192</v>
      </c>
      <c r="B3448" t="s">
        <v>170</v>
      </c>
      <c r="C3448" t="s">
        <v>125</v>
      </c>
      <c r="D3448">
        <v>2013</v>
      </c>
      <c r="E3448">
        <v>0</v>
      </c>
      <c r="F3448" t="s">
        <v>179</v>
      </c>
    </row>
    <row r="3449" spans="1:6" x14ac:dyDescent="0.25">
      <c r="A3449" t="s">
        <v>192</v>
      </c>
      <c r="B3449" t="s">
        <v>170</v>
      </c>
      <c r="C3449" t="s">
        <v>125</v>
      </c>
      <c r="D3449">
        <v>2012</v>
      </c>
      <c r="E3449">
        <v>0</v>
      </c>
      <c r="F3449" t="s">
        <v>179</v>
      </c>
    </row>
    <row r="3450" spans="1:6" x14ac:dyDescent="0.25">
      <c r="A3450" t="s">
        <v>192</v>
      </c>
      <c r="B3450" t="s">
        <v>170</v>
      </c>
      <c r="C3450" t="s">
        <v>125</v>
      </c>
      <c r="D3450">
        <v>2011</v>
      </c>
      <c r="E3450">
        <v>0</v>
      </c>
      <c r="F3450" t="s">
        <v>179</v>
      </c>
    </row>
    <row r="3451" spans="1:6" x14ac:dyDescent="0.25">
      <c r="A3451" t="s">
        <v>192</v>
      </c>
      <c r="B3451" t="s">
        <v>170</v>
      </c>
      <c r="C3451" t="s">
        <v>125</v>
      </c>
      <c r="D3451">
        <v>2010</v>
      </c>
      <c r="E3451">
        <v>0</v>
      </c>
      <c r="F3451" t="s">
        <v>179</v>
      </c>
    </row>
    <row r="3452" spans="1:6" x14ac:dyDescent="0.25">
      <c r="A3452" t="s">
        <v>192</v>
      </c>
      <c r="B3452" t="s">
        <v>170</v>
      </c>
      <c r="C3452" t="s">
        <v>126</v>
      </c>
      <c r="D3452">
        <v>2014</v>
      </c>
      <c r="E3452">
        <v>0.60899999999999999</v>
      </c>
      <c r="F3452" t="s">
        <v>179</v>
      </c>
    </row>
    <row r="3453" spans="1:6" x14ac:dyDescent="0.25">
      <c r="A3453" t="s">
        <v>192</v>
      </c>
      <c r="B3453" t="s">
        <v>170</v>
      </c>
      <c r="C3453" t="s">
        <v>126</v>
      </c>
      <c r="D3453">
        <v>2013</v>
      </c>
      <c r="E3453">
        <v>0.41299999999999998</v>
      </c>
      <c r="F3453" t="s">
        <v>179</v>
      </c>
    </row>
    <row r="3454" spans="1:6" x14ac:dyDescent="0.25">
      <c r="A3454" t="s">
        <v>192</v>
      </c>
      <c r="B3454" t="s">
        <v>170</v>
      </c>
      <c r="C3454" t="s">
        <v>126</v>
      </c>
      <c r="D3454">
        <v>2012</v>
      </c>
      <c r="E3454">
        <v>0.17100000000000001</v>
      </c>
      <c r="F3454" t="s">
        <v>179</v>
      </c>
    </row>
    <row r="3455" spans="1:6" x14ac:dyDescent="0.25">
      <c r="A3455" t="s">
        <v>192</v>
      </c>
      <c r="B3455" t="s">
        <v>170</v>
      </c>
      <c r="C3455" t="s">
        <v>126</v>
      </c>
      <c r="D3455">
        <v>2011</v>
      </c>
      <c r="E3455">
        <v>0.10100000000000001</v>
      </c>
      <c r="F3455" t="s">
        <v>179</v>
      </c>
    </row>
    <row r="3456" spans="1:6" x14ac:dyDescent="0.25">
      <c r="A3456" t="s">
        <v>192</v>
      </c>
      <c r="B3456" t="s">
        <v>170</v>
      </c>
      <c r="C3456" t="s">
        <v>126</v>
      </c>
      <c r="D3456">
        <v>2010</v>
      </c>
      <c r="E3456">
        <v>0.45</v>
      </c>
      <c r="F3456" t="s">
        <v>179</v>
      </c>
    </row>
    <row r="3457" spans="1:6" x14ac:dyDescent="0.25">
      <c r="A3457" t="s">
        <v>192</v>
      </c>
      <c r="B3457" t="s">
        <v>170</v>
      </c>
      <c r="C3457" t="s">
        <v>127</v>
      </c>
      <c r="D3457">
        <v>2014</v>
      </c>
      <c r="E3457">
        <v>0.16600000000000001</v>
      </c>
      <c r="F3457" t="s">
        <v>179</v>
      </c>
    </row>
    <row r="3458" spans="1:6" x14ac:dyDescent="0.25">
      <c r="A3458" t="s">
        <v>192</v>
      </c>
      <c r="B3458" t="s">
        <v>170</v>
      </c>
      <c r="C3458" t="s">
        <v>127</v>
      </c>
      <c r="D3458">
        <v>2013</v>
      </c>
      <c r="E3458">
        <v>0.22900000000000001</v>
      </c>
      <c r="F3458" t="s">
        <v>179</v>
      </c>
    </row>
    <row r="3459" spans="1:6" x14ac:dyDescent="0.25">
      <c r="A3459" t="s">
        <v>192</v>
      </c>
      <c r="B3459" t="s">
        <v>170</v>
      </c>
      <c r="C3459" t="s">
        <v>127</v>
      </c>
      <c r="D3459">
        <v>2012</v>
      </c>
      <c r="E3459">
        <v>0.28799999999999998</v>
      </c>
      <c r="F3459" t="s">
        <v>179</v>
      </c>
    </row>
    <row r="3460" spans="1:6" x14ac:dyDescent="0.25">
      <c r="A3460" t="s">
        <v>192</v>
      </c>
      <c r="B3460" t="s">
        <v>170</v>
      </c>
      <c r="C3460" t="s">
        <v>127</v>
      </c>
      <c r="D3460">
        <v>2011</v>
      </c>
      <c r="E3460">
        <v>0.16600000000000001</v>
      </c>
      <c r="F3460" t="s">
        <v>179</v>
      </c>
    </row>
    <row r="3461" spans="1:6" x14ac:dyDescent="0.25">
      <c r="A3461" t="s">
        <v>192</v>
      </c>
      <c r="B3461" t="s">
        <v>170</v>
      </c>
      <c r="C3461" t="s">
        <v>127</v>
      </c>
      <c r="D3461">
        <v>2010</v>
      </c>
      <c r="E3461">
        <v>0.21199999999999999</v>
      </c>
      <c r="F3461" t="s">
        <v>179</v>
      </c>
    </row>
    <row r="3462" spans="1:6" x14ac:dyDescent="0.25">
      <c r="A3462" t="s">
        <v>192</v>
      </c>
      <c r="B3462" t="s">
        <v>170</v>
      </c>
      <c r="C3462" t="s">
        <v>128</v>
      </c>
      <c r="D3462">
        <v>2014</v>
      </c>
      <c r="E3462">
        <v>0</v>
      </c>
      <c r="F3462" t="s">
        <v>179</v>
      </c>
    </row>
    <row r="3463" spans="1:6" x14ac:dyDescent="0.25">
      <c r="A3463" t="s">
        <v>192</v>
      </c>
      <c r="B3463" t="s">
        <v>170</v>
      </c>
      <c r="C3463" t="s">
        <v>128</v>
      </c>
      <c r="D3463">
        <v>2013</v>
      </c>
      <c r="E3463">
        <v>0</v>
      </c>
      <c r="F3463" t="s">
        <v>179</v>
      </c>
    </row>
    <row r="3464" spans="1:6" x14ac:dyDescent="0.25">
      <c r="A3464" t="s">
        <v>192</v>
      </c>
      <c r="B3464" t="s">
        <v>170</v>
      </c>
      <c r="C3464" t="s">
        <v>128</v>
      </c>
      <c r="D3464">
        <v>2012</v>
      </c>
      <c r="E3464">
        <v>0</v>
      </c>
      <c r="F3464" t="s">
        <v>179</v>
      </c>
    </row>
    <row r="3465" spans="1:6" x14ac:dyDescent="0.25">
      <c r="A3465" t="s">
        <v>192</v>
      </c>
      <c r="B3465" t="s">
        <v>170</v>
      </c>
      <c r="C3465" t="s">
        <v>128</v>
      </c>
      <c r="D3465">
        <v>2011</v>
      </c>
      <c r="E3465">
        <v>0</v>
      </c>
      <c r="F3465" t="s">
        <v>179</v>
      </c>
    </row>
    <row r="3466" spans="1:6" x14ac:dyDescent="0.25">
      <c r="A3466" t="s">
        <v>192</v>
      </c>
      <c r="B3466" t="s">
        <v>170</v>
      </c>
      <c r="C3466" t="s">
        <v>128</v>
      </c>
      <c r="D3466">
        <v>2010</v>
      </c>
      <c r="E3466">
        <v>0</v>
      </c>
      <c r="F3466" t="s">
        <v>179</v>
      </c>
    </row>
    <row r="3467" spans="1:6" x14ac:dyDescent="0.25">
      <c r="A3467" t="s">
        <v>192</v>
      </c>
      <c r="B3467" t="s">
        <v>170</v>
      </c>
      <c r="C3467" t="s">
        <v>161</v>
      </c>
      <c r="D3467">
        <v>2014</v>
      </c>
      <c r="E3467">
        <v>0</v>
      </c>
      <c r="F3467" t="s">
        <v>179</v>
      </c>
    </row>
    <row r="3468" spans="1:6" x14ac:dyDescent="0.25">
      <c r="A3468" t="s">
        <v>192</v>
      </c>
      <c r="B3468" t="s">
        <v>170</v>
      </c>
      <c r="C3468" t="s">
        <v>161</v>
      </c>
      <c r="D3468">
        <v>2013</v>
      </c>
      <c r="E3468">
        <v>0</v>
      </c>
      <c r="F3468" t="s">
        <v>179</v>
      </c>
    </row>
    <row r="3469" spans="1:6" x14ac:dyDescent="0.25">
      <c r="A3469" t="s">
        <v>192</v>
      </c>
      <c r="B3469" t="s">
        <v>170</v>
      </c>
      <c r="C3469" t="s">
        <v>161</v>
      </c>
      <c r="D3469">
        <v>2012</v>
      </c>
      <c r="E3469">
        <v>0</v>
      </c>
      <c r="F3469" t="s">
        <v>179</v>
      </c>
    </row>
    <row r="3470" spans="1:6" x14ac:dyDescent="0.25">
      <c r="A3470" t="s">
        <v>192</v>
      </c>
      <c r="B3470" t="s">
        <v>170</v>
      </c>
      <c r="C3470" t="s">
        <v>161</v>
      </c>
      <c r="D3470">
        <v>2011</v>
      </c>
      <c r="E3470">
        <v>0</v>
      </c>
      <c r="F3470" t="s">
        <v>179</v>
      </c>
    </row>
    <row r="3471" spans="1:6" x14ac:dyDescent="0.25">
      <c r="A3471" t="s">
        <v>192</v>
      </c>
      <c r="B3471" t="s">
        <v>170</v>
      </c>
      <c r="C3471" t="s">
        <v>161</v>
      </c>
      <c r="D3471">
        <v>2010</v>
      </c>
      <c r="E3471">
        <v>0</v>
      </c>
      <c r="F3471" t="s">
        <v>179</v>
      </c>
    </row>
    <row r="3472" spans="1:6" x14ac:dyDescent="0.25">
      <c r="A3472" t="s">
        <v>192</v>
      </c>
      <c r="B3472" t="s">
        <v>170</v>
      </c>
      <c r="C3472" t="s">
        <v>162</v>
      </c>
      <c r="D3472">
        <v>2014</v>
      </c>
      <c r="E3472">
        <v>0</v>
      </c>
      <c r="F3472" t="s">
        <v>179</v>
      </c>
    </row>
    <row r="3473" spans="1:6" x14ac:dyDescent="0.25">
      <c r="A3473" t="s">
        <v>192</v>
      </c>
      <c r="B3473" t="s">
        <v>170</v>
      </c>
      <c r="C3473" t="s">
        <v>162</v>
      </c>
      <c r="D3473">
        <v>2013</v>
      </c>
      <c r="E3473">
        <v>0</v>
      </c>
      <c r="F3473" t="s">
        <v>179</v>
      </c>
    </row>
    <row r="3474" spans="1:6" x14ac:dyDescent="0.25">
      <c r="A3474" t="s">
        <v>192</v>
      </c>
      <c r="B3474" t="s">
        <v>170</v>
      </c>
      <c r="C3474" t="s">
        <v>162</v>
      </c>
      <c r="D3474">
        <v>2012</v>
      </c>
      <c r="E3474">
        <v>0</v>
      </c>
      <c r="F3474" t="s">
        <v>179</v>
      </c>
    </row>
    <row r="3475" spans="1:6" x14ac:dyDescent="0.25">
      <c r="A3475" t="s">
        <v>192</v>
      </c>
      <c r="B3475" t="s">
        <v>170</v>
      </c>
      <c r="C3475" t="s">
        <v>162</v>
      </c>
      <c r="D3475">
        <v>2011</v>
      </c>
      <c r="E3475">
        <v>0</v>
      </c>
      <c r="F3475" t="s">
        <v>179</v>
      </c>
    </row>
    <row r="3476" spans="1:6" x14ac:dyDescent="0.25">
      <c r="A3476" t="s">
        <v>192</v>
      </c>
      <c r="B3476" t="s">
        <v>170</v>
      </c>
      <c r="C3476" t="s">
        <v>162</v>
      </c>
      <c r="D3476">
        <v>2010</v>
      </c>
      <c r="E3476">
        <v>0</v>
      </c>
      <c r="F3476" t="s">
        <v>179</v>
      </c>
    </row>
    <row r="3477" spans="1:6" x14ac:dyDescent="0.25">
      <c r="A3477" t="s">
        <v>192</v>
      </c>
      <c r="B3477" t="s">
        <v>170</v>
      </c>
      <c r="C3477" t="s">
        <v>129</v>
      </c>
      <c r="D3477">
        <v>2014</v>
      </c>
      <c r="E3477">
        <v>0</v>
      </c>
      <c r="F3477" t="s">
        <v>179</v>
      </c>
    </row>
    <row r="3478" spans="1:6" x14ac:dyDescent="0.25">
      <c r="A3478" t="s">
        <v>192</v>
      </c>
      <c r="B3478" t="s">
        <v>170</v>
      </c>
      <c r="C3478" t="s">
        <v>129</v>
      </c>
      <c r="D3478">
        <v>2013</v>
      </c>
      <c r="E3478">
        <v>0</v>
      </c>
      <c r="F3478" t="s">
        <v>179</v>
      </c>
    </row>
    <row r="3479" spans="1:6" x14ac:dyDescent="0.25">
      <c r="A3479" t="s">
        <v>192</v>
      </c>
      <c r="B3479" t="s">
        <v>170</v>
      </c>
      <c r="C3479" t="s">
        <v>129</v>
      </c>
      <c r="D3479">
        <v>2012</v>
      </c>
      <c r="E3479">
        <v>0</v>
      </c>
      <c r="F3479" t="s">
        <v>179</v>
      </c>
    </row>
    <row r="3480" spans="1:6" x14ac:dyDescent="0.25">
      <c r="A3480" t="s">
        <v>192</v>
      </c>
      <c r="B3480" t="s">
        <v>170</v>
      </c>
      <c r="C3480" t="s">
        <v>129</v>
      </c>
      <c r="D3480">
        <v>2011</v>
      </c>
      <c r="E3480">
        <v>0</v>
      </c>
      <c r="F3480" t="s">
        <v>179</v>
      </c>
    </row>
    <row r="3481" spans="1:6" x14ac:dyDescent="0.25">
      <c r="A3481" t="s">
        <v>192</v>
      </c>
      <c r="B3481" t="s">
        <v>170</v>
      </c>
      <c r="C3481" t="s">
        <v>129</v>
      </c>
      <c r="D3481">
        <v>2010</v>
      </c>
      <c r="E3481">
        <v>0</v>
      </c>
      <c r="F3481" t="s">
        <v>179</v>
      </c>
    </row>
    <row r="3482" spans="1:6" x14ac:dyDescent="0.25">
      <c r="A3482" t="s">
        <v>192</v>
      </c>
      <c r="B3482" t="s">
        <v>170</v>
      </c>
      <c r="C3482" t="s">
        <v>130</v>
      </c>
      <c r="D3482">
        <v>2014</v>
      </c>
      <c r="E3482">
        <v>7.8810000000000002</v>
      </c>
      <c r="F3482" t="s">
        <v>179</v>
      </c>
    </row>
    <row r="3483" spans="1:6" x14ac:dyDescent="0.25">
      <c r="A3483" t="s">
        <v>192</v>
      </c>
      <c r="B3483" t="s">
        <v>170</v>
      </c>
      <c r="C3483" t="s">
        <v>130</v>
      </c>
      <c r="D3483">
        <v>2013</v>
      </c>
      <c r="E3483">
        <v>7.758</v>
      </c>
      <c r="F3483" t="s">
        <v>179</v>
      </c>
    </row>
    <row r="3484" spans="1:6" x14ac:dyDescent="0.25">
      <c r="A3484" t="s">
        <v>192</v>
      </c>
      <c r="B3484" t="s">
        <v>170</v>
      </c>
      <c r="C3484" t="s">
        <v>130</v>
      </c>
      <c r="D3484">
        <v>2012</v>
      </c>
      <c r="E3484">
        <v>6.367</v>
      </c>
      <c r="F3484" t="s">
        <v>179</v>
      </c>
    </row>
    <row r="3485" spans="1:6" x14ac:dyDescent="0.25">
      <c r="A3485" t="s">
        <v>192</v>
      </c>
      <c r="B3485" t="s">
        <v>170</v>
      </c>
      <c r="C3485" t="s">
        <v>130</v>
      </c>
      <c r="D3485">
        <v>2011</v>
      </c>
      <c r="E3485">
        <v>5.9820000000000002</v>
      </c>
      <c r="F3485" t="s">
        <v>179</v>
      </c>
    </row>
    <row r="3486" spans="1:6" x14ac:dyDescent="0.25">
      <c r="A3486" t="s">
        <v>192</v>
      </c>
      <c r="B3486" t="s">
        <v>170</v>
      </c>
      <c r="C3486" t="s">
        <v>130</v>
      </c>
      <c r="D3486">
        <v>2010</v>
      </c>
      <c r="E3486">
        <v>6.3979999999999997</v>
      </c>
      <c r="F3486" t="s">
        <v>179</v>
      </c>
    </row>
    <row r="3487" spans="1:6" x14ac:dyDescent="0.25">
      <c r="A3487" t="s">
        <v>192</v>
      </c>
      <c r="B3487" t="s">
        <v>170</v>
      </c>
      <c r="C3487" t="s">
        <v>131</v>
      </c>
      <c r="D3487">
        <v>2014</v>
      </c>
      <c r="E3487">
        <v>0</v>
      </c>
      <c r="F3487" t="s">
        <v>179</v>
      </c>
    </row>
    <row r="3488" spans="1:6" x14ac:dyDescent="0.25">
      <c r="A3488" t="s">
        <v>192</v>
      </c>
      <c r="B3488" t="s">
        <v>170</v>
      </c>
      <c r="C3488" t="s">
        <v>131</v>
      </c>
      <c r="D3488">
        <v>2013</v>
      </c>
      <c r="E3488">
        <v>0</v>
      </c>
      <c r="F3488" t="s">
        <v>179</v>
      </c>
    </row>
    <row r="3489" spans="1:6" x14ac:dyDescent="0.25">
      <c r="A3489" t="s">
        <v>192</v>
      </c>
      <c r="B3489" t="s">
        <v>170</v>
      </c>
      <c r="C3489" t="s">
        <v>131</v>
      </c>
      <c r="D3489">
        <v>2012</v>
      </c>
      <c r="E3489">
        <v>0</v>
      </c>
      <c r="F3489" t="s">
        <v>179</v>
      </c>
    </row>
    <row r="3490" spans="1:6" x14ac:dyDescent="0.25">
      <c r="A3490" t="s">
        <v>192</v>
      </c>
      <c r="B3490" t="s">
        <v>170</v>
      </c>
      <c r="C3490" t="s">
        <v>131</v>
      </c>
      <c r="D3490">
        <v>2011</v>
      </c>
      <c r="E3490">
        <v>0</v>
      </c>
      <c r="F3490" t="s">
        <v>179</v>
      </c>
    </row>
    <row r="3491" spans="1:6" x14ac:dyDescent="0.25">
      <c r="A3491" t="s">
        <v>192</v>
      </c>
      <c r="B3491" t="s">
        <v>170</v>
      </c>
      <c r="C3491" t="s">
        <v>131</v>
      </c>
      <c r="D3491">
        <v>2010</v>
      </c>
      <c r="E3491">
        <v>0</v>
      </c>
      <c r="F3491" t="s">
        <v>179</v>
      </c>
    </row>
    <row r="3492" spans="1:6" x14ac:dyDescent="0.25">
      <c r="A3492" t="s">
        <v>192</v>
      </c>
      <c r="B3492" t="s">
        <v>170</v>
      </c>
      <c r="C3492" t="s">
        <v>132</v>
      </c>
      <c r="D3492">
        <v>2014</v>
      </c>
      <c r="E3492">
        <v>1.35</v>
      </c>
      <c r="F3492" t="s">
        <v>179</v>
      </c>
    </row>
    <row r="3493" spans="1:6" x14ac:dyDescent="0.25">
      <c r="A3493" t="s">
        <v>192</v>
      </c>
      <c r="B3493" t="s">
        <v>170</v>
      </c>
      <c r="C3493" t="s">
        <v>132</v>
      </c>
      <c r="D3493">
        <v>2013</v>
      </c>
      <c r="E3493">
        <v>0.61399999999999999</v>
      </c>
      <c r="F3493" t="s">
        <v>179</v>
      </c>
    </row>
    <row r="3494" spans="1:6" x14ac:dyDescent="0.25">
      <c r="A3494" t="s">
        <v>192</v>
      </c>
      <c r="B3494" t="s">
        <v>170</v>
      </c>
      <c r="C3494" t="s">
        <v>132</v>
      </c>
      <c r="D3494">
        <v>2012</v>
      </c>
      <c r="E3494">
        <v>0.41899999999999998</v>
      </c>
      <c r="F3494" t="s">
        <v>179</v>
      </c>
    </row>
    <row r="3495" spans="1:6" x14ac:dyDescent="0.25">
      <c r="A3495" t="s">
        <v>192</v>
      </c>
      <c r="B3495" t="s">
        <v>170</v>
      </c>
      <c r="C3495" t="s">
        <v>132</v>
      </c>
      <c r="D3495">
        <v>2011</v>
      </c>
      <c r="E3495">
        <v>0.29099999999999998</v>
      </c>
      <c r="F3495" t="s">
        <v>179</v>
      </c>
    </row>
    <row r="3496" spans="1:6" x14ac:dyDescent="0.25">
      <c r="A3496" t="s">
        <v>192</v>
      </c>
      <c r="B3496" t="s">
        <v>170</v>
      </c>
      <c r="C3496" t="s">
        <v>132</v>
      </c>
      <c r="D3496">
        <v>2010</v>
      </c>
      <c r="E3496">
        <v>0.245</v>
      </c>
      <c r="F3496" t="s">
        <v>179</v>
      </c>
    </row>
    <row r="3497" spans="1:6" x14ac:dyDescent="0.25">
      <c r="A3497" t="s">
        <v>192</v>
      </c>
      <c r="B3497" t="s">
        <v>170</v>
      </c>
      <c r="C3497" t="s">
        <v>163</v>
      </c>
      <c r="D3497">
        <v>2014</v>
      </c>
      <c r="E3497">
        <v>0</v>
      </c>
      <c r="F3497" t="s">
        <v>179</v>
      </c>
    </row>
    <row r="3498" spans="1:6" x14ac:dyDescent="0.25">
      <c r="A3498" t="s">
        <v>192</v>
      </c>
      <c r="B3498" t="s">
        <v>170</v>
      </c>
      <c r="C3498" t="s">
        <v>163</v>
      </c>
      <c r="D3498">
        <v>2013</v>
      </c>
      <c r="E3498">
        <v>0</v>
      </c>
      <c r="F3498" t="s">
        <v>179</v>
      </c>
    </row>
    <row r="3499" spans="1:6" x14ac:dyDescent="0.25">
      <c r="A3499" t="s">
        <v>192</v>
      </c>
      <c r="B3499" t="s">
        <v>170</v>
      </c>
      <c r="C3499" t="s">
        <v>163</v>
      </c>
      <c r="D3499">
        <v>2012</v>
      </c>
      <c r="E3499">
        <v>0</v>
      </c>
      <c r="F3499" t="s">
        <v>179</v>
      </c>
    </row>
    <row r="3500" spans="1:6" x14ac:dyDescent="0.25">
      <c r="A3500" t="s">
        <v>192</v>
      </c>
      <c r="B3500" t="s">
        <v>170</v>
      </c>
      <c r="C3500" t="s">
        <v>163</v>
      </c>
      <c r="D3500">
        <v>2011</v>
      </c>
      <c r="E3500">
        <v>0</v>
      </c>
      <c r="F3500" t="s">
        <v>179</v>
      </c>
    </row>
    <row r="3501" spans="1:6" x14ac:dyDescent="0.25">
      <c r="A3501" t="s">
        <v>192</v>
      </c>
      <c r="B3501" t="s">
        <v>170</v>
      </c>
      <c r="C3501" t="s">
        <v>163</v>
      </c>
      <c r="D3501">
        <v>2010</v>
      </c>
      <c r="E3501">
        <v>0</v>
      </c>
      <c r="F3501" t="s">
        <v>179</v>
      </c>
    </row>
    <row r="3502" spans="1:6" x14ac:dyDescent="0.25">
      <c r="A3502" t="s">
        <v>192</v>
      </c>
      <c r="B3502" t="s">
        <v>170</v>
      </c>
      <c r="C3502" t="s">
        <v>133</v>
      </c>
      <c r="D3502">
        <v>2014</v>
      </c>
      <c r="E3502">
        <v>30.009</v>
      </c>
      <c r="F3502" t="s">
        <v>179</v>
      </c>
    </row>
    <row r="3503" spans="1:6" x14ac:dyDescent="0.25">
      <c r="A3503" t="s">
        <v>192</v>
      </c>
      <c r="B3503" t="s">
        <v>170</v>
      </c>
      <c r="C3503" t="s">
        <v>133</v>
      </c>
      <c r="D3503">
        <v>2013</v>
      </c>
      <c r="E3503">
        <v>24.843</v>
      </c>
      <c r="F3503" t="s">
        <v>179</v>
      </c>
    </row>
    <row r="3504" spans="1:6" x14ac:dyDescent="0.25">
      <c r="A3504" t="s">
        <v>192</v>
      </c>
      <c r="B3504" t="s">
        <v>170</v>
      </c>
      <c r="C3504" t="s">
        <v>133</v>
      </c>
      <c r="D3504">
        <v>2012</v>
      </c>
      <c r="E3504">
        <v>26.100999999999999</v>
      </c>
      <c r="F3504" t="s">
        <v>179</v>
      </c>
    </row>
    <row r="3505" spans="1:6" x14ac:dyDescent="0.25">
      <c r="A3505" t="s">
        <v>192</v>
      </c>
      <c r="B3505" t="s">
        <v>170</v>
      </c>
      <c r="C3505" t="s">
        <v>133</v>
      </c>
      <c r="D3505">
        <v>2011</v>
      </c>
      <c r="E3505">
        <v>25.542000000000002</v>
      </c>
      <c r="F3505" t="s">
        <v>179</v>
      </c>
    </row>
    <row r="3506" spans="1:6" x14ac:dyDescent="0.25">
      <c r="A3506" t="s">
        <v>192</v>
      </c>
      <c r="B3506" t="s">
        <v>170</v>
      </c>
      <c r="C3506" t="s">
        <v>133</v>
      </c>
      <c r="D3506">
        <v>2010</v>
      </c>
      <c r="E3506">
        <v>24.983000000000001</v>
      </c>
      <c r="F3506" t="s">
        <v>179</v>
      </c>
    </row>
    <row r="3507" spans="1:6" x14ac:dyDescent="0.25">
      <c r="A3507" t="s">
        <v>192</v>
      </c>
      <c r="B3507" t="s">
        <v>170</v>
      </c>
      <c r="C3507" t="s">
        <v>134</v>
      </c>
      <c r="D3507">
        <v>2014</v>
      </c>
      <c r="E3507">
        <v>1.5289999999999999</v>
      </c>
      <c r="F3507" t="s">
        <v>179</v>
      </c>
    </row>
    <row r="3508" spans="1:6" x14ac:dyDescent="0.25">
      <c r="A3508" t="s">
        <v>192</v>
      </c>
      <c r="B3508" t="s">
        <v>170</v>
      </c>
      <c r="C3508" t="s">
        <v>134</v>
      </c>
      <c r="D3508">
        <v>2013</v>
      </c>
      <c r="E3508">
        <v>1.3009999999999999</v>
      </c>
      <c r="F3508" t="s">
        <v>179</v>
      </c>
    </row>
    <row r="3509" spans="1:6" x14ac:dyDescent="0.25">
      <c r="A3509" t="s">
        <v>192</v>
      </c>
      <c r="B3509" t="s">
        <v>170</v>
      </c>
      <c r="C3509" t="s">
        <v>134</v>
      </c>
      <c r="D3509">
        <v>2012</v>
      </c>
      <c r="E3509">
        <v>1.3</v>
      </c>
      <c r="F3509" t="s">
        <v>179</v>
      </c>
    </row>
    <row r="3510" spans="1:6" x14ac:dyDescent="0.25">
      <c r="A3510" t="s">
        <v>192</v>
      </c>
      <c r="B3510" t="s">
        <v>170</v>
      </c>
      <c r="C3510" t="s">
        <v>134</v>
      </c>
      <c r="D3510">
        <v>2011</v>
      </c>
      <c r="E3510">
        <v>1.1779999999999999</v>
      </c>
      <c r="F3510" t="s">
        <v>179</v>
      </c>
    </row>
    <row r="3511" spans="1:6" x14ac:dyDescent="0.25">
      <c r="A3511" t="s">
        <v>192</v>
      </c>
      <c r="B3511" t="s">
        <v>170</v>
      </c>
      <c r="C3511" t="s">
        <v>134</v>
      </c>
      <c r="D3511">
        <v>2010</v>
      </c>
      <c r="E3511">
        <v>1.1779999999999999</v>
      </c>
      <c r="F3511" t="s">
        <v>179</v>
      </c>
    </row>
    <row r="3512" spans="1:6" x14ac:dyDescent="0.25">
      <c r="A3512" t="s">
        <v>192</v>
      </c>
      <c r="B3512" t="s">
        <v>170</v>
      </c>
      <c r="C3512" t="s">
        <v>135</v>
      </c>
      <c r="D3512">
        <v>2014</v>
      </c>
      <c r="E3512">
        <v>7.8E-2</v>
      </c>
      <c r="F3512" t="s">
        <v>179</v>
      </c>
    </row>
    <row r="3513" spans="1:6" x14ac:dyDescent="0.25">
      <c r="A3513" t="s">
        <v>192</v>
      </c>
      <c r="B3513" t="s">
        <v>170</v>
      </c>
      <c r="C3513" t="s">
        <v>135</v>
      </c>
      <c r="D3513">
        <v>2013</v>
      </c>
      <c r="E3513">
        <v>7.0000000000000007E-2</v>
      </c>
      <c r="F3513" t="s">
        <v>179</v>
      </c>
    </row>
    <row r="3514" spans="1:6" x14ac:dyDescent="0.25">
      <c r="A3514" t="s">
        <v>192</v>
      </c>
      <c r="B3514" t="s">
        <v>170</v>
      </c>
      <c r="C3514" t="s">
        <v>135</v>
      </c>
      <c r="D3514">
        <v>2012</v>
      </c>
      <c r="E3514">
        <v>0.158</v>
      </c>
      <c r="F3514" t="s">
        <v>179</v>
      </c>
    </row>
    <row r="3515" spans="1:6" x14ac:dyDescent="0.25">
      <c r="A3515" t="s">
        <v>192</v>
      </c>
      <c r="B3515" t="s">
        <v>170</v>
      </c>
      <c r="C3515" t="s">
        <v>135</v>
      </c>
      <c r="D3515">
        <v>2011</v>
      </c>
      <c r="E3515">
        <v>0.13500000000000001</v>
      </c>
      <c r="F3515" t="s">
        <v>179</v>
      </c>
    </row>
    <row r="3516" spans="1:6" x14ac:dyDescent="0.25">
      <c r="A3516" t="s">
        <v>192</v>
      </c>
      <c r="B3516" t="s">
        <v>170</v>
      </c>
      <c r="C3516" t="s">
        <v>135</v>
      </c>
      <c r="D3516">
        <v>2010</v>
      </c>
      <c r="E3516">
        <v>0.19</v>
      </c>
      <c r="F3516" t="s">
        <v>179</v>
      </c>
    </row>
    <row r="3517" spans="1:6" x14ac:dyDescent="0.25">
      <c r="A3517" t="s">
        <v>192</v>
      </c>
      <c r="B3517" t="s">
        <v>170</v>
      </c>
      <c r="C3517" t="s">
        <v>136</v>
      </c>
      <c r="D3517">
        <v>2014</v>
      </c>
      <c r="E3517">
        <v>0</v>
      </c>
      <c r="F3517" t="s">
        <v>179</v>
      </c>
    </row>
    <row r="3518" spans="1:6" x14ac:dyDescent="0.25">
      <c r="A3518" t="s">
        <v>192</v>
      </c>
      <c r="B3518" t="s">
        <v>170</v>
      </c>
      <c r="C3518" t="s">
        <v>136</v>
      </c>
      <c r="D3518">
        <v>2013</v>
      </c>
      <c r="E3518">
        <v>0</v>
      </c>
      <c r="F3518" t="s">
        <v>179</v>
      </c>
    </row>
    <row r="3519" spans="1:6" x14ac:dyDescent="0.25">
      <c r="A3519" t="s">
        <v>192</v>
      </c>
      <c r="B3519" t="s">
        <v>170</v>
      </c>
      <c r="C3519" t="s">
        <v>136</v>
      </c>
      <c r="D3519">
        <v>2012</v>
      </c>
      <c r="E3519">
        <v>0</v>
      </c>
      <c r="F3519" t="s">
        <v>179</v>
      </c>
    </row>
    <row r="3520" spans="1:6" x14ac:dyDescent="0.25">
      <c r="A3520" t="s">
        <v>192</v>
      </c>
      <c r="B3520" t="s">
        <v>170</v>
      </c>
      <c r="C3520" t="s">
        <v>136</v>
      </c>
      <c r="D3520">
        <v>2011</v>
      </c>
      <c r="E3520">
        <v>0</v>
      </c>
      <c r="F3520" t="s">
        <v>179</v>
      </c>
    </row>
    <row r="3521" spans="1:6" x14ac:dyDescent="0.25">
      <c r="A3521" t="s">
        <v>192</v>
      </c>
      <c r="B3521" t="s">
        <v>170</v>
      </c>
      <c r="C3521" t="s">
        <v>136</v>
      </c>
      <c r="D3521">
        <v>2010</v>
      </c>
      <c r="E3521">
        <v>0</v>
      </c>
      <c r="F3521" t="s">
        <v>179</v>
      </c>
    </row>
    <row r="3522" spans="1:6" x14ac:dyDescent="0.25">
      <c r="A3522" t="s">
        <v>192</v>
      </c>
      <c r="B3522" t="s">
        <v>170</v>
      </c>
      <c r="C3522" t="s">
        <v>137</v>
      </c>
      <c r="D3522">
        <v>2014</v>
      </c>
      <c r="E3522">
        <v>0</v>
      </c>
      <c r="F3522" t="s">
        <v>179</v>
      </c>
    </row>
    <row r="3523" spans="1:6" x14ac:dyDescent="0.25">
      <c r="A3523" t="s">
        <v>192</v>
      </c>
      <c r="B3523" t="s">
        <v>170</v>
      </c>
      <c r="C3523" t="s">
        <v>137</v>
      </c>
      <c r="D3523">
        <v>2013</v>
      </c>
      <c r="E3523">
        <v>0</v>
      </c>
      <c r="F3523" t="s">
        <v>179</v>
      </c>
    </row>
    <row r="3524" spans="1:6" x14ac:dyDescent="0.25">
      <c r="A3524" t="s">
        <v>192</v>
      </c>
      <c r="B3524" t="s">
        <v>170</v>
      </c>
      <c r="C3524" t="s">
        <v>137</v>
      </c>
      <c r="D3524">
        <v>2012</v>
      </c>
      <c r="E3524">
        <v>0</v>
      </c>
      <c r="F3524" t="s">
        <v>179</v>
      </c>
    </row>
    <row r="3525" spans="1:6" x14ac:dyDescent="0.25">
      <c r="A3525" t="s">
        <v>192</v>
      </c>
      <c r="B3525" t="s">
        <v>170</v>
      </c>
      <c r="C3525" t="s">
        <v>137</v>
      </c>
      <c r="D3525">
        <v>2011</v>
      </c>
      <c r="E3525">
        <v>0</v>
      </c>
      <c r="F3525" t="s">
        <v>179</v>
      </c>
    </row>
    <row r="3526" spans="1:6" x14ac:dyDescent="0.25">
      <c r="A3526" t="s">
        <v>192</v>
      </c>
      <c r="B3526" t="s">
        <v>170</v>
      </c>
      <c r="C3526" t="s">
        <v>137</v>
      </c>
      <c r="D3526">
        <v>2010</v>
      </c>
      <c r="E3526">
        <v>0</v>
      </c>
      <c r="F3526" t="s">
        <v>179</v>
      </c>
    </row>
    <row r="3527" spans="1:6" x14ac:dyDescent="0.25">
      <c r="A3527" t="s">
        <v>192</v>
      </c>
      <c r="B3527" t="s">
        <v>170</v>
      </c>
      <c r="C3527" t="s">
        <v>138</v>
      </c>
      <c r="D3527">
        <v>2014</v>
      </c>
      <c r="E3527">
        <v>0</v>
      </c>
      <c r="F3527" t="s">
        <v>179</v>
      </c>
    </row>
    <row r="3528" spans="1:6" x14ac:dyDescent="0.25">
      <c r="A3528" t="s">
        <v>192</v>
      </c>
      <c r="B3528" t="s">
        <v>170</v>
      </c>
      <c r="C3528" t="s">
        <v>138</v>
      </c>
      <c r="D3528">
        <v>2013</v>
      </c>
      <c r="E3528">
        <v>0</v>
      </c>
      <c r="F3528" t="s">
        <v>179</v>
      </c>
    </row>
    <row r="3529" spans="1:6" x14ac:dyDescent="0.25">
      <c r="A3529" t="s">
        <v>192</v>
      </c>
      <c r="B3529" t="s">
        <v>170</v>
      </c>
      <c r="C3529" t="s">
        <v>138</v>
      </c>
      <c r="D3529">
        <v>2012</v>
      </c>
      <c r="E3529">
        <v>0</v>
      </c>
      <c r="F3529" t="s">
        <v>179</v>
      </c>
    </row>
    <row r="3530" spans="1:6" x14ac:dyDescent="0.25">
      <c r="A3530" t="s">
        <v>192</v>
      </c>
      <c r="B3530" t="s">
        <v>170</v>
      </c>
      <c r="C3530" t="s">
        <v>138</v>
      </c>
      <c r="D3530">
        <v>2011</v>
      </c>
      <c r="E3530">
        <v>0</v>
      </c>
      <c r="F3530" t="s">
        <v>179</v>
      </c>
    </row>
    <row r="3531" spans="1:6" x14ac:dyDescent="0.25">
      <c r="A3531" t="s">
        <v>192</v>
      </c>
      <c r="B3531" t="s">
        <v>170</v>
      </c>
      <c r="C3531" t="s">
        <v>138</v>
      </c>
      <c r="D3531">
        <v>2010</v>
      </c>
      <c r="E3531">
        <v>0</v>
      </c>
      <c r="F3531" t="s">
        <v>179</v>
      </c>
    </row>
    <row r="3532" spans="1:6" x14ac:dyDescent="0.25">
      <c r="A3532" t="s">
        <v>192</v>
      </c>
      <c r="B3532" t="s">
        <v>170</v>
      </c>
      <c r="C3532" t="s">
        <v>164</v>
      </c>
      <c r="D3532">
        <v>2014</v>
      </c>
      <c r="E3532">
        <v>0</v>
      </c>
      <c r="F3532" t="s">
        <v>179</v>
      </c>
    </row>
    <row r="3533" spans="1:6" x14ac:dyDescent="0.25">
      <c r="A3533" t="s">
        <v>192</v>
      </c>
      <c r="B3533" t="s">
        <v>170</v>
      </c>
      <c r="C3533" t="s">
        <v>164</v>
      </c>
      <c r="D3533">
        <v>2013</v>
      </c>
      <c r="E3533">
        <v>0</v>
      </c>
      <c r="F3533" t="s">
        <v>179</v>
      </c>
    </row>
    <row r="3534" spans="1:6" x14ac:dyDescent="0.25">
      <c r="A3534" t="s">
        <v>192</v>
      </c>
      <c r="B3534" t="s">
        <v>170</v>
      </c>
      <c r="C3534" t="s">
        <v>164</v>
      </c>
      <c r="D3534">
        <v>2012</v>
      </c>
      <c r="E3534">
        <v>0</v>
      </c>
      <c r="F3534" t="s">
        <v>179</v>
      </c>
    </row>
    <row r="3535" spans="1:6" x14ac:dyDescent="0.25">
      <c r="A3535" t="s">
        <v>192</v>
      </c>
      <c r="B3535" t="s">
        <v>170</v>
      </c>
      <c r="C3535" t="s">
        <v>164</v>
      </c>
      <c r="D3535">
        <v>2011</v>
      </c>
      <c r="E3535">
        <v>0</v>
      </c>
      <c r="F3535" t="s">
        <v>179</v>
      </c>
    </row>
    <row r="3536" spans="1:6" x14ac:dyDescent="0.25">
      <c r="A3536" t="s">
        <v>192</v>
      </c>
      <c r="B3536" t="s">
        <v>170</v>
      </c>
      <c r="C3536" t="s">
        <v>164</v>
      </c>
      <c r="D3536">
        <v>2010</v>
      </c>
      <c r="E3536">
        <v>0</v>
      </c>
      <c r="F3536" t="s">
        <v>179</v>
      </c>
    </row>
    <row r="3537" spans="1:6" x14ac:dyDescent="0.25">
      <c r="A3537" t="s">
        <v>192</v>
      </c>
      <c r="B3537" t="s">
        <v>170</v>
      </c>
      <c r="C3537" t="s">
        <v>139</v>
      </c>
      <c r="D3537">
        <v>2014</v>
      </c>
      <c r="E3537">
        <v>0</v>
      </c>
      <c r="F3537" t="s">
        <v>179</v>
      </c>
    </row>
    <row r="3538" spans="1:6" x14ac:dyDescent="0.25">
      <c r="A3538" t="s">
        <v>192</v>
      </c>
      <c r="B3538" t="s">
        <v>170</v>
      </c>
      <c r="C3538" t="s">
        <v>139</v>
      </c>
      <c r="D3538">
        <v>2013</v>
      </c>
      <c r="E3538">
        <v>0</v>
      </c>
      <c r="F3538" t="s">
        <v>179</v>
      </c>
    </row>
    <row r="3539" spans="1:6" x14ac:dyDescent="0.25">
      <c r="A3539" t="s">
        <v>192</v>
      </c>
      <c r="B3539" t="s">
        <v>170</v>
      </c>
      <c r="C3539" t="s">
        <v>139</v>
      </c>
      <c r="D3539">
        <v>2012</v>
      </c>
      <c r="E3539">
        <v>0</v>
      </c>
      <c r="F3539" t="s">
        <v>179</v>
      </c>
    </row>
    <row r="3540" spans="1:6" x14ac:dyDescent="0.25">
      <c r="A3540" t="s">
        <v>192</v>
      </c>
      <c r="B3540" t="s">
        <v>170</v>
      </c>
      <c r="C3540" t="s">
        <v>139</v>
      </c>
      <c r="D3540">
        <v>2011</v>
      </c>
      <c r="E3540">
        <v>0</v>
      </c>
      <c r="F3540" t="s">
        <v>179</v>
      </c>
    </row>
    <row r="3541" spans="1:6" x14ac:dyDescent="0.25">
      <c r="A3541" t="s">
        <v>192</v>
      </c>
      <c r="B3541" t="s">
        <v>170</v>
      </c>
      <c r="C3541" t="s">
        <v>139</v>
      </c>
      <c r="D3541">
        <v>2010</v>
      </c>
      <c r="E3541">
        <v>0</v>
      </c>
      <c r="F3541" t="s">
        <v>179</v>
      </c>
    </row>
    <row r="3542" spans="1:6" x14ac:dyDescent="0.25">
      <c r="A3542" t="s">
        <v>192</v>
      </c>
      <c r="B3542" t="s">
        <v>170</v>
      </c>
      <c r="C3542" t="s">
        <v>165</v>
      </c>
      <c r="D3542">
        <v>2014</v>
      </c>
      <c r="E3542">
        <v>0</v>
      </c>
      <c r="F3542" t="s">
        <v>179</v>
      </c>
    </row>
    <row r="3543" spans="1:6" x14ac:dyDescent="0.25">
      <c r="A3543" t="s">
        <v>192</v>
      </c>
      <c r="B3543" t="s">
        <v>170</v>
      </c>
      <c r="C3543" t="s">
        <v>165</v>
      </c>
      <c r="D3543">
        <v>2013</v>
      </c>
      <c r="E3543">
        <v>0</v>
      </c>
      <c r="F3543" t="s">
        <v>179</v>
      </c>
    </row>
    <row r="3544" spans="1:6" x14ac:dyDescent="0.25">
      <c r="A3544" t="s">
        <v>192</v>
      </c>
      <c r="B3544" t="s">
        <v>170</v>
      </c>
      <c r="C3544" t="s">
        <v>165</v>
      </c>
      <c r="D3544">
        <v>2012</v>
      </c>
      <c r="E3544">
        <v>0</v>
      </c>
      <c r="F3544" t="s">
        <v>179</v>
      </c>
    </row>
    <row r="3545" spans="1:6" x14ac:dyDescent="0.25">
      <c r="A3545" t="s">
        <v>192</v>
      </c>
      <c r="B3545" t="s">
        <v>170</v>
      </c>
      <c r="C3545" t="s">
        <v>165</v>
      </c>
      <c r="D3545">
        <v>2011</v>
      </c>
      <c r="E3545">
        <v>0</v>
      </c>
      <c r="F3545" t="s">
        <v>179</v>
      </c>
    </row>
    <row r="3546" spans="1:6" x14ac:dyDescent="0.25">
      <c r="A3546" t="s">
        <v>192</v>
      </c>
      <c r="B3546" t="s">
        <v>170</v>
      </c>
      <c r="C3546" t="s">
        <v>165</v>
      </c>
      <c r="D3546">
        <v>2010</v>
      </c>
      <c r="E3546">
        <v>0</v>
      </c>
      <c r="F3546" t="s">
        <v>179</v>
      </c>
    </row>
    <row r="3547" spans="1:6" x14ac:dyDescent="0.25">
      <c r="A3547" t="s">
        <v>192</v>
      </c>
      <c r="B3547" t="s">
        <v>170</v>
      </c>
      <c r="C3547" t="s">
        <v>140</v>
      </c>
      <c r="D3547">
        <v>2014</v>
      </c>
      <c r="E3547">
        <v>0</v>
      </c>
      <c r="F3547" t="s">
        <v>179</v>
      </c>
    </row>
    <row r="3548" spans="1:6" x14ac:dyDescent="0.25">
      <c r="A3548" t="s">
        <v>192</v>
      </c>
      <c r="B3548" t="s">
        <v>170</v>
      </c>
      <c r="C3548" t="s">
        <v>140</v>
      </c>
      <c r="D3548">
        <v>2013</v>
      </c>
      <c r="E3548">
        <v>0</v>
      </c>
      <c r="F3548" t="s">
        <v>179</v>
      </c>
    </row>
    <row r="3549" spans="1:6" x14ac:dyDescent="0.25">
      <c r="A3549" t="s">
        <v>192</v>
      </c>
      <c r="B3549" t="s">
        <v>170</v>
      </c>
      <c r="C3549" t="s">
        <v>140</v>
      </c>
      <c r="D3549">
        <v>2012</v>
      </c>
      <c r="E3549">
        <v>0</v>
      </c>
      <c r="F3549" t="s">
        <v>179</v>
      </c>
    </row>
    <row r="3550" spans="1:6" x14ac:dyDescent="0.25">
      <c r="A3550" t="s">
        <v>192</v>
      </c>
      <c r="B3550" t="s">
        <v>170</v>
      </c>
      <c r="C3550" t="s">
        <v>140</v>
      </c>
      <c r="D3550">
        <v>2011</v>
      </c>
      <c r="E3550">
        <v>0</v>
      </c>
      <c r="F3550" t="s">
        <v>179</v>
      </c>
    </row>
    <row r="3551" spans="1:6" x14ac:dyDescent="0.25">
      <c r="A3551" t="s">
        <v>192</v>
      </c>
      <c r="B3551" t="s">
        <v>170</v>
      </c>
      <c r="C3551" t="s">
        <v>140</v>
      </c>
      <c r="D3551">
        <v>2010</v>
      </c>
      <c r="E3551">
        <v>0</v>
      </c>
      <c r="F3551" t="s">
        <v>179</v>
      </c>
    </row>
    <row r="3552" spans="1:6" x14ac:dyDescent="0.25">
      <c r="A3552" t="s">
        <v>192</v>
      </c>
      <c r="B3552" t="s">
        <v>170</v>
      </c>
      <c r="C3552" t="s">
        <v>141</v>
      </c>
      <c r="D3552">
        <v>2014</v>
      </c>
      <c r="E3552">
        <v>0</v>
      </c>
      <c r="F3552" t="s">
        <v>179</v>
      </c>
    </row>
    <row r="3553" spans="1:6" x14ac:dyDescent="0.25">
      <c r="A3553" t="s">
        <v>192</v>
      </c>
      <c r="B3553" t="s">
        <v>170</v>
      </c>
      <c r="C3553" t="s">
        <v>141</v>
      </c>
      <c r="D3553">
        <v>2013</v>
      </c>
      <c r="E3553">
        <v>0</v>
      </c>
      <c r="F3553" t="s">
        <v>179</v>
      </c>
    </row>
    <row r="3554" spans="1:6" x14ac:dyDescent="0.25">
      <c r="A3554" t="s">
        <v>192</v>
      </c>
      <c r="B3554" t="s">
        <v>170</v>
      </c>
      <c r="C3554" t="s">
        <v>141</v>
      </c>
      <c r="D3554">
        <v>2012</v>
      </c>
      <c r="E3554">
        <v>0</v>
      </c>
      <c r="F3554" t="s">
        <v>179</v>
      </c>
    </row>
    <row r="3555" spans="1:6" x14ac:dyDescent="0.25">
      <c r="A3555" t="s">
        <v>192</v>
      </c>
      <c r="B3555" t="s">
        <v>170</v>
      </c>
      <c r="C3555" t="s">
        <v>141</v>
      </c>
      <c r="D3555">
        <v>2011</v>
      </c>
      <c r="E3555">
        <v>0</v>
      </c>
      <c r="F3555" t="s">
        <v>179</v>
      </c>
    </row>
    <row r="3556" spans="1:6" x14ac:dyDescent="0.25">
      <c r="A3556" t="s">
        <v>192</v>
      </c>
      <c r="B3556" t="s">
        <v>170</v>
      </c>
      <c r="C3556" t="s">
        <v>141</v>
      </c>
      <c r="D3556">
        <v>2010</v>
      </c>
      <c r="E3556">
        <v>0</v>
      </c>
      <c r="F3556" t="s">
        <v>179</v>
      </c>
    </row>
    <row r="3557" spans="1:6" x14ac:dyDescent="0.25">
      <c r="A3557" t="s">
        <v>192</v>
      </c>
      <c r="B3557" t="s">
        <v>170</v>
      </c>
      <c r="C3557" t="s">
        <v>142</v>
      </c>
      <c r="D3557">
        <v>2014</v>
      </c>
      <c r="E3557">
        <v>0</v>
      </c>
      <c r="F3557" t="s">
        <v>179</v>
      </c>
    </row>
    <row r="3558" spans="1:6" x14ac:dyDescent="0.25">
      <c r="A3558" t="s">
        <v>192</v>
      </c>
      <c r="B3558" t="s">
        <v>170</v>
      </c>
      <c r="C3558" t="s">
        <v>142</v>
      </c>
      <c r="D3558">
        <v>2013</v>
      </c>
      <c r="E3558">
        <v>0</v>
      </c>
      <c r="F3558" t="s">
        <v>179</v>
      </c>
    </row>
    <row r="3559" spans="1:6" x14ac:dyDescent="0.25">
      <c r="A3559" t="s">
        <v>192</v>
      </c>
      <c r="B3559" t="s">
        <v>170</v>
      </c>
      <c r="C3559" t="s">
        <v>142</v>
      </c>
      <c r="D3559">
        <v>2012</v>
      </c>
      <c r="E3559">
        <v>0</v>
      </c>
      <c r="F3559" t="s">
        <v>179</v>
      </c>
    </row>
    <row r="3560" spans="1:6" x14ac:dyDescent="0.25">
      <c r="A3560" t="s">
        <v>192</v>
      </c>
      <c r="B3560" t="s">
        <v>170</v>
      </c>
      <c r="C3560" t="s">
        <v>142</v>
      </c>
      <c r="D3560">
        <v>2011</v>
      </c>
      <c r="E3560">
        <v>0</v>
      </c>
      <c r="F3560" t="s">
        <v>179</v>
      </c>
    </row>
    <row r="3561" spans="1:6" x14ac:dyDescent="0.25">
      <c r="A3561" t="s">
        <v>192</v>
      </c>
      <c r="B3561" t="s">
        <v>170</v>
      </c>
      <c r="C3561" t="s">
        <v>142</v>
      </c>
      <c r="D3561">
        <v>2010</v>
      </c>
      <c r="E3561">
        <v>0</v>
      </c>
      <c r="F3561" t="s">
        <v>179</v>
      </c>
    </row>
    <row r="3562" spans="1:6" x14ac:dyDescent="0.25">
      <c r="A3562" t="s">
        <v>192</v>
      </c>
      <c r="B3562" t="s">
        <v>170</v>
      </c>
      <c r="C3562" t="s">
        <v>166</v>
      </c>
      <c r="D3562">
        <v>2014</v>
      </c>
      <c r="E3562">
        <v>0</v>
      </c>
      <c r="F3562" t="s">
        <v>179</v>
      </c>
    </row>
    <row r="3563" spans="1:6" x14ac:dyDescent="0.25">
      <c r="A3563" t="s">
        <v>192</v>
      </c>
      <c r="B3563" t="s">
        <v>170</v>
      </c>
      <c r="C3563" t="s">
        <v>166</v>
      </c>
      <c r="D3563">
        <v>2013</v>
      </c>
      <c r="E3563">
        <v>0</v>
      </c>
      <c r="F3563" t="s">
        <v>179</v>
      </c>
    </row>
    <row r="3564" spans="1:6" x14ac:dyDescent="0.25">
      <c r="A3564" t="s">
        <v>192</v>
      </c>
      <c r="B3564" t="s">
        <v>170</v>
      </c>
      <c r="C3564" t="s">
        <v>166</v>
      </c>
      <c r="D3564">
        <v>2012</v>
      </c>
      <c r="E3564">
        <v>0</v>
      </c>
      <c r="F3564" t="s">
        <v>179</v>
      </c>
    </row>
    <row r="3565" spans="1:6" x14ac:dyDescent="0.25">
      <c r="A3565" t="s">
        <v>192</v>
      </c>
      <c r="B3565" t="s">
        <v>170</v>
      </c>
      <c r="C3565" t="s">
        <v>166</v>
      </c>
      <c r="D3565">
        <v>2011</v>
      </c>
      <c r="E3565">
        <v>0</v>
      </c>
      <c r="F3565" t="s">
        <v>179</v>
      </c>
    </row>
    <row r="3566" spans="1:6" x14ac:dyDescent="0.25">
      <c r="A3566" t="s">
        <v>192</v>
      </c>
      <c r="B3566" t="s">
        <v>170</v>
      </c>
      <c r="C3566" t="s">
        <v>166</v>
      </c>
      <c r="D3566">
        <v>2010</v>
      </c>
      <c r="E3566">
        <v>0</v>
      </c>
      <c r="F3566" t="s">
        <v>179</v>
      </c>
    </row>
    <row r="3567" spans="1:6" x14ac:dyDescent="0.25">
      <c r="A3567" t="s">
        <v>192</v>
      </c>
      <c r="B3567" t="s">
        <v>170</v>
      </c>
      <c r="C3567" t="s">
        <v>143</v>
      </c>
      <c r="D3567">
        <v>2014</v>
      </c>
      <c r="E3567">
        <v>0.33700000000000002</v>
      </c>
      <c r="F3567" t="s">
        <v>179</v>
      </c>
    </row>
    <row r="3568" spans="1:6" x14ac:dyDescent="0.25">
      <c r="A3568" t="s">
        <v>192</v>
      </c>
      <c r="B3568" t="s">
        <v>170</v>
      </c>
      <c r="C3568" t="s">
        <v>143</v>
      </c>
      <c r="D3568">
        <v>2013</v>
      </c>
      <c r="E3568">
        <v>1.7000000000000001E-2</v>
      </c>
      <c r="F3568" t="s">
        <v>179</v>
      </c>
    </row>
    <row r="3569" spans="1:6" x14ac:dyDescent="0.25">
      <c r="A3569" t="s">
        <v>192</v>
      </c>
      <c r="B3569" t="s">
        <v>170</v>
      </c>
      <c r="C3569" t="s">
        <v>143</v>
      </c>
      <c r="D3569">
        <v>2012</v>
      </c>
      <c r="E3569">
        <v>7.0000000000000001E-3</v>
      </c>
      <c r="F3569" t="s">
        <v>179</v>
      </c>
    </row>
    <row r="3570" spans="1:6" x14ac:dyDescent="0.25">
      <c r="A3570" t="s">
        <v>192</v>
      </c>
      <c r="B3570" t="s">
        <v>170</v>
      </c>
      <c r="C3570" t="s">
        <v>143</v>
      </c>
      <c r="D3570">
        <v>2011</v>
      </c>
      <c r="E3570">
        <v>8.9999999999999993E-3</v>
      </c>
      <c r="F3570" t="s">
        <v>179</v>
      </c>
    </row>
    <row r="3571" spans="1:6" x14ac:dyDescent="0.25">
      <c r="A3571" t="s">
        <v>192</v>
      </c>
      <c r="B3571" t="s">
        <v>170</v>
      </c>
      <c r="C3571" t="s">
        <v>143</v>
      </c>
      <c r="D3571">
        <v>2010</v>
      </c>
      <c r="E3571">
        <v>1.0999999999999999E-2</v>
      </c>
      <c r="F3571" t="s">
        <v>179</v>
      </c>
    </row>
    <row r="3572" spans="1:6" x14ac:dyDescent="0.25">
      <c r="A3572" t="s">
        <v>192</v>
      </c>
      <c r="B3572" t="s">
        <v>170</v>
      </c>
      <c r="C3572" t="s">
        <v>144</v>
      </c>
      <c r="D3572">
        <v>2014</v>
      </c>
      <c r="E3572">
        <v>0</v>
      </c>
      <c r="F3572" t="s">
        <v>179</v>
      </c>
    </row>
    <row r="3573" spans="1:6" x14ac:dyDescent="0.25">
      <c r="A3573" t="s">
        <v>192</v>
      </c>
      <c r="B3573" t="s">
        <v>170</v>
      </c>
      <c r="C3573" t="s">
        <v>144</v>
      </c>
      <c r="D3573">
        <v>2013</v>
      </c>
      <c r="E3573">
        <v>0</v>
      </c>
      <c r="F3573" t="s">
        <v>179</v>
      </c>
    </row>
    <row r="3574" spans="1:6" x14ac:dyDescent="0.25">
      <c r="A3574" t="s">
        <v>192</v>
      </c>
      <c r="B3574" t="s">
        <v>170</v>
      </c>
      <c r="C3574" t="s">
        <v>144</v>
      </c>
      <c r="D3574">
        <v>2012</v>
      </c>
      <c r="E3574">
        <v>0</v>
      </c>
      <c r="F3574" t="s">
        <v>179</v>
      </c>
    </row>
    <row r="3575" spans="1:6" x14ac:dyDescent="0.25">
      <c r="A3575" t="s">
        <v>192</v>
      </c>
      <c r="B3575" t="s">
        <v>170</v>
      </c>
      <c r="C3575" t="s">
        <v>144</v>
      </c>
      <c r="D3575">
        <v>2011</v>
      </c>
      <c r="E3575">
        <v>0</v>
      </c>
      <c r="F3575" t="s">
        <v>179</v>
      </c>
    </row>
    <row r="3576" spans="1:6" x14ac:dyDescent="0.25">
      <c r="A3576" t="s">
        <v>192</v>
      </c>
      <c r="B3576" t="s">
        <v>170</v>
      </c>
      <c r="C3576" t="s">
        <v>144</v>
      </c>
      <c r="D3576">
        <v>2010</v>
      </c>
      <c r="E3576">
        <v>0</v>
      </c>
      <c r="F3576" t="s">
        <v>179</v>
      </c>
    </row>
    <row r="3577" spans="1:6" x14ac:dyDescent="0.25">
      <c r="A3577" t="s">
        <v>192</v>
      </c>
      <c r="B3577" t="s">
        <v>170</v>
      </c>
      <c r="C3577" t="s">
        <v>145</v>
      </c>
      <c r="D3577">
        <v>2014</v>
      </c>
      <c r="E3577">
        <v>0</v>
      </c>
      <c r="F3577" t="s">
        <v>179</v>
      </c>
    </row>
    <row r="3578" spans="1:6" x14ac:dyDescent="0.25">
      <c r="A3578" t="s">
        <v>192</v>
      </c>
      <c r="B3578" t="s">
        <v>170</v>
      </c>
      <c r="C3578" t="s">
        <v>145</v>
      </c>
      <c r="D3578">
        <v>2013</v>
      </c>
      <c r="E3578">
        <v>0</v>
      </c>
      <c r="F3578" t="s">
        <v>179</v>
      </c>
    </row>
    <row r="3579" spans="1:6" x14ac:dyDescent="0.25">
      <c r="A3579" t="s">
        <v>192</v>
      </c>
      <c r="B3579" t="s">
        <v>170</v>
      </c>
      <c r="C3579" t="s">
        <v>145</v>
      </c>
      <c r="D3579">
        <v>2012</v>
      </c>
      <c r="E3579">
        <v>0</v>
      </c>
      <c r="F3579" t="s">
        <v>179</v>
      </c>
    </row>
    <row r="3580" spans="1:6" x14ac:dyDescent="0.25">
      <c r="A3580" t="s">
        <v>192</v>
      </c>
      <c r="B3580" t="s">
        <v>170</v>
      </c>
      <c r="C3580" t="s">
        <v>145</v>
      </c>
      <c r="D3580">
        <v>2011</v>
      </c>
      <c r="E3580">
        <v>0</v>
      </c>
      <c r="F3580" t="s">
        <v>179</v>
      </c>
    </row>
    <row r="3581" spans="1:6" x14ac:dyDescent="0.25">
      <c r="A3581" t="s">
        <v>192</v>
      </c>
      <c r="B3581" t="s">
        <v>170</v>
      </c>
      <c r="C3581" t="s">
        <v>145</v>
      </c>
      <c r="D3581">
        <v>2010</v>
      </c>
      <c r="E3581">
        <v>0</v>
      </c>
      <c r="F3581" t="s">
        <v>179</v>
      </c>
    </row>
    <row r="3582" spans="1:6" x14ac:dyDescent="0.25">
      <c r="A3582" t="s">
        <v>192</v>
      </c>
      <c r="B3582" t="s">
        <v>170</v>
      </c>
      <c r="C3582" t="s">
        <v>146</v>
      </c>
      <c r="D3582">
        <v>2014</v>
      </c>
      <c r="E3582">
        <v>6.2E-2</v>
      </c>
      <c r="F3582" t="s">
        <v>179</v>
      </c>
    </row>
    <row r="3583" spans="1:6" x14ac:dyDescent="0.25">
      <c r="A3583" t="s">
        <v>192</v>
      </c>
      <c r="B3583" t="s">
        <v>170</v>
      </c>
      <c r="C3583" t="s">
        <v>146</v>
      </c>
      <c r="D3583">
        <v>2013</v>
      </c>
      <c r="E3583">
        <v>7.8E-2</v>
      </c>
      <c r="F3583" t="s">
        <v>179</v>
      </c>
    </row>
    <row r="3584" spans="1:6" x14ac:dyDescent="0.25">
      <c r="A3584" t="s">
        <v>192</v>
      </c>
      <c r="B3584" t="s">
        <v>170</v>
      </c>
      <c r="C3584" t="s">
        <v>146</v>
      </c>
      <c r="D3584">
        <v>2012</v>
      </c>
      <c r="E3584">
        <v>8.4000000000000005E-2</v>
      </c>
      <c r="F3584" t="s">
        <v>179</v>
      </c>
    </row>
    <row r="3585" spans="1:6" x14ac:dyDescent="0.25">
      <c r="A3585" t="s">
        <v>192</v>
      </c>
      <c r="B3585" t="s">
        <v>170</v>
      </c>
      <c r="C3585" t="s">
        <v>146</v>
      </c>
      <c r="D3585">
        <v>2011</v>
      </c>
      <c r="E3585">
        <v>7.1999999999999995E-2</v>
      </c>
      <c r="F3585" t="s">
        <v>179</v>
      </c>
    </row>
    <row r="3586" spans="1:6" x14ac:dyDescent="0.25">
      <c r="A3586" t="s">
        <v>192</v>
      </c>
      <c r="B3586" t="s">
        <v>170</v>
      </c>
      <c r="C3586" t="s">
        <v>146</v>
      </c>
      <c r="D3586">
        <v>2010</v>
      </c>
      <c r="E3586">
        <v>8.3000000000000004E-2</v>
      </c>
      <c r="F3586" t="s">
        <v>179</v>
      </c>
    </row>
    <row r="3587" spans="1:6" x14ac:dyDescent="0.25">
      <c r="A3587" t="s">
        <v>192</v>
      </c>
      <c r="B3587" t="s">
        <v>170</v>
      </c>
      <c r="C3587" t="s">
        <v>147</v>
      </c>
      <c r="D3587">
        <v>2014</v>
      </c>
      <c r="E3587">
        <v>0.24</v>
      </c>
      <c r="F3587" t="s">
        <v>179</v>
      </c>
    </row>
    <row r="3588" spans="1:6" x14ac:dyDescent="0.25">
      <c r="A3588" t="s">
        <v>192</v>
      </c>
      <c r="B3588" t="s">
        <v>170</v>
      </c>
      <c r="C3588" t="s">
        <v>147</v>
      </c>
      <c r="D3588">
        <v>2013</v>
      </c>
      <c r="E3588">
        <v>0.20399999999999999</v>
      </c>
      <c r="F3588" t="s">
        <v>179</v>
      </c>
    </row>
    <row r="3589" spans="1:6" x14ac:dyDescent="0.25">
      <c r="A3589" t="s">
        <v>192</v>
      </c>
      <c r="B3589" t="s">
        <v>170</v>
      </c>
      <c r="C3589" t="s">
        <v>147</v>
      </c>
      <c r="D3589">
        <v>2012</v>
      </c>
      <c r="E3589">
        <v>0.19</v>
      </c>
      <c r="F3589" t="s">
        <v>179</v>
      </c>
    </row>
    <row r="3590" spans="1:6" x14ac:dyDescent="0.25">
      <c r="A3590" t="s">
        <v>192</v>
      </c>
      <c r="B3590" t="s">
        <v>170</v>
      </c>
      <c r="C3590" t="s">
        <v>147</v>
      </c>
      <c r="D3590">
        <v>2011</v>
      </c>
      <c r="E3590">
        <v>0.20799999999999999</v>
      </c>
      <c r="F3590" t="s">
        <v>179</v>
      </c>
    </row>
    <row r="3591" spans="1:6" x14ac:dyDescent="0.25">
      <c r="A3591" t="s">
        <v>192</v>
      </c>
      <c r="B3591" t="s">
        <v>170</v>
      </c>
      <c r="C3591" t="s">
        <v>147</v>
      </c>
      <c r="D3591">
        <v>2010</v>
      </c>
      <c r="E3591">
        <v>0.27800000000000002</v>
      </c>
      <c r="F3591" t="s">
        <v>179</v>
      </c>
    </row>
    <row r="3592" spans="1:6" x14ac:dyDescent="0.25">
      <c r="A3592" t="s">
        <v>192</v>
      </c>
      <c r="B3592" t="s">
        <v>170</v>
      </c>
      <c r="C3592" t="s">
        <v>167</v>
      </c>
      <c r="D3592">
        <v>2014</v>
      </c>
      <c r="E3592">
        <v>0</v>
      </c>
      <c r="F3592" t="s">
        <v>179</v>
      </c>
    </row>
    <row r="3593" spans="1:6" x14ac:dyDescent="0.25">
      <c r="A3593" t="s">
        <v>192</v>
      </c>
      <c r="B3593" t="s">
        <v>170</v>
      </c>
      <c r="C3593" t="s">
        <v>167</v>
      </c>
      <c r="D3593">
        <v>2013</v>
      </c>
      <c r="E3593">
        <v>0</v>
      </c>
      <c r="F3593" t="s">
        <v>179</v>
      </c>
    </row>
    <row r="3594" spans="1:6" x14ac:dyDescent="0.25">
      <c r="A3594" t="s">
        <v>192</v>
      </c>
      <c r="B3594" t="s">
        <v>170</v>
      </c>
      <c r="C3594" t="s">
        <v>167</v>
      </c>
      <c r="D3594">
        <v>2012</v>
      </c>
      <c r="E3594">
        <v>0</v>
      </c>
      <c r="F3594" t="s">
        <v>179</v>
      </c>
    </row>
    <row r="3595" spans="1:6" x14ac:dyDescent="0.25">
      <c r="A3595" t="s">
        <v>192</v>
      </c>
      <c r="B3595" t="s">
        <v>170</v>
      </c>
      <c r="C3595" t="s">
        <v>167</v>
      </c>
      <c r="D3595">
        <v>2011</v>
      </c>
      <c r="E3595">
        <v>0</v>
      </c>
      <c r="F3595" t="s">
        <v>179</v>
      </c>
    </row>
    <row r="3596" spans="1:6" x14ac:dyDescent="0.25">
      <c r="A3596" t="s">
        <v>192</v>
      </c>
      <c r="B3596" t="s">
        <v>170</v>
      </c>
      <c r="C3596" t="s">
        <v>167</v>
      </c>
      <c r="D3596">
        <v>2010</v>
      </c>
      <c r="E3596">
        <v>0</v>
      </c>
      <c r="F3596" t="s">
        <v>179</v>
      </c>
    </row>
    <row r="3597" spans="1:6" x14ac:dyDescent="0.25">
      <c r="A3597" t="s">
        <v>192</v>
      </c>
      <c r="B3597" t="s">
        <v>170</v>
      </c>
      <c r="C3597" t="s">
        <v>168</v>
      </c>
      <c r="D3597">
        <v>2014</v>
      </c>
      <c r="E3597">
        <v>0</v>
      </c>
      <c r="F3597" t="s">
        <v>179</v>
      </c>
    </row>
    <row r="3598" spans="1:6" x14ac:dyDescent="0.25">
      <c r="A3598" t="s">
        <v>192</v>
      </c>
      <c r="B3598" t="s">
        <v>170</v>
      </c>
      <c r="C3598" t="s">
        <v>168</v>
      </c>
      <c r="D3598">
        <v>2013</v>
      </c>
      <c r="E3598">
        <v>0</v>
      </c>
      <c r="F3598" t="s">
        <v>179</v>
      </c>
    </row>
    <row r="3599" spans="1:6" x14ac:dyDescent="0.25">
      <c r="A3599" t="s">
        <v>192</v>
      </c>
      <c r="B3599" t="s">
        <v>170</v>
      </c>
      <c r="C3599" t="s">
        <v>168</v>
      </c>
      <c r="D3599">
        <v>2012</v>
      </c>
      <c r="E3599">
        <v>0</v>
      </c>
      <c r="F3599" t="s">
        <v>179</v>
      </c>
    </row>
    <row r="3600" spans="1:6" x14ac:dyDescent="0.25">
      <c r="A3600" t="s">
        <v>192</v>
      </c>
      <c r="B3600" t="s">
        <v>170</v>
      </c>
      <c r="C3600" t="s">
        <v>168</v>
      </c>
      <c r="D3600">
        <v>2011</v>
      </c>
      <c r="E3600">
        <v>0</v>
      </c>
      <c r="F3600" t="s">
        <v>179</v>
      </c>
    </row>
    <row r="3601" spans="1:6" x14ac:dyDescent="0.25">
      <c r="A3601" t="s">
        <v>192</v>
      </c>
      <c r="B3601" t="s">
        <v>170</v>
      </c>
      <c r="C3601" t="s">
        <v>168</v>
      </c>
      <c r="D3601">
        <v>2010</v>
      </c>
      <c r="E3601">
        <v>0</v>
      </c>
      <c r="F3601" t="s">
        <v>179</v>
      </c>
    </row>
    <row r="3602" spans="1:6" x14ac:dyDescent="0.25">
      <c r="A3602" t="s">
        <v>192</v>
      </c>
      <c r="B3602" t="s">
        <v>170</v>
      </c>
      <c r="C3602" t="s">
        <v>148</v>
      </c>
      <c r="D3602">
        <v>2014</v>
      </c>
      <c r="E3602">
        <v>0</v>
      </c>
      <c r="F3602" t="s">
        <v>179</v>
      </c>
    </row>
    <row r="3603" spans="1:6" x14ac:dyDescent="0.25">
      <c r="A3603" t="s">
        <v>192</v>
      </c>
      <c r="B3603" t="s">
        <v>170</v>
      </c>
      <c r="C3603" t="s">
        <v>148</v>
      </c>
      <c r="D3603">
        <v>2013</v>
      </c>
      <c r="E3603">
        <v>0</v>
      </c>
      <c r="F3603" t="s">
        <v>179</v>
      </c>
    </row>
    <row r="3604" spans="1:6" x14ac:dyDescent="0.25">
      <c r="A3604" t="s">
        <v>192</v>
      </c>
      <c r="B3604" t="s">
        <v>170</v>
      </c>
      <c r="C3604" t="s">
        <v>148</v>
      </c>
      <c r="D3604">
        <v>2012</v>
      </c>
      <c r="E3604">
        <v>0</v>
      </c>
      <c r="F3604" t="s">
        <v>179</v>
      </c>
    </row>
    <row r="3605" spans="1:6" x14ac:dyDescent="0.25">
      <c r="A3605" t="s">
        <v>192</v>
      </c>
      <c r="B3605" t="s">
        <v>170</v>
      </c>
      <c r="C3605" t="s">
        <v>148</v>
      </c>
      <c r="D3605">
        <v>2011</v>
      </c>
      <c r="E3605">
        <v>0</v>
      </c>
      <c r="F3605" t="s">
        <v>179</v>
      </c>
    </row>
    <row r="3606" spans="1:6" x14ac:dyDescent="0.25">
      <c r="A3606" t="s">
        <v>192</v>
      </c>
      <c r="B3606" t="s">
        <v>170</v>
      </c>
      <c r="C3606" t="s">
        <v>148</v>
      </c>
      <c r="D3606">
        <v>2010</v>
      </c>
      <c r="E3606">
        <v>0</v>
      </c>
      <c r="F3606" t="s">
        <v>179</v>
      </c>
    </row>
    <row r="3607" spans="1:6" x14ac:dyDescent="0.25">
      <c r="A3607" t="s">
        <v>192</v>
      </c>
      <c r="B3607" t="s">
        <v>170</v>
      </c>
      <c r="C3607" t="s">
        <v>149</v>
      </c>
      <c r="D3607">
        <v>2014</v>
      </c>
      <c r="E3607">
        <v>0</v>
      </c>
      <c r="F3607" t="s">
        <v>179</v>
      </c>
    </row>
    <row r="3608" spans="1:6" x14ac:dyDescent="0.25">
      <c r="A3608" t="s">
        <v>192</v>
      </c>
      <c r="B3608" t="s">
        <v>170</v>
      </c>
      <c r="C3608" t="s">
        <v>149</v>
      </c>
      <c r="D3608">
        <v>2013</v>
      </c>
      <c r="E3608">
        <v>0</v>
      </c>
      <c r="F3608" t="s">
        <v>179</v>
      </c>
    </row>
    <row r="3609" spans="1:6" x14ac:dyDescent="0.25">
      <c r="A3609" t="s">
        <v>192</v>
      </c>
      <c r="B3609" t="s">
        <v>170</v>
      </c>
      <c r="C3609" t="s">
        <v>149</v>
      </c>
      <c r="D3609">
        <v>2012</v>
      </c>
      <c r="E3609">
        <v>0</v>
      </c>
      <c r="F3609" t="s">
        <v>179</v>
      </c>
    </row>
    <row r="3610" spans="1:6" x14ac:dyDescent="0.25">
      <c r="A3610" t="s">
        <v>192</v>
      </c>
      <c r="B3610" t="s">
        <v>170</v>
      </c>
      <c r="C3610" t="s">
        <v>149</v>
      </c>
      <c r="D3610">
        <v>2011</v>
      </c>
      <c r="E3610">
        <v>0</v>
      </c>
      <c r="F3610" t="s">
        <v>179</v>
      </c>
    </row>
    <row r="3611" spans="1:6" x14ac:dyDescent="0.25">
      <c r="A3611" t="s">
        <v>192</v>
      </c>
      <c r="B3611" t="s">
        <v>170</v>
      </c>
      <c r="C3611" t="s">
        <v>149</v>
      </c>
      <c r="D3611">
        <v>2010</v>
      </c>
      <c r="E3611">
        <v>0</v>
      </c>
      <c r="F3611" t="s">
        <v>179</v>
      </c>
    </row>
    <row r="3612" spans="1:6" x14ac:dyDescent="0.25">
      <c r="A3612" t="s">
        <v>169</v>
      </c>
      <c r="B3612" t="s">
        <v>190</v>
      </c>
      <c r="C3612" t="s">
        <v>121</v>
      </c>
      <c r="D3612">
        <v>2014</v>
      </c>
      <c r="E3612">
        <v>0</v>
      </c>
      <c r="F3612" t="s">
        <v>172</v>
      </c>
    </row>
    <row r="3613" spans="1:6" x14ac:dyDescent="0.25">
      <c r="A3613" t="s">
        <v>169</v>
      </c>
      <c r="B3613" t="s">
        <v>190</v>
      </c>
      <c r="C3613" t="s">
        <v>121</v>
      </c>
      <c r="D3613">
        <v>2013</v>
      </c>
      <c r="E3613">
        <v>0</v>
      </c>
      <c r="F3613" t="s">
        <v>172</v>
      </c>
    </row>
    <row r="3614" spans="1:6" x14ac:dyDescent="0.25">
      <c r="A3614" t="s">
        <v>169</v>
      </c>
      <c r="B3614" t="s">
        <v>190</v>
      </c>
      <c r="C3614" t="s">
        <v>121</v>
      </c>
      <c r="D3614">
        <v>2012</v>
      </c>
      <c r="E3614">
        <v>0</v>
      </c>
      <c r="F3614" t="s">
        <v>172</v>
      </c>
    </row>
    <row r="3615" spans="1:6" x14ac:dyDescent="0.25">
      <c r="A3615" t="s">
        <v>169</v>
      </c>
      <c r="B3615" t="s">
        <v>190</v>
      </c>
      <c r="C3615" t="s">
        <v>121</v>
      </c>
      <c r="D3615">
        <v>2011</v>
      </c>
      <c r="E3615">
        <v>0</v>
      </c>
      <c r="F3615" t="s">
        <v>172</v>
      </c>
    </row>
    <row r="3616" spans="1:6" x14ac:dyDescent="0.25">
      <c r="A3616" t="s">
        <v>169</v>
      </c>
      <c r="B3616" t="s">
        <v>190</v>
      </c>
      <c r="C3616" t="s">
        <v>121</v>
      </c>
      <c r="D3616">
        <v>2010</v>
      </c>
      <c r="E3616">
        <v>0</v>
      </c>
      <c r="F3616" t="s">
        <v>172</v>
      </c>
    </row>
    <row r="3617" spans="1:6" x14ac:dyDescent="0.25">
      <c r="A3617" t="s">
        <v>169</v>
      </c>
      <c r="B3617" t="s">
        <v>190</v>
      </c>
      <c r="C3617" t="s">
        <v>122</v>
      </c>
      <c r="D3617">
        <v>2014</v>
      </c>
      <c r="E3617">
        <v>36.078000000000003</v>
      </c>
      <c r="F3617" t="s">
        <v>172</v>
      </c>
    </row>
    <row r="3618" spans="1:6" x14ac:dyDescent="0.25">
      <c r="A3618" t="s">
        <v>169</v>
      </c>
      <c r="B3618" t="s">
        <v>190</v>
      </c>
      <c r="C3618" t="s">
        <v>122</v>
      </c>
      <c r="D3618">
        <v>2013</v>
      </c>
      <c r="E3618">
        <v>36.420999999999999</v>
      </c>
      <c r="F3618" t="s">
        <v>172</v>
      </c>
    </row>
    <row r="3619" spans="1:6" x14ac:dyDescent="0.25">
      <c r="A3619" t="s">
        <v>169</v>
      </c>
      <c r="B3619" t="s">
        <v>190</v>
      </c>
      <c r="C3619" t="s">
        <v>122</v>
      </c>
      <c r="D3619">
        <v>2012</v>
      </c>
      <c r="E3619">
        <v>32.832000000000001</v>
      </c>
      <c r="F3619" t="s">
        <v>172</v>
      </c>
    </row>
    <row r="3620" spans="1:6" x14ac:dyDescent="0.25">
      <c r="A3620" t="s">
        <v>169</v>
      </c>
      <c r="B3620" t="s">
        <v>190</v>
      </c>
      <c r="C3620" t="s">
        <v>122</v>
      </c>
      <c r="D3620">
        <v>2011</v>
      </c>
      <c r="E3620">
        <v>28.664000000000001</v>
      </c>
      <c r="F3620" t="s">
        <v>172</v>
      </c>
    </row>
    <row r="3621" spans="1:6" x14ac:dyDescent="0.25">
      <c r="A3621" t="s">
        <v>169</v>
      </c>
      <c r="B3621" t="s">
        <v>190</v>
      </c>
      <c r="C3621" t="s">
        <v>122</v>
      </c>
      <c r="D3621">
        <v>2010</v>
      </c>
      <c r="E3621">
        <v>31.042999999999999</v>
      </c>
      <c r="F3621" t="s">
        <v>172</v>
      </c>
    </row>
    <row r="3622" spans="1:6" x14ac:dyDescent="0.25">
      <c r="A3622" t="s">
        <v>169</v>
      </c>
      <c r="B3622" t="s">
        <v>190</v>
      </c>
      <c r="C3622" t="s">
        <v>123</v>
      </c>
      <c r="D3622">
        <v>2014</v>
      </c>
      <c r="E3622">
        <v>0.495</v>
      </c>
      <c r="F3622" t="s">
        <v>172</v>
      </c>
    </row>
    <row r="3623" spans="1:6" x14ac:dyDescent="0.25">
      <c r="A3623" t="s">
        <v>169</v>
      </c>
      <c r="B3623" t="s">
        <v>190</v>
      </c>
      <c r="C3623" t="s">
        <v>123</v>
      </c>
      <c r="D3623">
        <v>2013</v>
      </c>
      <c r="E3623">
        <v>0.40899999999999997</v>
      </c>
      <c r="F3623" t="s">
        <v>172</v>
      </c>
    </row>
    <row r="3624" spans="1:6" x14ac:dyDescent="0.25">
      <c r="A3624" t="s">
        <v>169</v>
      </c>
      <c r="B3624" t="s">
        <v>190</v>
      </c>
      <c r="C3624" t="s">
        <v>123</v>
      </c>
      <c r="D3624">
        <v>2012</v>
      </c>
      <c r="E3624">
        <v>0.45500000000000002</v>
      </c>
      <c r="F3624" t="s">
        <v>172</v>
      </c>
    </row>
    <row r="3625" spans="1:6" x14ac:dyDescent="0.25">
      <c r="A3625" t="s">
        <v>169</v>
      </c>
      <c r="B3625" t="s">
        <v>190</v>
      </c>
      <c r="C3625" t="s">
        <v>123</v>
      </c>
      <c r="D3625">
        <v>2011</v>
      </c>
      <c r="E3625">
        <v>0.80900000000000005</v>
      </c>
      <c r="F3625" t="s">
        <v>172</v>
      </c>
    </row>
    <row r="3626" spans="1:6" x14ac:dyDescent="0.25">
      <c r="A3626" t="s">
        <v>169</v>
      </c>
      <c r="B3626" t="s">
        <v>190</v>
      </c>
      <c r="C3626" t="s">
        <v>123</v>
      </c>
      <c r="D3626">
        <v>2010</v>
      </c>
      <c r="E3626">
        <v>0.16300000000000001</v>
      </c>
      <c r="F3626" t="s">
        <v>172</v>
      </c>
    </row>
    <row r="3627" spans="1:6" x14ac:dyDescent="0.25">
      <c r="A3627" t="s">
        <v>169</v>
      </c>
      <c r="B3627" t="s">
        <v>190</v>
      </c>
      <c r="C3627" t="s">
        <v>124</v>
      </c>
      <c r="D3627">
        <v>2014</v>
      </c>
      <c r="E3627">
        <v>8.8699999999999992</v>
      </c>
      <c r="F3627" t="s">
        <v>172</v>
      </c>
    </row>
    <row r="3628" spans="1:6" x14ac:dyDescent="0.25">
      <c r="A3628" t="s">
        <v>169</v>
      </c>
      <c r="B3628" t="s">
        <v>190</v>
      </c>
      <c r="C3628" t="s">
        <v>124</v>
      </c>
      <c r="D3628">
        <v>2013</v>
      </c>
      <c r="E3628">
        <v>8.0690000000000008</v>
      </c>
      <c r="F3628" t="s">
        <v>172</v>
      </c>
    </row>
    <row r="3629" spans="1:6" x14ac:dyDescent="0.25">
      <c r="A3629" t="s">
        <v>169</v>
      </c>
      <c r="B3629" t="s">
        <v>190</v>
      </c>
      <c r="C3629" t="s">
        <v>124</v>
      </c>
      <c r="D3629">
        <v>2012</v>
      </c>
      <c r="E3629">
        <v>10.356</v>
      </c>
      <c r="F3629" t="s">
        <v>172</v>
      </c>
    </row>
    <row r="3630" spans="1:6" x14ac:dyDescent="0.25">
      <c r="A3630" t="s">
        <v>169</v>
      </c>
      <c r="B3630" t="s">
        <v>190</v>
      </c>
      <c r="C3630" t="s">
        <v>124</v>
      </c>
      <c r="D3630">
        <v>2011</v>
      </c>
      <c r="E3630">
        <v>13.672000000000001</v>
      </c>
      <c r="F3630" t="s">
        <v>172</v>
      </c>
    </row>
    <row r="3631" spans="1:6" x14ac:dyDescent="0.25">
      <c r="A3631" t="s">
        <v>169</v>
      </c>
      <c r="B3631" t="s">
        <v>190</v>
      </c>
      <c r="C3631" t="s">
        <v>124</v>
      </c>
      <c r="D3631">
        <v>2010</v>
      </c>
      <c r="E3631">
        <v>14.118</v>
      </c>
      <c r="F3631" t="s">
        <v>172</v>
      </c>
    </row>
    <row r="3632" spans="1:6" x14ac:dyDescent="0.25">
      <c r="A3632" t="s">
        <v>169</v>
      </c>
      <c r="B3632" t="s">
        <v>190</v>
      </c>
      <c r="C3632" t="s">
        <v>160</v>
      </c>
      <c r="D3632">
        <v>2014</v>
      </c>
      <c r="E3632">
        <v>0</v>
      </c>
      <c r="F3632" t="s">
        <v>172</v>
      </c>
    </row>
    <row r="3633" spans="1:6" x14ac:dyDescent="0.25">
      <c r="A3633" t="s">
        <v>169</v>
      </c>
      <c r="B3633" t="s">
        <v>190</v>
      </c>
      <c r="C3633" t="s">
        <v>160</v>
      </c>
      <c r="D3633">
        <v>2013</v>
      </c>
      <c r="E3633">
        <v>0</v>
      </c>
      <c r="F3633" t="s">
        <v>172</v>
      </c>
    </row>
    <row r="3634" spans="1:6" x14ac:dyDescent="0.25">
      <c r="A3634" t="s">
        <v>169</v>
      </c>
      <c r="B3634" t="s">
        <v>190</v>
      </c>
      <c r="C3634" t="s">
        <v>160</v>
      </c>
      <c r="D3634">
        <v>2012</v>
      </c>
      <c r="E3634">
        <v>0</v>
      </c>
      <c r="F3634" t="s">
        <v>172</v>
      </c>
    </row>
    <row r="3635" spans="1:6" x14ac:dyDescent="0.25">
      <c r="A3635" t="s">
        <v>169</v>
      </c>
      <c r="B3635" t="s">
        <v>190</v>
      </c>
      <c r="C3635" t="s">
        <v>160</v>
      </c>
      <c r="D3635">
        <v>2011</v>
      </c>
      <c r="E3635">
        <v>0</v>
      </c>
      <c r="F3635" t="s">
        <v>172</v>
      </c>
    </row>
    <row r="3636" spans="1:6" x14ac:dyDescent="0.25">
      <c r="A3636" t="s">
        <v>169</v>
      </c>
      <c r="B3636" t="s">
        <v>190</v>
      </c>
      <c r="C3636" t="s">
        <v>160</v>
      </c>
      <c r="D3636">
        <v>2010</v>
      </c>
      <c r="E3636">
        <v>0</v>
      </c>
      <c r="F3636" t="s">
        <v>172</v>
      </c>
    </row>
    <row r="3637" spans="1:6" x14ac:dyDescent="0.25">
      <c r="A3637" t="s">
        <v>169</v>
      </c>
      <c r="B3637" t="s">
        <v>190</v>
      </c>
      <c r="C3637" t="s">
        <v>125</v>
      </c>
      <c r="D3637">
        <v>2014</v>
      </c>
      <c r="E3637">
        <v>23.986000000000001</v>
      </c>
      <c r="F3637" t="s">
        <v>172</v>
      </c>
    </row>
    <row r="3638" spans="1:6" x14ac:dyDescent="0.25">
      <c r="A3638" t="s">
        <v>169</v>
      </c>
      <c r="B3638" t="s">
        <v>190</v>
      </c>
      <c r="C3638" t="s">
        <v>125</v>
      </c>
      <c r="D3638">
        <v>2013</v>
      </c>
      <c r="E3638">
        <v>26.670999999999999</v>
      </c>
      <c r="F3638" t="s">
        <v>172</v>
      </c>
    </row>
    <row r="3639" spans="1:6" x14ac:dyDescent="0.25">
      <c r="A3639" t="s">
        <v>169</v>
      </c>
      <c r="B3639" t="s">
        <v>190</v>
      </c>
      <c r="C3639" t="s">
        <v>125</v>
      </c>
      <c r="D3639">
        <v>2012</v>
      </c>
      <c r="E3639">
        <v>27.509</v>
      </c>
      <c r="F3639" t="s">
        <v>172</v>
      </c>
    </row>
    <row r="3640" spans="1:6" x14ac:dyDescent="0.25">
      <c r="A3640" t="s">
        <v>169</v>
      </c>
      <c r="B3640" t="s">
        <v>190</v>
      </c>
      <c r="C3640" t="s">
        <v>125</v>
      </c>
      <c r="D3640">
        <v>2011</v>
      </c>
      <c r="E3640">
        <v>24.594000000000001</v>
      </c>
      <c r="F3640" t="s">
        <v>172</v>
      </c>
    </row>
    <row r="3641" spans="1:6" x14ac:dyDescent="0.25">
      <c r="A3641" t="s">
        <v>169</v>
      </c>
      <c r="B3641" t="s">
        <v>190</v>
      </c>
      <c r="C3641" t="s">
        <v>125</v>
      </c>
      <c r="D3641">
        <v>2010</v>
      </c>
      <c r="E3641">
        <v>28.997</v>
      </c>
      <c r="F3641" t="s">
        <v>172</v>
      </c>
    </row>
    <row r="3642" spans="1:6" x14ac:dyDescent="0.25">
      <c r="A3642" t="s">
        <v>169</v>
      </c>
      <c r="B3642" t="s">
        <v>190</v>
      </c>
      <c r="C3642" t="s">
        <v>126</v>
      </c>
      <c r="D3642">
        <v>2014</v>
      </c>
      <c r="E3642">
        <v>119.919</v>
      </c>
      <c r="F3642" t="s">
        <v>172</v>
      </c>
    </row>
    <row r="3643" spans="1:6" x14ac:dyDescent="0.25">
      <c r="A3643" t="s">
        <v>169</v>
      </c>
      <c r="B3643" t="s">
        <v>190</v>
      </c>
      <c r="C3643" t="s">
        <v>126</v>
      </c>
      <c r="D3643">
        <v>2013</v>
      </c>
      <c r="E3643">
        <v>139.43199999999999</v>
      </c>
      <c r="F3643" t="s">
        <v>172</v>
      </c>
    </row>
    <row r="3644" spans="1:6" x14ac:dyDescent="0.25">
      <c r="A3644" t="s">
        <v>169</v>
      </c>
      <c r="B3644" t="s">
        <v>190</v>
      </c>
      <c r="C3644" t="s">
        <v>126</v>
      </c>
      <c r="D3644">
        <v>2012</v>
      </c>
      <c r="E3644">
        <v>135.40899999999999</v>
      </c>
      <c r="F3644" t="s">
        <v>172</v>
      </c>
    </row>
    <row r="3645" spans="1:6" x14ac:dyDescent="0.25">
      <c r="A3645" t="s">
        <v>169</v>
      </c>
      <c r="B3645" t="s">
        <v>190</v>
      </c>
      <c r="C3645" t="s">
        <v>126</v>
      </c>
      <c r="D3645">
        <v>2011</v>
      </c>
      <c r="E3645">
        <v>132.244</v>
      </c>
      <c r="F3645" t="s">
        <v>172</v>
      </c>
    </row>
    <row r="3646" spans="1:6" x14ac:dyDescent="0.25">
      <c r="A3646" t="s">
        <v>169</v>
      </c>
      <c r="B3646" t="s">
        <v>190</v>
      </c>
      <c r="C3646" t="s">
        <v>126</v>
      </c>
      <c r="D3646">
        <v>2010</v>
      </c>
      <c r="E3646">
        <v>152.06299999999999</v>
      </c>
      <c r="F3646" t="s">
        <v>172</v>
      </c>
    </row>
    <row r="3647" spans="1:6" x14ac:dyDescent="0.25">
      <c r="A3647" t="s">
        <v>169</v>
      </c>
      <c r="B3647" t="s">
        <v>190</v>
      </c>
      <c r="C3647" t="s">
        <v>127</v>
      </c>
      <c r="D3647">
        <v>2014</v>
      </c>
      <c r="E3647">
        <v>39.084000000000003</v>
      </c>
      <c r="F3647" t="s">
        <v>172</v>
      </c>
    </row>
    <row r="3648" spans="1:6" x14ac:dyDescent="0.25">
      <c r="A3648" t="s">
        <v>169</v>
      </c>
      <c r="B3648" t="s">
        <v>190</v>
      </c>
      <c r="C3648" t="s">
        <v>127</v>
      </c>
      <c r="D3648">
        <v>2013</v>
      </c>
      <c r="E3648">
        <v>38.183</v>
      </c>
      <c r="F3648" t="s">
        <v>172</v>
      </c>
    </row>
    <row r="3649" spans="1:6" x14ac:dyDescent="0.25">
      <c r="A3649" t="s">
        <v>169</v>
      </c>
      <c r="B3649" t="s">
        <v>190</v>
      </c>
      <c r="C3649" t="s">
        <v>127</v>
      </c>
      <c r="D3649">
        <v>2012</v>
      </c>
      <c r="E3649">
        <v>38.19</v>
      </c>
      <c r="F3649" t="s">
        <v>172</v>
      </c>
    </row>
    <row r="3650" spans="1:6" x14ac:dyDescent="0.25">
      <c r="A3650" t="s">
        <v>169</v>
      </c>
      <c r="B3650" t="s">
        <v>190</v>
      </c>
      <c r="C3650" t="s">
        <v>127</v>
      </c>
      <c r="D3650">
        <v>2011</v>
      </c>
      <c r="E3650">
        <v>32.112000000000002</v>
      </c>
      <c r="F3650" t="s">
        <v>172</v>
      </c>
    </row>
    <row r="3651" spans="1:6" x14ac:dyDescent="0.25">
      <c r="A3651" t="s">
        <v>169</v>
      </c>
      <c r="B3651" t="s">
        <v>190</v>
      </c>
      <c r="C3651" t="s">
        <v>127</v>
      </c>
      <c r="D3651">
        <v>2010</v>
      </c>
      <c r="E3651">
        <v>36.183999999999997</v>
      </c>
      <c r="F3651" t="s">
        <v>172</v>
      </c>
    </row>
    <row r="3652" spans="1:6" x14ac:dyDescent="0.25">
      <c r="A3652" t="s">
        <v>169</v>
      </c>
      <c r="B3652" t="s">
        <v>190</v>
      </c>
      <c r="C3652" t="s">
        <v>128</v>
      </c>
      <c r="D3652">
        <v>2014</v>
      </c>
      <c r="E3652">
        <v>10.404</v>
      </c>
      <c r="F3652" t="s">
        <v>172</v>
      </c>
    </row>
    <row r="3653" spans="1:6" x14ac:dyDescent="0.25">
      <c r="A3653" t="s">
        <v>169</v>
      </c>
      <c r="B3653" t="s">
        <v>190</v>
      </c>
      <c r="C3653" t="s">
        <v>128</v>
      </c>
      <c r="D3653">
        <v>2013</v>
      </c>
      <c r="E3653">
        <v>12.454000000000001</v>
      </c>
      <c r="F3653" t="s">
        <v>172</v>
      </c>
    </row>
    <row r="3654" spans="1:6" x14ac:dyDescent="0.25">
      <c r="A3654" t="s">
        <v>169</v>
      </c>
      <c r="B3654" t="s">
        <v>190</v>
      </c>
      <c r="C3654" t="s">
        <v>128</v>
      </c>
      <c r="D3654">
        <v>2012</v>
      </c>
      <c r="E3654">
        <v>14.859</v>
      </c>
      <c r="F3654" t="s">
        <v>172</v>
      </c>
    </row>
    <row r="3655" spans="1:6" x14ac:dyDescent="0.25">
      <c r="A3655" t="s">
        <v>169</v>
      </c>
      <c r="B3655" t="s">
        <v>190</v>
      </c>
      <c r="C3655" t="s">
        <v>128</v>
      </c>
      <c r="D3655">
        <v>2011</v>
      </c>
      <c r="E3655">
        <v>13.884</v>
      </c>
      <c r="F3655" t="s">
        <v>172</v>
      </c>
    </row>
    <row r="3656" spans="1:6" x14ac:dyDescent="0.25">
      <c r="A3656" t="s">
        <v>169</v>
      </c>
      <c r="B3656" t="s">
        <v>190</v>
      </c>
      <c r="C3656" t="s">
        <v>128</v>
      </c>
      <c r="D3656">
        <v>2010</v>
      </c>
      <c r="E3656">
        <v>15.074</v>
      </c>
      <c r="F3656" t="s">
        <v>172</v>
      </c>
    </row>
    <row r="3657" spans="1:6" x14ac:dyDescent="0.25">
      <c r="A3657" t="s">
        <v>169</v>
      </c>
      <c r="B3657" t="s">
        <v>190</v>
      </c>
      <c r="C3657" t="s">
        <v>161</v>
      </c>
      <c r="D3657">
        <v>2014</v>
      </c>
      <c r="E3657">
        <v>0</v>
      </c>
      <c r="F3657" t="s">
        <v>172</v>
      </c>
    </row>
    <row r="3658" spans="1:6" x14ac:dyDescent="0.25">
      <c r="A3658" t="s">
        <v>169</v>
      </c>
      <c r="B3658" t="s">
        <v>190</v>
      </c>
      <c r="C3658" t="s">
        <v>161</v>
      </c>
      <c r="D3658">
        <v>2013</v>
      </c>
      <c r="E3658">
        <v>0</v>
      </c>
      <c r="F3658" t="s">
        <v>172</v>
      </c>
    </row>
    <row r="3659" spans="1:6" x14ac:dyDescent="0.25">
      <c r="A3659" t="s">
        <v>169</v>
      </c>
      <c r="B3659" t="s">
        <v>190</v>
      </c>
      <c r="C3659" t="s">
        <v>161</v>
      </c>
      <c r="D3659">
        <v>2012</v>
      </c>
      <c r="E3659">
        <v>0</v>
      </c>
      <c r="F3659" t="s">
        <v>172</v>
      </c>
    </row>
    <row r="3660" spans="1:6" x14ac:dyDescent="0.25">
      <c r="A3660" t="s">
        <v>169</v>
      </c>
      <c r="B3660" t="s">
        <v>190</v>
      </c>
      <c r="C3660" t="s">
        <v>161</v>
      </c>
      <c r="D3660">
        <v>2011</v>
      </c>
      <c r="E3660">
        <v>0</v>
      </c>
      <c r="F3660" t="s">
        <v>172</v>
      </c>
    </row>
    <row r="3661" spans="1:6" x14ac:dyDescent="0.25">
      <c r="A3661" t="s">
        <v>169</v>
      </c>
      <c r="B3661" t="s">
        <v>190</v>
      </c>
      <c r="C3661" t="s">
        <v>161</v>
      </c>
      <c r="D3661">
        <v>2010</v>
      </c>
      <c r="E3661">
        <v>0</v>
      </c>
      <c r="F3661" t="s">
        <v>172</v>
      </c>
    </row>
    <row r="3662" spans="1:6" x14ac:dyDescent="0.25">
      <c r="A3662" t="s">
        <v>169</v>
      </c>
      <c r="B3662" t="s">
        <v>190</v>
      </c>
      <c r="C3662" t="s">
        <v>162</v>
      </c>
      <c r="D3662">
        <v>2014</v>
      </c>
      <c r="E3662">
        <v>0</v>
      </c>
      <c r="F3662" t="s">
        <v>172</v>
      </c>
    </row>
    <row r="3663" spans="1:6" x14ac:dyDescent="0.25">
      <c r="A3663" t="s">
        <v>169</v>
      </c>
      <c r="B3663" t="s">
        <v>190</v>
      </c>
      <c r="C3663" t="s">
        <v>162</v>
      </c>
      <c r="D3663">
        <v>2013</v>
      </c>
      <c r="E3663">
        <v>0</v>
      </c>
      <c r="F3663" t="s">
        <v>172</v>
      </c>
    </row>
    <row r="3664" spans="1:6" x14ac:dyDescent="0.25">
      <c r="A3664" t="s">
        <v>169</v>
      </c>
      <c r="B3664" t="s">
        <v>190</v>
      </c>
      <c r="C3664" t="s">
        <v>162</v>
      </c>
      <c r="D3664">
        <v>2012</v>
      </c>
      <c r="E3664">
        <v>0</v>
      </c>
      <c r="F3664" t="s">
        <v>172</v>
      </c>
    </row>
    <row r="3665" spans="1:6" x14ac:dyDescent="0.25">
      <c r="A3665" t="s">
        <v>169</v>
      </c>
      <c r="B3665" t="s">
        <v>190</v>
      </c>
      <c r="C3665" t="s">
        <v>162</v>
      </c>
      <c r="D3665">
        <v>2011</v>
      </c>
      <c r="E3665">
        <v>0</v>
      </c>
      <c r="F3665" t="s">
        <v>172</v>
      </c>
    </row>
    <row r="3666" spans="1:6" x14ac:dyDescent="0.25">
      <c r="A3666" t="s">
        <v>169</v>
      </c>
      <c r="B3666" t="s">
        <v>190</v>
      </c>
      <c r="C3666" t="s">
        <v>162</v>
      </c>
      <c r="D3666">
        <v>2010</v>
      </c>
      <c r="E3666">
        <v>0</v>
      </c>
      <c r="F3666" t="s">
        <v>172</v>
      </c>
    </row>
    <row r="3667" spans="1:6" x14ac:dyDescent="0.25">
      <c r="A3667" t="s">
        <v>169</v>
      </c>
      <c r="B3667" t="s">
        <v>190</v>
      </c>
      <c r="C3667" t="s">
        <v>129</v>
      </c>
      <c r="D3667">
        <v>2014</v>
      </c>
      <c r="E3667">
        <v>59.744999999999997</v>
      </c>
      <c r="F3667" t="s">
        <v>172</v>
      </c>
    </row>
    <row r="3668" spans="1:6" x14ac:dyDescent="0.25">
      <c r="A3668" t="s">
        <v>169</v>
      </c>
      <c r="B3668" t="s">
        <v>190</v>
      </c>
      <c r="C3668" t="s">
        <v>129</v>
      </c>
      <c r="D3668">
        <v>2013</v>
      </c>
      <c r="E3668">
        <v>55.948999999999998</v>
      </c>
      <c r="F3668" t="s">
        <v>172</v>
      </c>
    </row>
    <row r="3669" spans="1:6" x14ac:dyDescent="0.25">
      <c r="A3669" t="s">
        <v>169</v>
      </c>
      <c r="B3669" t="s">
        <v>190</v>
      </c>
      <c r="C3669" t="s">
        <v>129</v>
      </c>
      <c r="D3669">
        <v>2012</v>
      </c>
      <c r="E3669">
        <v>63.218000000000004</v>
      </c>
      <c r="F3669" t="s">
        <v>172</v>
      </c>
    </row>
    <row r="3670" spans="1:6" x14ac:dyDescent="0.25">
      <c r="A3670" t="s">
        <v>169</v>
      </c>
      <c r="B3670" t="s">
        <v>190</v>
      </c>
      <c r="C3670" t="s">
        <v>129</v>
      </c>
      <c r="D3670">
        <v>2011</v>
      </c>
      <c r="E3670">
        <v>52.877000000000002</v>
      </c>
      <c r="F3670" t="s">
        <v>172</v>
      </c>
    </row>
    <row r="3671" spans="1:6" x14ac:dyDescent="0.25">
      <c r="A3671" t="s">
        <v>169</v>
      </c>
      <c r="B3671" t="s">
        <v>190</v>
      </c>
      <c r="C3671" t="s">
        <v>129</v>
      </c>
      <c r="D3671">
        <v>2010</v>
      </c>
      <c r="E3671">
        <v>61.186999999999998</v>
      </c>
      <c r="F3671" t="s">
        <v>172</v>
      </c>
    </row>
    <row r="3672" spans="1:6" x14ac:dyDescent="0.25">
      <c r="A3672" t="s">
        <v>169</v>
      </c>
      <c r="B3672" t="s">
        <v>190</v>
      </c>
      <c r="C3672" t="s">
        <v>130</v>
      </c>
      <c r="D3672">
        <v>2014</v>
      </c>
      <c r="E3672">
        <v>50.796999999999997</v>
      </c>
      <c r="F3672" t="s">
        <v>172</v>
      </c>
    </row>
    <row r="3673" spans="1:6" x14ac:dyDescent="0.25">
      <c r="A3673" t="s">
        <v>169</v>
      </c>
      <c r="B3673" t="s">
        <v>190</v>
      </c>
      <c r="C3673" t="s">
        <v>130</v>
      </c>
      <c r="D3673">
        <v>2013</v>
      </c>
      <c r="E3673">
        <v>59.683999999999997</v>
      </c>
      <c r="F3673" t="s">
        <v>172</v>
      </c>
    </row>
    <row r="3674" spans="1:6" x14ac:dyDescent="0.25">
      <c r="A3674" t="s">
        <v>169</v>
      </c>
      <c r="B3674" t="s">
        <v>190</v>
      </c>
      <c r="C3674" t="s">
        <v>130</v>
      </c>
      <c r="D3674">
        <v>2012</v>
      </c>
      <c r="E3674">
        <v>51.929000000000002</v>
      </c>
      <c r="F3674" t="s">
        <v>172</v>
      </c>
    </row>
    <row r="3675" spans="1:6" x14ac:dyDescent="0.25">
      <c r="A3675" t="s">
        <v>169</v>
      </c>
      <c r="B3675" t="s">
        <v>190</v>
      </c>
      <c r="C3675" t="s">
        <v>130</v>
      </c>
      <c r="D3675">
        <v>2011</v>
      </c>
      <c r="E3675">
        <v>11.473000000000001</v>
      </c>
      <c r="F3675" t="s">
        <v>172</v>
      </c>
    </row>
    <row r="3676" spans="1:6" x14ac:dyDescent="0.25">
      <c r="A3676" t="s">
        <v>169</v>
      </c>
      <c r="B3676" t="s">
        <v>190</v>
      </c>
      <c r="C3676" t="s">
        <v>130</v>
      </c>
      <c r="D3676">
        <v>2010</v>
      </c>
      <c r="E3676">
        <v>13.869</v>
      </c>
      <c r="F3676" t="s">
        <v>172</v>
      </c>
    </row>
    <row r="3677" spans="1:6" x14ac:dyDescent="0.25">
      <c r="A3677" t="s">
        <v>169</v>
      </c>
      <c r="B3677" t="s">
        <v>190</v>
      </c>
      <c r="C3677" t="s">
        <v>131</v>
      </c>
      <c r="D3677">
        <v>2014</v>
      </c>
      <c r="E3677">
        <v>2.113</v>
      </c>
      <c r="F3677" t="s">
        <v>172</v>
      </c>
    </row>
    <row r="3678" spans="1:6" x14ac:dyDescent="0.25">
      <c r="A3678" t="s">
        <v>169</v>
      </c>
      <c r="B3678" t="s">
        <v>190</v>
      </c>
      <c r="C3678" t="s">
        <v>131</v>
      </c>
      <c r="D3678">
        <v>2013</v>
      </c>
      <c r="E3678">
        <v>2.621</v>
      </c>
      <c r="F3678" t="s">
        <v>172</v>
      </c>
    </row>
    <row r="3679" spans="1:6" x14ac:dyDescent="0.25">
      <c r="A3679" t="s">
        <v>169</v>
      </c>
      <c r="B3679" t="s">
        <v>190</v>
      </c>
      <c r="C3679" t="s">
        <v>131</v>
      </c>
      <c r="D3679">
        <v>2012</v>
      </c>
      <c r="E3679">
        <v>2.661</v>
      </c>
      <c r="F3679" t="s">
        <v>172</v>
      </c>
    </row>
    <row r="3680" spans="1:6" x14ac:dyDescent="0.25">
      <c r="A3680" t="s">
        <v>169</v>
      </c>
      <c r="B3680" t="s">
        <v>190</v>
      </c>
      <c r="C3680" t="s">
        <v>131</v>
      </c>
      <c r="D3680">
        <v>2011</v>
      </c>
      <c r="E3680">
        <v>3.0219999999999998</v>
      </c>
      <c r="F3680" t="s">
        <v>172</v>
      </c>
    </row>
    <row r="3681" spans="1:6" x14ac:dyDescent="0.25">
      <c r="A3681" t="s">
        <v>169</v>
      </c>
      <c r="B3681" t="s">
        <v>190</v>
      </c>
      <c r="C3681" t="s">
        <v>131</v>
      </c>
      <c r="D3681">
        <v>2010</v>
      </c>
      <c r="E3681">
        <v>3.0920000000000001</v>
      </c>
      <c r="F3681" t="s">
        <v>172</v>
      </c>
    </row>
    <row r="3682" spans="1:6" x14ac:dyDescent="0.25">
      <c r="A3682" t="s">
        <v>169</v>
      </c>
      <c r="B3682" t="s">
        <v>190</v>
      </c>
      <c r="C3682" t="s">
        <v>132</v>
      </c>
      <c r="D3682">
        <v>2014</v>
      </c>
      <c r="E3682">
        <v>22.245000000000001</v>
      </c>
      <c r="F3682" t="s">
        <v>172</v>
      </c>
    </row>
    <row r="3683" spans="1:6" x14ac:dyDescent="0.25">
      <c r="A3683" t="s">
        <v>169</v>
      </c>
      <c r="B3683" t="s">
        <v>190</v>
      </c>
      <c r="C3683" t="s">
        <v>132</v>
      </c>
      <c r="D3683">
        <v>2013</v>
      </c>
      <c r="E3683">
        <v>24.881</v>
      </c>
      <c r="F3683" t="s">
        <v>172</v>
      </c>
    </row>
    <row r="3684" spans="1:6" x14ac:dyDescent="0.25">
      <c r="A3684" t="s">
        <v>169</v>
      </c>
      <c r="B3684" t="s">
        <v>190</v>
      </c>
      <c r="C3684" t="s">
        <v>132</v>
      </c>
      <c r="D3684">
        <v>2012</v>
      </c>
      <c r="E3684">
        <v>24.018000000000001</v>
      </c>
      <c r="F3684" t="s">
        <v>172</v>
      </c>
    </row>
    <row r="3685" spans="1:6" x14ac:dyDescent="0.25">
      <c r="A3685" t="s">
        <v>169</v>
      </c>
      <c r="B3685" t="s">
        <v>190</v>
      </c>
      <c r="C3685" t="s">
        <v>132</v>
      </c>
      <c r="D3685">
        <v>2011</v>
      </c>
      <c r="E3685">
        <v>18.321999999999999</v>
      </c>
      <c r="F3685" t="s">
        <v>172</v>
      </c>
    </row>
    <row r="3686" spans="1:6" x14ac:dyDescent="0.25">
      <c r="A3686" t="s">
        <v>169</v>
      </c>
      <c r="B3686" t="s">
        <v>190</v>
      </c>
      <c r="C3686" t="s">
        <v>132</v>
      </c>
      <c r="D3686">
        <v>2010</v>
      </c>
      <c r="E3686">
        <v>15.236000000000001</v>
      </c>
      <c r="F3686" t="s">
        <v>172</v>
      </c>
    </row>
    <row r="3687" spans="1:6" x14ac:dyDescent="0.25">
      <c r="A3687" t="s">
        <v>169</v>
      </c>
      <c r="B3687" t="s">
        <v>190</v>
      </c>
      <c r="C3687" t="s">
        <v>163</v>
      </c>
      <c r="D3687">
        <v>2014</v>
      </c>
      <c r="E3687">
        <v>0</v>
      </c>
      <c r="F3687" t="s">
        <v>172</v>
      </c>
    </row>
    <row r="3688" spans="1:6" x14ac:dyDescent="0.25">
      <c r="A3688" t="s">
        <v>169</v>
      </c>
      <c r="B3688" t="s">
        <v>190</v>
      </c>
      <c r="C3688" t="s">
        <v>163</v>
      </c>
      <c r="D3688">
        <v>2013</v>
      </c>
      <c r="E3688">
        <v>0</v>
      </c>
      <c r="F3688" t="s">
        <v>172</v>
      </c>
    </row>
    <row r="3689" spans="1:6" x14ac:dyDescent="0.25">
      <c r="A3689" t="s">
        <v>169</v>
      </c>
      <c r="B3689" t="s">
        <v>190</v>
      </c>
      <c r="C3689" t="s">
        <v>163</v>
      </c>
      <c r="D3689">
        <v>2012</v>
      </c>
      <c r="E3689">
        <v>0</v>
      </c>
      <c r="F3689" t="s">
        <v>172</v>
      </c>
    </row>
    <row r="3690" spans="1:6" x14ac:dyDescent="0.25">
      <c r="A3690" t="s">
        <v>169</v>
      </c>
      <c r="B3690" t="s">
        <v>190</v>
      </c>
      <c r="C3690" t="s">
        <v>163</v>
      </c>
      <c r="D3690">
        <v>2011</v>
      </c>
      <c r="E3690">
        <v>0</v>
      </c>
      <c r="F3690" t="s">
        <v>172</v>
      </c>
    </row>
    <row r="3691" spans="1:6" x14ac:dyDescent="0.25">
      <c r="A3691" t="s">
        <v>169</v>
      </c>
      <c r="B3691" t="s">
        <v>190</v>
      </c>
      <c r="C3691" t="s">
        <v>163</v>
      </c>
      <c r="D3691">
        <v>2010</v>
      </c>
      <c r="E3691">
        <v>0</v>
      </c>
      <c r="F3691" t="s">
        <v>172</v>
      </c>
    </row>
    <row r="3692" spans="1:6" x14ac:dyDescent="0.25">
      <c r="A3692" t="s">
        <v>169</v>
      </c>
      <c r="B3692" t="s">
        <v>190</v>
      </c>
      <c r="C3692" t="s">
        <v>133</v>
      </c>
      <c r="D3692">
        <v>2014</v>
      </c>
      <c r="E3692">
        <v>23.71</v>
      </c>
      <c r="F3692" t="s">
        <v>172</v>
      </c>
    </row>
    <row r="3693" spans="1:6" x14ac:dyDescent="0.25">
      <c r="A3693" t="s">
        <v>169</v>
      </c>
      <c r="B3693" t="s">
        <v>190</v>
      </c>
      <c r="C3693" t="s">
        <v>133</v>
      </c>
      <c r="D3693">
        <v>2013</v>
      </c>
      <c r="E3693">
        <v>17.762</v>
      </c>
      <c r="F3693" t="s">
        <v>172</v>
      </c>
    </row>
    <row r="3694" spans="1:6" x14ac:dyDescent="0.25">
      <c r="A3694" t="s">
        <v>169</v>
      </c>
      <c r="B3694" t="s">
        <v>190</v>
      </c>
      <c r="C3694" t="s">
        <v>133</v>
      </c>
      <c r="D3694">
        <v>2012</v>
      </c>
      <c r="E3694">
        <v>17.858000000000001</v>
      </c>
      <c r="F3694" t="s">
        <v>172</v>
      </c>
    </row>
    <row r="3695" spans="1:6" x14ac:dyDescent="0.25">
      <c r="A3695" t="s">
        <v>169</v>
      </c>
      <c r="B3695" t="s">
        <v>190</v>
      </c>
      <c r="C3695" t="s">
        <v>133</v>
      </c>
      <c r="D3695">
        <v>2011</v>
      </c>
      <c r="E3695">
        <v>15.718</v>
      </c>
      <c r="F3695" t="s">
        <v>172</v>
      </c>
    </row>
    <row r="3696" spans="1:6" x14ac:dyDescent="0.25">
      <c r="A3696" t="s">
        <v>169</v>
      </c>
      <c r="B3696" t="s">
        <v>190</v>
      </c>
      <c r="C3696" t="s">
        <v>133</v>
      </c>
      <c r="D3696">
        <v>2010</v>
      </c>
      <c r="E3696">
        <v>15.798999999999999</v>
      </c>
      <c r="F3696" t="s">
        <v>172</v>
      </c>
    </row>
    <row r="3697" spans="1:6" x14ac:dyDescent="0.25">
      <c r="A3697" t="s">
        <v>169</v>
      </c>
      <c r="B3697" t="s">
        <v>190</v>
      </c>
      <c r="C3697" t="s">
        <v>134</v>
      </c>
      <c r="D3697">
        <v>2014</v>
      </c>
      <c r="E3697">
        <v>3.508</v>
      </c>
      <c r="F3697" t="s">
        <v>172</v>
      </c>
    </row>
    <row r="3698" spans="1:6" x14ac:dyDescent="0.25">
      <c r="A3698" t="s">
        <v>169</v>
      </c>
      <c r="B3698" t="s">
        <v>190</v>
      </c>
      <c r="C3698" t="s">
        <v>134</v>
      </c>
      <c r="D3698">
        <v>2013</v>
      </c>
      <c r="E3698">
        <v>3.7570000000000001</v>
      </c>
      <c r="F3698" t="s">
        <v>172</v>
      </c>
    </row>
    <row r="3699" spans="1:6" x14ac:dyDescent="0.25">
      <c r="A3699" t="s">
        <v>169</v>
      </c>
      <c r="B3699" t="s">
        <v>190</v>
      </c>
      <c r="C3699" t="s">
        <v>134</v>
      </c>
      <c r="D3699">
        <v>2012</v>
      </c>
      <c r="E3699">
        <v>3.742</v>
      </c>
      <c r="F3699" t="s">
        <v>172</v>
      </c>
    </row>
    <row r="3700" spans="1:6" x14ac:dyDescent="0.25">
      <c r="A3700" t="s">
        <v>169</v>
      </c>
      <c r="B3700" t="s">
        <v>190</v>
      </c>
      <c r="C3700" t="s">
        <v>134</v>
      </c>
      <c r="D3700">
        <v>2011</v>
      </c>
      <c r="E3700">
        <v>3.2690000000000001</v>
      </c>
      <c r="F3700" t="s">
        <v>172</v>
      </c>
    </row>
    <row r="3701" spans="1:6" x14ac:dyDescent="0.25">
      <c r="A3701" t="s">
        <v>169</v>
      </c>
      <c r="B3701" t="s">
        <v>190</v>
      </c>
      <c r="C3701" t="s">
        <v>134</v>
      </c>
      <c r="D3701">
        <v>2010</v>
      </c>
      <c r="E3701">
        <v>2.8359999999999999</v>
      </c>
      <c r="F3701" t="s">
        <v>172</v>
      </c>
    </row>
    <row r="3702" spans="1:6" x14ac:dyDescent="0.25">
      <c r="A3702" t="s">
        <v>169</v>
      </c>
      <c r="B3702" t="s">
        <v>190</v>
      </c>
      <c r="C3702" t="s">
        <v>135</v>
      </c>
      <c r="D3702">
        <v>2014</v>
      </c>
      <c r="E3702">
        <v>21.795999999999999</v>
      </c>
      <c r="F3702" t="s">
        <v>172</v>
      </c>
    </row>
    <row r="3703" spans="1:6" x14ac:dyDescent="0.25">
      <c r="A3703" t="s">
        <v>169</v>
      </c>
      <c r="B3703" t="s">
        <v>190</v>
      </c>
      <c r="C3703" t="s">
        <v>135</v>
      </c>
      <c r="D3703">
        <v>2013</v>
      </c>
      <c r="E3703">
        <v>19.033999999999999</v>
      </c>
      <c r="F3703" t="s">
        <v>172</v>
      </c>
    </row>
    <row r="3704" spans="1:6" x14ac:dyDescent="0.25">
      <c r="A3704" t="s">
        <v>169</v>
      </c>
      <c r="B3704" t="s">
        <v>190</v>
      </c>
      <c r="C3704" t="s">
        <v>135</v>
      </c>
      <c r="D3704">
        <v>2012</v>
      </c>
      <c r="E3704">
        <v>21.277999999999999</v>
      </c>
      <c r="F3704" t="s">
        <v>172</v>
      </c>
    </row>
    <row r="3705" spans="1:6" x14ac:dyDescent="0.25">
      <c r="A3705" t="s">
        <v>169</v>
      </c>
      <c r="B3705" t="s">
        <v>190</v>
      </c>
      <c r="C3705" t="s">
        <v>135</v>
      </c>
      <c r="D3705">
        <v>2011</v>
      </c>
      <c r="E3705">
        <v>20.367000000000001</v>
      </c>
      <c r="F3705" t="s">
        <v>172</v>
      </c>
    </row>
    <row r="3706" spans="1:6" x14ac:dyDescent="0.25">
      <c r="A3706" t="s">
        <v>169</v>
      </c>
      <c r="B3706" t="s">
        <v>190</v>
      </c>
      <c r="C3706" t="s">
        <v>135</v>
      </c>
      <c r="D3706">
        <v>2010</v>
      </c>
      <c r="E3706">
        <v>20.434000000000001</v>
      </c>
      <c r="F3706" t="s">
        <v>172</v>
      </c>
    </row>
    <row r="3707" spans="1:6" x14ac:dyDescent="0.25">
      <c r="A3707" t="s">
        <v>169</v>
      </c>
      <c r="B3707" t="s">
        <v>190</v>
      </c>
      <c r="C3707" t="s">
        <v>136</v>
      </c>
      <c r="D3707">
        <v>2014</v>
      </c>
      <c r="E3707">
        <v>0.17599999999999999</v>
      </c>
      <c r="F3707" t="s">
        <v>172</v>
      </c>
    </row>
    <row r="3708" spans="1:6" x14ac:dyDescent="0.25">
      <c r="A3708" t="s">
        <v>169</v>
      </c>
      <c r="B3708" t="s">
        <v>190</v>
      </c>
      <c r="C3708" t="s">
        <v>136</v>
      </c>
      <c r="D3708">
        <v>2013</v>
      </c>
      <c r="E3708">
        <v>0.20399999999999999</v>
      </c>
      <c r="F3708" t="s">
        <v>172</v>
      </c>
    </row>
    <row r="3709" spans="1:6" x14ac:dyDescent="0.25">
      <c r="A3709" t="s">
        <v>169</v>
      </c>
      <c r="B3709" t="s">
        <v>190</v>
      </c>
      <c r="C3709" t="s">
        <v>136</v>
      </c>
      <c r="D3709">
        <v>2012</v>
      </c>
      <c r="E3709">
        <v>0.16</v>
      </c>
      <c r="F3709" t="s">
        <v>172</v>
      </c>
    </row>
    <row r="3710" spans="1:6" x14ac:dyDescent="0.25">
      <c r="A3710" t="s">
        <v>169</v>
      </c>
      <c r="B3710" t="s">
        <v>190</v>
      </c>
      <c r="C3710" t="s">
        <v>136</v>
      </c>
      <c r="D3710">
        <v>2011</v>
      </c>
      <c r="E3710">
        <v>0.17100000000000001</v>
      </c>
      <c r="F3710" t="s">
        <v>172</v>
      </c>
    </row>
    <row r="3711" spans="1:6" x14ac:dyDescent="0.25">
      <c r="A3711" t="s">
        <v>169</v>
      </c>
      <c r="B3711" t="s">
        <v>190</v>
      </c>
      <c r="C3711" t="s">
        <v>136</v>
      </c>
      <c r="D3711">
        <v>2010</v>
      </c>
      <c r="E3711">
        <v>0.14000000000000001</v>
      </c>
      <c r="F3711" t="s">
        <v>172</v>
      </c>
    </row>
    <row r="3712" spans="1:6" x14ac:dyDescent="0.25">
      <c r="A3712" t="s">
        <v>169</v>
      </c>
      <c r="B3712" t="s">
        <v>190</v>
      </c>
      <c r="C3712" t="s">
        <v>137</v>
      </c>
      <c r="D3712">
        <v>2014</v>
      </c>
      <c r="E3712">
        <v>7.0640000000000001</v>
      </c>
      <c r="F3712" t="s">
        <v>172</v>
      </c>
    </row>
    <row r="3713" spans="1:6" x14ac:dyDescent="0.25">
      <c r="A3713" t="s">
        <v>169</v>
      </c>
      <c r="B3713" t="s">
        <v>190</v>
      </c>
      <c r="C3713" t="s">
        <v>137</v>
      </c>
      <c r="D3713">
        <v>2013</v>
      </c>
      <c r="E3713">
        <v>8.109</v>
      </c>
      <c r="F3713" t="s">
        <v>172</v>
      </c>
    </row>
    <row r="3714" spans="1:6" x14ac:dyDescent="0.25">
      <c r="A3714" t="s">
        <v>169</v>
      </c>
      <c r="B3714" t="s">
        <v>190</v>
      </c>
      <c r="C3714" t="s">
        <v>137</v>
      </c>
      <c r="D3714">
        <v>2012</v>
      </c>
      <c r="E3714">
        <v>9.9640000000000004</v>
      </c>
      <c r="F3714" t="s">
        <v>172</v>
      </c>
    </row>
    <row r="3715" spans="1:6" x14ac:dyDescent="0.25">
      <c r="A3715" t="s">
        <v>169</v>
      </c>
      <c r="B3715" t="s">
        <v>190</v>
      </c>
      <c r="C3715" t="s">
        <v>137</v>
      </c>
      <c r="D3715">
        <v>2011</v>
      </c>
      <c r="E3715">
        <v>10.196</v>
      </c>
      <c r="F3715" t="s">
        <v>172</v>
      </c>
    </row>
    <row r="3716" spans="1:6" x14ac:dyDescent="0.25">
      <c r="A3716" t="s">
        <v>169</v>
      </c>
      <c r="B3716" t="s">
        <v>190</v>
      </c>
      <c r="C3716" t="s">
        <v>137</v>
      </c>
      <c r="D3716">
        <v>2010</v>
      </c>
      <c r="E3716">
        <v>11.840999999999999</v>
      </c>
      <c r="F3716" t="s">
        <v>172</v>
      </c>
    </row>
    <row r="3717" spans="1:6" x14ac:dyDescent="0.25">
      <c r="A3717" t="s">
        <v>169</v>
      </c>
      <c r="B3717" t="s">
        <v>190</v>
      </c>
      <c r="C3717" t="s">
        <v>138</v>
      </c>
      <c r="D3717">
        <v>2014</v>
      </c>
      <c r="E3717">
        <v>3.5049999999999999</v>
      </c>
      <c r="F3717" t="s">
        <v>172</v>
      </c>
    </row>
    <row r="3718" spans="1:6" x14ac:dyDescent="0.25">
      <c r="A3718" t="s">
        <v>169</v>
      </c>
      <c r="B3718" t="s">
        <v>190</v>
      </c>
      <c r="C3718" t="s">
        <v>138</v>
      </c>
      <c r="D3718">
        <v>2013</v>
      </c>
      <c r="E3718">
        <v>3.7240000000000002</v>
      </c>
      <c r="F3718" t="s">
        <v>172</v>
      </c>
    </row>
    <row r="3719" spans="1:6" x14ac:dyDescent="0.25">
      <c r="A3719" t="s">
        <v>169</v>
      </c>
      <c r="B3719" t="s">
        <v>190</v>
      </c>
      <c r="C3719" t="s">
        <v>138</v>
      </c>
      <c r="D3719">
        <v>2012</v>
      </c>
      <c r="E3719">
        <v>3.7480000000000002</v>
      </c>
      <c r="F3719" t="s">
        <v>172</v>
      </c>
    </row>
    <row r="3720" spans="1:6" x14ac:dyDescent="0.25">
      <c r="A3720" t="s">
        <v>169</v>
      </c>
      <c r="B3720" t="s">
        <v>190</v>
      </c>
      <c r="C3720" t="s">
        <v>138</v>
      </c>
      <c r="D3720">
        <v>2011</v>
      </c>
      <c r="E3720">
        <v>3.9430000000000001</v>
      </c>
      <c r="F3720" t="s">
        <v>172</v>
      </c>
    </row>
    <row r="3721" spans="1:6" x14ac:dyDescent="0.25">
      <c r="A3721" t="s">
        <v>169</v>
      </c>
      <c r="B3721" t="s">
        <v>190</v>
      </c>
      <c r="C3721" t="s">
        <v>138</v>
      </c>
      <c r="D3721">
        <v>2010</v>
      </c>
      <c r="E3721">
        <v>4.1870000000000003</v>
      </c>
      <c r="F3721" t="s">
        <v>172</v>
      </c>
    </row>
    <row r="3722" spans="1:6" x14ac:dyDescent="0.25">
      <c r="A3722" t="s">
        <v>169</v>
      </c>
      <c r="B3722" t="s">
        <v>190</v>
      </c>
      <c r="C3722" t="s">
        <v>164</v>
      </c>
      <c r="D3722">
        <v>2014</v>
      </c>
      <c r="E3722">
        <v>0</v>
      </c>
      <c r="F3722" t="s">
        <v>172</v>
      </c>
    </row>
    <row r="3723" spans="1:6" x14ac:dyDescent="0.25">
      <c r="A3723" t="s">
        <v>169</v>
      </c>
      <c r="B3723" t="s">
        <v>190</v>
      </c>
      <c r="C3723" t="s">
        <v>164</v>
      </c>
      <c r="D3723">
        <v>2013</v>
      </c>
      <c r="E3723">
        <v>0</v>
      </c>
      <c r="F3723" t="s">
        <v>172</v>
      </c>
    </row>
    <row r="3724" spans="1:6" x14ac:dyDescent="0.25">
      <c r="A3724" t="s">
        <v>169</v>
      </c>
      <c r="B3724" t="s">
        <v>190</v>
      </c>
      <c r="C3724" t="s">
        <v>164</v>
      </c>
      <c r="D3724">
        <v>2012</v>
      </c>
      <c r="E3724">
        <v>0</v>
      </c>
      <c r="F3724" t="s">
        <v>172</v>
      </c>
    </row>
    <row r="3725" spans="1:6" x14ac:dyDescent="0.25">
      <c r="A3725" t="s">
        <v>169</v>
      </c>
      <c r="B3725" t="s">
        <v>190</v>
      </c>
      <c r="C3725" t="s">
        <v>164</v>
      </c>
      <c r="D3725">
        <v>2011</v>
      </c>
      <c r="E3725">
        <v>0</v>
      </c>
      <c r="F3725" t="s">
        <v>172</v>
      </c>
    </row>
    <row r="3726" spans="1:6" x14ac:dyDescent="0.25">
      <c r="A3726" t="s">
        <v>169</v>
      </c>
      <c r="B3726" t="s">
        <v>190</v>
      </c>
      <c r="C3726" t="s">
        <v>164</v>
      </c>
      <c r="D3726">
        <v>2010</v>
      </c>
      <c r="E3726">
        <v>0</v>
      </c>
      <c r="F3726" t="s">
        <v>172</v>
      </c>
    </row>
    <row r="3727" spans="1:6" x14ac:dyDescent="0.25">
      <c r="A3727" t="s">
        <v>169</v>
      </c>
      <c r="B3727" t="s">
        <v>190</v>
      </c>
      <c r="C3727" t="s">
        <v>139</v>
      </c>
      <c r="D3727">
        <v>2014</v>
      </c>
      <c r="E3727">
        <v>1.5780000000000001</v>
      </c>
      <c r="F3727" t="s">
        <v>172</v>
      </c>
    </row>
    <row r="3728" spans="1:6" x14ac:dyDescent="0.25">
      <c r="A3728" t="s">
        <v>169</v>
      </c>
      <c r="B3728" t="s">
        <v>190</v>
      </c>
      <c r="C3728" t="s">
        <v>139</v>
      </c>
      <c r="D3728">
        <v>2013</v>
      </c>
      <c r="E3728">
        <v>1.1879999999999999</v>
      </c>
      <c r="F3728" t="s">
        <v>172</v>
      </c>
    </row>
    <row r="3729" spans="1:6" x14ac:dyDescent="0.25">
      <c r="A3729" t="s">
        <v>169</v>
      </c>
      <c r="B3729" t="s">
        <v>190</v>
      </c>
      <c r="C3729" t="s">
        <v>139</v>
      </c>
      <c r="D3729">
        <v>2012</v>
      </c>
      <c r="E3729">
        <v>1.589</v>
      </c>
      <c r="F3729" t="s">
        <v>172</v>
      </c>
    </row>
    <row r="3730" spans="1:6" x14ac:dyDescent="0.25">
      <c r="A3730" t="s">
        <v>169</v>
      </c>
      <c r="B3730" t="s">
        <v>190</v>
      </c>
      <c r="C3730" t="s">
        <v>139</v>
      </c>
      <c r="D3730">
        <v>2011</v>
      </c>
      <c r="E3730">
        <v>2.2959999999999998</v>
      </c>
      <c r="F3730" t="s">
        <v>172</v>
      </c>
    </row>
    <row r="3731" spans="1:6" x14ac:dyDescent="0.25">
      <c r="A3731" t="s">
        <v>169</v>
      </c>
      <c r="B3731" t="s">
        <v>190</v>
      </c>
      <c r="C3731" t="s">
        <v>139</v>
      </c>
      <c r="D3731">
        <v>2010</v>
      </c>
      <c r="E3731">
        <v>2.9729999999999999</v>
      </c>
      <c r="F3731" t="s">
        <v>172</v>
      </c>
    </row>
    <row r="3732" spans="1:6" x14ac:dyDescent="0.25">
      <c r="A3732" t="s">
        <v>169</v>
      </c>
      <c r="B3732" t="s">
        <v>190</v>
      </c>
      <c r="C3732" t="s">
        <v>165</v>
      </c>
      <c r="D3732">
        <v>2014</v>
      </c>
      <c r="E3732">
        <v>0</v>
      </c>
      <c r="F3732" t="s">
        <v>172</v>
      </c>
    </row>
    <row r="3733" spans="1:6" x14ac:dyDescent="0.25">
      <c r="A3733" t="s">
        <v>169</v>
      </c>
      <c r="B3733" t="s">
        <v>190</v>
      </c>
      <c r="C3733" t="s">
        <v>165</v>
      </c>
      <c r="D3733">
        <v>2013</v>
      </c>
      <c r="E3733">
        <v>0</v>
      </c>
      <c r="F3733" t="s">
        <v>172</v>
      </c>
    </row>
    <row r="3734" spans="1:6" x14ac:dyDescent="0.25">
      <c r="A3734" t="s">
        <v>169</v>
      </c>
      <c r="B3734" t="s">
        <v>190</v>
      </c>
      <c r="C3734" t="s">
        <v>165</v>
      </c>
      <c r="D3734">
        <v>2012</v>
      </c>
      <c r="E3734">
        <v>0</v>
      </c>
      <c r="F3734" t="s">
        <v>172</v>
      </c>
    </row>
    <row r="3735" spans="1:6" x14ac:dyDescent="0.25">
      <c r="A3735" t="s">
        <v>169</v>
      </c>
      <c r="B3735" t="s">
        <v>190</v>
      </c>
      <c r="C3735" t="s">
        <v>165</v>
      </c>
      <c r="D3735">
        <v>2011</v>
      </c>
      <c r="E3735">
        <v>0</v>
      </c>
      <c r="F3735" t="s">
        <v>172</v>
      </c>
    </row>
    <row r="3736" spans="1:6" x14ac:dyDescent="0.25">
      <c r="A3736" t="s">
        <v>169</v>
      </c>
      <c r="B3736" t="s">
        <v>190</v>
      </c>
      <c r="C3736" t="s">
        <v>165</v>
      </c>
      <c r="D3736">
        <v>2010</v>
      </c>
      <c r="E3736">
        <v>0</v>
      </c>
      <c r="F3736" t="s">
        <v>172</v>
      </c>
    </row>
    <row r="3737" spans="1:6" x14ac:dyDescent="0.25">
      <c r="A3737" t="s">
        <v>169</v>
      </c>
      <c r="B3737" t="s">
        <v>190</v>
      </c>
      <c r="C3737" t="s">
        <v>140</v>
      </c>
      <c r="D3737">
        <v>2014</v>
      </c>
      <c r="E3737">
        <v>20.802</v>
      </c>
      <c r="F3737" t="s">
        <v>172</v>
      </c>
    </row>
    <row r="3738" spans="1:6" x14ac:dyDescent="0.25">
      <c r="A3738" t="s">
        <v>169</v>
      </c>
      <c r="B3738" t="s">
        <v>190</v>
      </c>
      <c r="C3738" t="s">
        <v>140</v>
      </c>
      <c r="D3738">
        <v>2013</v>
      </c>
      <c r="E3738">
        <v>18.646000000000001</v>
      </c>
      <c r="F3738" t="s">
        <v>172</v>
      </c>
    </row>
    <row r="3739" spans="1:6" x14ac:dyDescent="0.25">
      <c r="A3739" t="s">
        <v>169</v>
      </c>
      <c r="B3739" t="s">
        <v>190</v>
      </c>
      <c r="C3739" t="s">
        <v>140</v>
      </c>
      <c r="D3739">
        <v>2012</v>
      </c>
      <c r="E3739">
        <v>17.321999999999999</v>
      </c>
      <c r="F3739" t="s">
        <v>172</v>
      </c>
    </row>
    <row r="3740" spans="1:6" x14ac:dyDescent="0.25">
      <c r="A3740" t="s">
        <v>169</v>
      </c>
      <c r="B3740" t="s">
        <v>190</v>
      </c>
      <c r="C3740" t="s">
        <v>140</v>
      </c>
      <c r="D3740">
        <v>2011</v>
      </c>
      <c r="E3740">
        <v>23.895</v>
      </c>
      <c r="F3740" t="s">
        <v>172</v>
      </c>
    </row>
    <row r="3741" spans="1:6" x14ac:dyDescent="0.25">
      <c r="A3741" t="s">
        <v>169</v>
      </c>
      <c r="B3741" t="s">
        <v>190</v>
      </c>
      <c r="C3741" t="s">
        <v>140</v>
      </c>
      <c r="D3741">
        <v>2010</v>
      </c>
      <c r="E3741">
        <v>25.300999999999998</v>
      </c>
      <c r="F3741" t="s">
        <v>172</v>
      </c>
    </row>
    <row r="3742" spans="1:6" x14ac:dyDescent="0.25">
      <c r="A3742" t="s">
        <v>169</v>
      </c>
      <c r="B3742" t="s">
        <v>190</v>
      </c>
      <c r="C3742" t="s">
        <v>141</v>
      </c>
      <c r="D3742">
        <v>2014</v>
      </c>
      <c r="E3742">
        <v>16.937999999999999</v>
      </c>
      <c r="F3742" t="s">
        <v>172</v>
      </c>
    </row>
    <row r="3743" spans="1:6" x14ac:dyDescent="0.25">
      <c r="A3743" t="s">
        <v>169</v>
      </c>
      <c r="B3743" t="s">
        <v>190</v>
      </c>
      <c r="C3743" t="s">
        <v>141</v>
      </c>
      <c r="D3743">
        <v>2013</v>
      </c>
      <c r="E3743">
        <v>16.111999999999998</v>
      </c>
      <c r="F3743" t="s">
        <v>172</v>
      </c>
    </row>
    <row r="3744" spans="1:6" x14ac:dyDescent="0.25">
      <c r="A3744" t="s">
        <v>169</v>
      </c>
      <c r="B3744" t="s">
        <v>190</v>
      </c>
      <c r="C3744" t="s">
        <v>141</v>
      </c>
      <c r="D3744">
        <v>2012</v>
      </c>
      <c r="E3744">
        <v>13.286</v>
      </c>
      <c r="F3744" t="s">
        <v>172</v>
      </c>
    </row>
    <row r="3745" spans="1:6" x14ac:dyDescent="0.25">
      <c r="A3745" t="s">
        <v>169</v>
      </c>
      <c r="B3745" t="s">
        <v>190</v>
      </c>
      <c r="C3745" t="s">
        <v>141</v>
      </c>
      <c r="D3745">
        <v>2011</v>
      </c>
      <c r="E3745">
        <v>14.436</v>
      </c>
      <c r="F3745" t="s">
        <v>172</v>
      </c>
    </row>
    <row r="3746" spans="1:6" x14ac:dyDescent="0.25">
      <c r="A3746" t="s">
        <v>169</v>
      </c>
      <c r="B3746" t="s">
        <v>190</v>
      </c>
      <c r="C3746" t="s">
        <v>141</v>
      </c>
      <c r="D3746">
        <v>2010</v>
      </c>
      <c r="E3746">
        <v>16.413</v>
      </c>
      <c r="F3746" t="s">
        <v>172</v>
      </c>
    </row>
    <row r="3747" spans="1:6" x14ac:dyDescent="0.25">
      <c r="A3747" t="s">
        <v>169</v>
      </c>
      <c r="B3747" t="s">
        <v>190</v>
      </c>
      <c r="C3747" t="s">
        <v>142</v>
      </c>
      <c r="D3747">
        <v>2014</v>
      </c>
      <c r="E3747">
        <v>100.6</v>
      </c>
      <c r="F3747" t="s">
        <v>172</v>
      </c>
    </row>
    <row r="3748" spans="1:6" x14ac:dyDescent="0.25">
      <c r="A3748" t="s">
        <v>169</v>
      </c>
      <c r="B3748" t="s">
        <v>190</v>
      </c>
      <c r="C3748" t="s">
        <v>142</v>
      </c>
      <c r="D3748">
        <v>2013</v>
      </c>
      <c r="E3748">
        <v>110.892</v>
      </c>
      <c r="F3748" t="s">
        <v>172</v>
      </c>
    </row>
    <row r="3749" spans="1:6" x14ac:dyDescent="0.25">
      <c r="A3749" t="s">
        <v>169</v>
      </c>
      <c r="B3749" t="s">
        <v>190</v>
      </c>
      <c r="C3749" t="s">
        <v>142</v>
      </c>
      <c r="D3749">
        <v>2012</v>
      </c>
      <c r="E3749">
        <v>113.87</v>
      </c>
      <c r="F3749" t="s">
        <v>172</v>
      </c>
    </row>
    <row r="3750" spans="1:6" x14ac:dyDescent="0.25">
      <c r="A3750" t="s">
        <v>169</v>
      </c>
      <c r="B3750" t="s">
        <v>190</v>
      </c>
      <c r="C3750" t="s">
        <v>142</v>
      </c>
      <c r="D3750">
        <v>2011</v>
      </c>
      <c r="E3750">
        <v>106.249</v>
      </c>
      <c r="F3750" t="s">
        <v>172</v>
      </c>
    </row>
    <row r="3751" spans="1:6" x14ac:dyDescent="0.25">
      <c r="A3751" t="s">
        <v>169</v>
      </c>
      <c r="B3751" t="s">
        <v>190</v>
      </c>
      <c r="C3751" t="s">
        <v>142</v>
      </c>
      <c r="D3751">
        <v>2010</v>
      </c>
      <c r="E3751">
        <v>129.983</v>
      </c>
      <c r="F3751" t="s">
        <v>172</v>
      </c>
    </row>
    <row r="3752" spans="1:6" x14ac:dyDescent="0.25">
      <c r="A3752" t="s">
        <v>169</v>
      </c>
      <c r="B3752" t="s">
        <v>190</v>
      </c>
      <c r="C3752" t="s">
        <v>166</v>
      </c>
      <c r="D3752">
        <v>2014</v>
      </c>
      <c r="E3752">
        <v>0</v>
      </c>
      <c r="F3752" t="s">
        <v>172</v>
      </c>
    </row>
    <row r="3753" spans="1:6" x14ac:dyDescent="0.25">
      <c r="A3753" t="s">
        <v>169</v>
      </c>
      <c r="B3753" t="s">
        <v>190</v>
      </c>
      <c r="C3753" t="s">
        <v>166</v>
      </c>
      <c r="D3753">
        <v>2013</v>
      </c>
      <c r="E3753">
        <v>0</v>
      </c>
      <c r="F3753" t="s">
        <v>172</v>
      </c>
    </row>
    <row r="3754" spans="1:6" x14ac:dyDescent="0.25">
      <c r="A3754" t="s">
        <v>169</v>
      </c>
      <c r="B3754" t="s">
        <v>190</v>
      </c>
      <c r="C3754" t="s">
        <v>166</v>
      </c>
      <c r="D3754">
        <v>2012</v>
      </c>
      <c r="E3754">
        <v>0</v>
      </c>
      <c r="F3754" t="s">
        <v>172</v>
      </c>
    </row>
    <row r="3755" spans="1:6" x14ac:dyDescent="0.25">
      <c r="A3755" t="s">
        <v>169</v>
      </c>
      <c r="B3755" t="s">
        <v>190</v>
      </c>
      <c r="C3755" t="s">
        <v>166</v>
      </c>
      <c r="D3755">
        <v>2011</v>
      </c>
      <c r="E3755">
        <v>0</v>
      </c>
      <c r="F3755" t="s">
        <v>172</v>
      </c>
    </row>
    <row r="3756" spans="1:6" x14ac:dyDescent="0.25">
      <c r="A3756" t="s">
        <v>169</v>
      </c>
      <c r="B3756" t="s">
        <v>190</v>
      </c>
      <c r="C3756" t="s">
        <v>166</v>
      </c>
      <c r="D3756">
        <v>2010</v>
      </c>
      <c r="E3756">
        <v>0</v>
      </c>
      <c r="F3756" t="s">
        <v>172</v>
      </c>
    </row>
    <row r="3757" spans="1:6" x14ac:dyDescent="0.25">
      <c r="A3757" t="s">
        <v>169</v>
      </c>
      <c r="B3757" t="s">
        <v>190</v>
      </c>
      <c r="C3757" t="s">
        <v>143</v>
      </c>
      <c r="D3757">
        <v>2014</v>
      </c>
      <c r="E3757">
        <v>13.619</v>
      </c>
      <c r="F3757" t="s">
        <v>172</v>
      </c>
    </row>
    <row r="3758" spans="1:6" x14ac:dyDescent="0.25">
      <c r="A3758" t="s">
        <v>169</v>
      </c>
      <c r="B3758" t="s">
        <v>190</v>
      </c>
      <c r="C3758" t="s">
        <v>143</v>
      </c>
      <c r="D3758">
        <v>2013</v>
      </c>
      <c r="E3758">
        <v>15.807</v>
      </c>
      <c r="F3758" t="s">
        <v>172</v>
      </c>
    </row>
    <row r="3759" spans="1:6" x14ac:dyDescent="0.25">
      <c r="A3759" t="s">
        <v>169</v>
      </c>
      <c r="B3759" t="s">
        <v>190</v>
      </c>
      <c r="C3759" t="s">
        <v>143</v>
      </c>
      <c r="D3759">
        <v>2012</v>
      </c>
      <c r="E3759">
        <v>16.931999999999999</v>
      </c>
      <c r="F3759" t="s">
        <v>172</v>
      </c>
    </row>
    <row r="3760" spans="1:6" x14ac:dyDescent="0.25">
      <c r="A3760" t="s">
        <v>169</v>
      </c>
      <c r="B3760" t="s">
        <v>190</v>
      </c>
      <c r="C3760" t="s">
        <v>143</v>
      </c>
      <c r="D3760">
        <v>2011</v>
      </c>
      <c r="E3760">
        <v>18.114000000000001</v>
      </c>
      <c r="F3760" t="s">
        <v>172</v>
      </c>
    </row>
    <row r="3761" spans="1:6" x14ac:dyDescent="0.25">
      <c r="A3761" t="s">
        <v>169</v>
      </c>
      <c r="B3761" t="s">
        <v>190</v>
      </c>
      <c r="C3761" t="s">
        <v>143</v>
      </c>
      <c r="D3761">
        <v>2010</v>
      </c>
      <c r="E3761">
        <v>20.39</v>
      </c>
      <c r="F3761" t="s">
        <v>172</v>
      </c>
    </row>
    <row r="3762" spans="1:6" x14ac:dyDescent="0.25">
      <c r="A3762" t="s">
        <v>169</v>
      </c>
      <c r="B3762" t="s">
        <v>190</v>
      </c>
      <c r="C3762" t="s">
        <v>144</v>
      </c>
      <c r="D3762">
        <v>2014</v>
      </c>
      <c r="E3762">
        <v>22.545000000000002</v>
      </c>
      <c r="F3762" t="s">
        <v>172</v>
      </c>
    </row>
    <row r="3763" spans="1:6" x14ac:dyDescent="0.25">
      <c r="A3763" t="s">
        <v>169</v>
      </c>
      <c r="B3763" t="s">
        <v>190</v>
      </c>
      <c r="C3763" t="s">
        <v>144</v>
      </c>
      <c r="D3763">
        <v>2013</v>
      </c>
      <c r="E3763">
        <v>25.594000000000001</v>
      </c>
      <c r="F3763" t="s">
        <v>172</v>
      </c>
    </row>
    <row r="3764" spans="1:6" x14ac:dyDescent="0.25">
      <c r="A3764" t="s">
        <v>169</v>
      </c>
      <c r="B3764" t="s">
        <v>190</v>
      </c>
      <c r="C3764" t="s">
        <v>144</v>
      </c>
      <c r="D3764">
        <v>2012</v>
      </c>
      <c r="E3764">
        <v>26.222999999999999</v>
      </c>
      <c r="F3764" t="s">
        <v>172</v>
      </c>
    </row>
    <row r="3765" spans="1:6" x14ac:dyDescent="0.25">
      <c r="A3765" t="s">
        <v>169</v>
      </c>
      <c r="B3765" t="s">
        <v>190</v>
      </c>
      <c r="C3765" t="s">
        <v>144</v>
      </c>
      <c r="D3765">
        <v>2011</v>
      </c>
      <c r="E3765">
        <v>28.928999999999998</v>
      </c>
      <c r="F3765" t="s">
        <v>172</v>
      </c>
    </row>
    <row r="3766" spans="1:6" x14ac:dyDescent="0.25">
      <c r="A3766" t="s">
        <v>169</v>
      </c>
      <c r="B3766" t="s">
        <v>190</v>
      </c>
      <c r="C3766" t="s">
        <v>144</v>
      </c>
      <c r="D3766">
        <v>2010</v>
      </c>
      <c r="E3766">
        <v>27.062000000000001</v>
      </c>
      <c r="F3766" t="s">
        <v>172</v>
      </c>
    </row>
    <row r="3767" spans="1:6" x14ac:dyDescent="0.25">
      <c r="A3767" t="s">
        <v>169</v>
      </c>
      <c r="B3767" t="s">
        <v>190</v>
      </c>
      <c r="C3767" t="s">
        <v>145</v>
      </c>
      <c r="D3767">
        <v>2014</v>
      </c>
      <c r="E3767">
        <v>51.462000000000003</v>
      </c>
      <c r="F3767" t="s">
        <v>172</v>
      </c>
    </row>
    <row r="3768" spans="1:6" x14ac:dyDescent="0.25">
      <c r="A3768" t="s">
        <v>169</v>
      </c>
      <c r="B3768" t="s">
        <v>190</v>
      </c>
      <c r="C3768" t="s">
        <v>145</v>
      </c>
      <c r="D3768">
        <v>2013</v>
      </c>
      <c r="E3768">
        <v>52.557000000000002</v>
      </c>
      <c r="F3768" t="s">
        <v>172</v>
      </c>
    </row>
    <row r="3769" spans="1:6" x14ac:dyDescent="0.25">
      <c r="A3769" t="s">
        <v>169</v>
      </c>
      <c r="B3769" t="s">
        <v>190</v>
      </c>
      <c r="C3769" t="s">
        <v>145</v>
      </c>
      <c r="D3769">
        <v>2012</v>
      </c>
      <c r="E3769">
        <v>60.683</v>
      </c>
      <c r="F3769" t="s">
        <v>172</v>
      </c>
    </row>
    <row r="3770" spans="1:6" x14ac:dyDescent="0.25">
      <c r="A3770" t="s">
        <v>169</v>
      </c>
      <c r="B3770" t="s">
        <v>190</v>
      </c>
      <c r="C3770" t="s">
        <v>145</v>
      </c>
      <c r="D3770">
        <v>2011</v>
      </c>
      <c r="E3770">
        <v>56.392000000000003</v>
      </c>
      <c r="F3770" t="s">
        <v>172</v>
      </c>
    </row>
    <row r="3771" spans="1:6" x14ac:dyDescent="0.25">
      <c r="A3771" t="s">
        <v>169</v>
      </c>
      <c r="B3771" t="s">
        <v>190</v>
      </c>
      <c r="C3771" t="s">
        <v>145</v>
      </c>
      <c r="D3771">
        <v>2010</v>
      </c>
      <c r="E3771">
        <v>72.168000000000006</v>
      </c>
      <c r="F3771" t="s">
        <v>172</v>
      </c>
    </row>
    <row r="3772" spans="1:6" x14ac:dyDescent="0.25">
      <c r="A3772" t="s">
        <v>169</v>
      </c>
      <c r="B3772" t="s">
        <v>190</v>
      </c>
      <c r="C3772" t="s">
        <v>146</v>
      </c>
      <c r="D3772">
        <v>2014</v>
      </c>
      <c r="E3772">
        <v>1.8120000000000001</v>
      </c>
      <c r="F3772" t="s">
        <v>172</v>
      </c>
    </row>
    <row r="3773" spans="1:6" x14ac:dyDescent="0.25">
      <c r="A3773" t="s">
        <v>169</v>
      </c>
      <c r="B3773" t="s">
        <v>190</v>
      </c>
      <c r="C3773" t="s">
        <v>146</v>
      </c>
      <c r="D3773">
        <v>2013</v>
      </c>
      <c r="E3773">
        <v>2.1789999999999998</v>
      </c>
      <c r="F3773" t="s">
        <v>172</v>
      </c>
    </row>
    <row r="3774" spans="1:6" x14ac:dyDescent="0.25">
      <c r="A3774" t="s">
        <v>169</v>
      </c>
      <c r="B3774" t="s">
        <v>190</v>
      </c>
      <c r="C3774" t="s">
        <v>146</v>
      </c>
      <c r="D3774">
        <v>2012</v>
      </c>
      <c r="E3774">
        <v>2.3210000000000002</v>
      </c>
      <c r="F3774" t="s">
        <v>172</v>
      </c>
    </row>
    <row r="3775" spans="1:6" x14ac:dyDescent="0.25">
      <c r="A3775" t="s">
        <v>169</v>
      </c>
      <c r="B3775" t="s">
        <v>190</v>
      </c>
      <c r="C3775" t="s">
        <v>146</v>
      </c>
      <c r="D3775">
        <v>2011</v>
      </c>
      <c r="E3775">
        <v>2.3090000000000002</v>
      </c>
      <c r="F3775" t="s">
        <v>172</v>
      </c>
    </row>
    <row r="3776" spans="1:6" x14ac:dyDescent="0.25">
      <c r="A3776" t="s">
        <v>169</v>
      </c>
      <c r="B3776" t="s">
        <v>190</v>
      </c>
      <c r="C3776" t="s">
        <v>146</v>
      </c>
      <c r="D3776">
        <v>2010</v>
      </c>
      <c r="E3776">
        <v>2.1190000000000002</v>
      </c>
      <c r="F3776" t="s">
        <v>172</v>
      </c>
    </row>
    <row r="3777" spans="1:6" x14ac:dyDescent="0.25">
      <c r="A3777" t="s">
        <v>169</v>
      </c>
      <c r="B3777" t="s">
        <v>190</v>
      </c>
      <c r="C3777" t="s">
        <v>147</v>
      </c>
      <c r="D3777">
        <v>2014</v>
      </c>
      <c r="E3777">
        <v>10.862</v>
      </c>
      <c r="F3777" t="s">
        <v>172</v>
      </c>
    </row>
    <row r="3778" spans="1:6" x14ac:dyDescent="0.25">
      <c r="A3778" t="s">
        <v>169</v>
      </c>
      <c r="B3778" t="s">
        <v>190</v>
      </c>
      <c r="C3778" t="s">
        <v>147</v>
      </c>
      <c r="D3778">
        <v>2013</v>
      </c>
      <c r="E3778">
        <v>12.86</v>
      </c>
      <c r="F3778" t="s">
        <v>172</v>
      </c>
    </row>
    <row r="3779" spans="1:6" x14ac:dyDescent="0.25">
      <c r="A3779" t="s">
        <v>169</v>
      </c>
      <c r="B3779" t="s">
        <v>190</v>
      </c>
      <c r="C3779" t="s">
        <v>147</v>
      </c>
      <c r="D3779">
        <v>2012</v>
      </c>
      <c r="E3779">
        <v>14.859</v>
      </c>
      <c r="F3779" t="s">
        <v>172</v>
      </c>
    </row>
    <row r="3780" spans="1:6" x14ac:dyDescent="0.25">
      <c r="A3780" t="s">
        <v>169</v>
      </c>
      <c r="B3780" t="s">
        <v>190</v>
      </c>
      <c r="C3780" t="s">
        <v>147</v>
      </c>
      <c r="D3780">
        <v>2011</v>
      </c>
      <c r="E3780">
        <v>15.398</v>
      </c>
      <c r="F3780" t="s">
        <v>172</v>
      </c>
    </row>
    <row r="3781" spans="1:6" x14ac:dyDescent="0.25">
      <c r="A3781" t="s">
        <v>169</v>
      </c>
      <c r="B3781" t="s">
        <v>190</v>
      </c>
      <c r="C3781" t="s">
        <v>147</v>
      </c>
      <c r="D3781">
        <v>2010</v>
      </c>
      <c r="E3781">
        <v>18.204000000000001</v>
      </c>
      <c r="F3781" t="s">
        <v>172</v>
      </c>
    </row>
    <row r="3782" spans="1:6" x14ac:dyDescent="0.25">
      <c r="A3782" t="s">
        <v>169</v>
      </c>
      <c r="B3782" t="s">
        <v>190</v>
      </c>
      <c r="C3782" t="s">
        <v>167</v>
      </c>
      <c r="D3782">
        <v>2014</v>
      </c>
      <c r="E3782">
        <v>3.2519999999999998</v>
      </c>
      <c r="F3782" t="s">
        <v>172</v>
      </c>
    </row>
    <row r="3783" spans="1:6" x14ac:dyDescent="0.25">
      <c r="A3783" t="s">
        <v>169</v>
      </c>
      <c r="B3783" t="s">
        <v>190</v>
      </c>
      <c r="C3783" t="s">
        <v>167</v>
      </c>
      <c r="D3783">
        <v>2013</v>
      </c>
      <c r="E3783">
        <v>3.9929999999999999</v>
      </c>
      <c r="F3783" t="s">
        <v>172</v>
      </c>
    </row>
    <row r="3784" spans="1:6" x14ac:dyDescent="0.25">
      <c r="A3784" t="s">
        <v>169</v>
      </c>
      <c r="B3784" t="s">
        <v>190</v>
      </c>
      <c r="C3784" t="s">
        <v>167</v>
      </c>
      <c r="D3784">
        <v>2012</v>
      </c>
      <c r="E3784">
        <v>0</v>
      </c>
      <c r="F3784" t="s">
        <v>172</v>
      </c>
    </row>
    <row r="3785" spans="1:6" x14ac:dyDescent="0.25">
      <c r="A3785" t="s">
        <v>169</v>
      </c>
      <c r="B3785" t="s">
        <v>190</v>
      </c>
      <c r="C3785" t="s">
        <v>167</v>
      </c>
      <c r="D3785">
        <v>2011</v>
      </c>
      <c r="E3785">
        <v>0</v>
      </c>
      <c r="F3785" t="s">
        <v>172</v>
      </c>
    </row>
    <row r="3786" spans="1:6" x14ac:dyDescent="0.25">
      <c r="A3786" t="s">
        <v>169</v>
      </c>
      <c r="B3786" t="s">
        <v>190</v>
      </c>
      <c r="C3786" t="s">
        <v>167</v>
      </c>
      <c r="D3786">
        <v>2010</v>
      </c>
      <c r="E3786">
        <v>0</v>
      </c>
      <c r="F3786" t="s">
        <v>172</v>
      </c>
    </row>
    <row r="3787" spans="1:6" x14ac:dyDescent="0.25">
      <c r="A3787" t="s">
        <v>169</v>
      </c>
      <c r="B3787" t="s">
        <v>190</v>
      </c>
      <c r="C3787" t="s">
        <v>168</v>
      </c>
      <c r="D3787">
        <v>2014</v>
      </c>
      <c r="E3787">
        <v>261.803</v>
      </c>
      <c r="F3787" t="s">
        <v>172</v>
      </c>
    </row>
    <row r="3788" spans="1:6" x14ac:dyDescent="0.25">
      <c r="A3788" t="s">
        <v>169</v>
      </c>
      <c r="B3788" t="s">
        <v>190</v>
      </c>
      <c r="C3788" t="s">
        <v>168</v>
      </c>
      <c r="D3788">
        <v>2013</v>
      </c>
      <c r="E3788">
        <v>373.55200000000002</v>
      </c>
      <c r="F3788" t="s">
        <v>172</v>
      </c>
    </row>
    <row r="3789" spans="1:6" x14ac:dyDescent="0.25">
      <c r="A3789" t="s">
        <v>169</v>
      </c>
      <c r="B3789" t="s">
        <v>190</v>
      </c>
      <c r="C3789" t="s">
        <v>168</v>
      </c>
      <c r="D3789">
        <v>2012</v>
      </c>
      <c r="E3789">
        <v>392.19099999999997</v>
      </c>
      <c r="F3789" t="s">
        <v>172</v>
      </c>
    </row>
    <row r="3790" spans="1:6" x14ac:dyDescent="0.25">
      <c r="A3790" t="s">
        <v>169</v>
      </c>
      <c r="B3790" t="s">
        <v>190</v>
      </c>
      <c r="C3790" t="s">
        <v>168</v>
      </c>
      <c r="D3790">
        <v>2011</v>
      </c>
      <c r="E3790">
        <v>413.197</v>
      </c>
      <c r="F3790" t="s">
        <v>172</v>
      </c>
    </row>
    <row r="3791" spans="1:6" x14ac:dyDescent="0.25">
      <c r="A3791" t="s">
        <v>169</v>
      </c>
      <c r="B3791" t="s">
        <v>190</v>
      </c>
      <c r="C3791" t="s">
        <v>168</v>
      </c>
      <c r="D3791">
        <v>2010</v>
      </c>
      <c r="E3791">
        <v>416.4</v>
      </c>
      <c r="F3791" t="s">
        <v>172</v>
      </c>
    </row>
    <row r="3792" spans="1:6" x14ac:dyDescent="0.25">
      <c r="A3792" t="s">
        <v>169</v>
      </c>
      <c r="B3792" t="s">
        <v>190</v>
      </c>
      <c r="C3792" t="s">
        <v>148</v>
      </c>
      <c r="D3792">
        <v>2014</v>
      </c>
      <c r="E3792">
        <v>68.024000000000001</v>
      </c>
      <c r="F3792" t="s">
        <v>172</v>
      </c>
    </row>
    <row r="3793" spans="1:6" x14ac:dyDescent="0.25">
      <c r="A3793" t="s">
        <v>169</v>
      </c>
      <c r="B3793" t="s">
        <v>190</v>
      </c>
      <c r="C3793" t="s">
        <v>148</v>
      </c>
      <c r="D3793">
        <v>2013</v>
      </c>
      <c r="E3793">
        <v>64.117999999999995</v>
      </c>
      <c r="F3793" t="s">
        <v>172</v>
      </c>
    </row>
    <row r="3794" spans="1:6" x14ac:dyDescent="0.25">
      <c r="A3794" t="s">
        <v>169</v>
      </c>
      <c r="B3794" t="s">
        <v>190</v>
      </c>
      <c r="C3794" t="s">
        <v>148</v>
      </c>
      <c r="D3794">
        <v>2012</v>
      </c>
      <c r="E3794">
        <v>64.180999999999997</v>
      </c>
      <c r="F3794" t="s">
        <v>172</v>
      </c>
    </row>
    <row r="3795" spans="1:6" x14ac:dyDescent="0.25">
      <c r="A3795" t="s">
        <v>169</v>
      </c>
      <c r="B3795" t="s">
        <v>190</v>
      </c>
      <c r="C3795" t="s">
        <v>148</v>
      </c>
      <c r="D3795">
        <v>2011</v>
      </c>
      <c r="E3795">
        <v>58.122</v>
      </c>
      <c r="F3795" t="s">
        <v>172</v>
      </c>
    </row>
    <row r="3796" spans="1:6" x14ac:dyDescent="0.25">
      <c r="A3796" t="s">
        <v>169</v>
      </c>
      <c r="B3796" t="s">
        <v>190</v>
      </c>
      <c r="C3796" t="s">
        <v>148</v>
      </c>
      <c r="D3796">
        <v>2010</v>
      </c>
      <c r="E3796">
        <v>56.966999999999999</v>
      </c>
      <c r="F3796" t="s">
        <v>172</v>
      </c>
    </row>
    <row r="3797" spans="1:6" x14ac:dyDescent="0.25">
      <c r="A3797" t="s">
        <v>169</v>
      </c>
      <c r="B3797" t="s">
        <v>190</v>
      </c>
      <c r="C3797" t="s">
        <v>149</v>
      </c>
      <c r="D3797">
        <v>2014</v>
      </c>
      <c r="E3797">
        <v>0.249</v>
      </c>
      <c r="F3797" t="s">
        <v>172</v>
      </c>
    </row>
    <row r="3798" spans="1:6" x14ac:dyDescent="0.25">
      <c r="A3798" t="s">
        <v>169</v>
      </c>
      <c r="B3798" t="s">
        <v>190</v>
      </c>
      <c r="C3798" t="s">
        <v>149</v>
      </c>
      <c r="D3798">
        <v>2013</v>
      </c>
      <c r="E3798">
        <v>0.21099999999999999</v>
      </c>
      <c r="F3798" t="s">
        <v>172</v>
      </c>
    </row>
    <row r="3799" spans="1:6" x14ac:dyDescent="0.25">
      <c r="A3799" t="s">
        <v>169</v>
      </c>
      <c r="B3799" t="s">
        <v>190</v>
      </c>
      <c r="C3799" t="s">
        <v>149</v>
      </c>
      <c r="D3799">
        <v>2012</v>
      </c>
      <c r="E3799">
        <v>0.19500000000000001</v>
      </c>
      <c r="F3799" t="s">
        <v>172</v>
      </c>
    </row>
    <row r="3800" spans="1:6" x14ac:dyDescent="0.25">
      <c r="A3800" t="s">
        <v>169</v>
      </c>
      <c r="B3800" t="s">
        <v>190</v>
      </c>
      <c r="C3800" t="s">
        <v>149</v>
      </c>
      <c r="D3800">
        <v>2011</v>
      </c>
      <c r="E3800">
        <v>0.19</v>
      </c>
      <c r="F3800" t="s">
        <v>172</v>
      </c>
    </row>
    <row r="3801" spans="1:6" x14ac:dyDescent="0.25">
      <c r="A3801" t="s">
        <v>169</v>
      </c>
      <c r="B3801" t="s">
        <v>190</v>
      </c>
      <c r="C3801" t="s">
        <v>149</v>
      </c>
      <c r="D3801">
        <v>2010</v>
      </c>
      <c r="E3801">
        <v>0.23100000000000001</v>
      </c>
      <c r="F3801" t="s">
        <v>172</v>
      </c>
    </row>
    <row r="3802" spans="1:6" x14ac:dyDescent="0.25">
      <c r="A3802" t="s">
        <v>169</v>
      </c>
      <c r="B3802" t="s">
        <v>190</v>
      </c>
      <c r="C3802" t="s">
        <v>121</v>
      </c>
      <c r="D3802">
        <v>2014</v>
      </c>
      <c r="E3802">
        <v>0</v>
      </c>
      <c r="F3802" t="s">
        <v>191</v>
      </c>
    </row>
    <row r="3803" spans="1:6" x14ac:dyDescent="0.25">
      <c r="A3803" t="s">
        <v>169</v>
      </c>
      <c r="B3803" t="s">
        <v>190</v>
      </c>
      <c r="C3803" t="s">
        <v>121</v>
      </c>
      <c r="D3803">
        <v>2013</v>
      </c>
      <c r="E3803">
        <v>0</v>
      </c>
      <c r="F3803" t="s">
        <v>191</v>
      </c>
    </row>
    <row r="3804" spans="1:6" x14ac:dyDescent="0.25">
      <c r="A3804" t="s">
        <v>169</v>
      </c>
      <c r="B3804" t="s">
        <v>190</v>
      </c>
      <c r="C3804" t="s">
        <v>121</v>
      </c>
      <c r="D3804">
        <v>2012</v>
      </c>
      <c r="E3804">
        <v>0</v>
      </c>
      <c r="F3804" t="s">
        <v>191</v>
      </c>
    </row>
    <row r="3805" spans="1:6" x14ac:dyDescent="0.25">
      <c r="A3805" t="s">
        <v>169</v>
      </c>
      <c r="B3805" t="s">
        <v>190</v>
      </c>
      <c r="C3805" t="s">
        <v>121</v>
      </c>
      <c r="D3805">
        <v>2011</v>
      </c>
      <c r="E3805">
        <v>0</v>
      </c>
      <c r="F3805" t="s">
        <v>191</v>
      </c>
    </row>
    <row r="3806" spans="1:6" x14ac:dyDescent="0.25">
      <c r="A3806" t="s">
        <v>169</v>
      </c>
      <c r="B3806" t="s">
        <v>190</v>
      </c>
      <c r="C3806" t="s">
        <v>121</v>
      </c>
      <c r="D3806">
        <v>2010</v>
      </c>
      <c r="E3806">
        <v>0</v>
      </c>
      <c r="F3806" t="s">
        <v>191</v>
      </c>
    </row>
    <row r="3807" spans="1:6" x14ac:dyDescent="0.25">
      <c r="A3807" t="s">
        <v>169</v>
      </c>
      <c r="B3807" t="s">
        <v>190</v>
      </c>
      <c r="C3807" t="s">
        <v>122</v>
      </c>
      <c r="D3807">
        <v>2014</v>
      </c>
      <c r="E3807">
        <v>36.078000000000003</v>
      </c>
      <c r="F3807" t="s">
        <v>191</v>
      </c>
    </row>
    <row r="3808" spans="1:6" x14ac:dyDescent="0.25">
      <c r="A3808" t="s">
        <v>169</v>
      </c>
      <c r="B3808" t="s">
        <v>190</v>
      </c>
      <c r="C3808" t="s">
        <v>122</v>
      </c>
      <c r="D3808">
        <v>2013</v>
      </c>
      <c r="E3808">
        <v>36.420999999999999</v>
      </c>
      <c r="F3808" t="s">
        <v>191</v>
      </c>
    </row>
    <row r="3809" spans="1:6" x14ac:dyDescent="0.25">
      <c r="A3809" t="s">
        <v>169</v>
      </c>
      <c r="B3809" t="s">
        <v>190</v>
      </c>
      <c r="C3809" t="s">
        <v>122</v>
      </c>
      <c r="D3809">
        <v>2012</v>
      </c>
      <c r="E3809">
        <v>32.832000000000001</v>
      </c>
      <c r="F3809" t="s">
        <v>191</v>
      </c>
    </row>
    <row r="3810" spans="1:6" x14ac:dyDescent="0.25">
      <c r="A3810" t="s">
        <v>169</v>
      </c>
      <c r="B3810" t="s">
        <v>190</v>
      </c>
      <c r="C3810" t="s">
        <v>122</v>
      </c>
      <c r="D3810">
        <v>2011</v>
      </c>
      <c r="E3810">
        <v>28.664000000000001</v>
      </c>
      <c r="F3810" t="s">
        <v>191</v>
      </c>
    </row>
    <row r="3811" spans="1:6" x14ac:dyDescent="0.25">
      <c r="A3811" t="s">
        <v>169</v>
      </c>
      <c r="B3811" t="s">
        <v>190</v>
      </c>
      <c r="C3811" t="s">
        <v>122</v>
      </c>
      <c r="D3811">
        <v>2010</v>
      </c>
      <c r="E3811">
        <v>31.042999999999999</v>
      </c>
      <c r="F3811" t="s">
        <v>191</v>
      </c>
    </row>
    <row r="3812" spans="1:6" x14ac:dyDescent="0.25">
      <c r="A3812" t="s">
        <v>169</v>
      </c>
      <c r="B3812" t="s">
        <v>190</v>
      </c>
      <c r="C3812" t="s">
        <v>123</v>
      </c>
      <c r="D3812">
        <v>2014</v>
      </c>
      <c r="E3812">
        <v>0.495</v>
      </c>
      <c r="F3812" t="s">
        <v>191</v>
      </c>
    </row>
    <row r="3813" spans="1:6" x14ac:dyDescent="0.25">
      <c r="A3813" t="s">
        <v>169</v>
      </c>
      <c r="B3813" t="s">
        <v>190</v>
      </c>
      <c r="C3813" t="s">
        <v>123</v>
      </c>
      <c r="D3813">
        <v>2013</v>
      </c>
      <c r="E3813">
        <v>0.40899999999999997</v>
      </c>
      <c r="F3813" t="s">
        <v>191</v>
      </c>
    </row>
    <row r="3814" spans="1:6" x14ac:dyDescent="0.25">
      <c r="A3814" t="s">
        <v>169</v>
      </c>
      <c r="B3814" t="s">
        <v>190</v>
      </c>
      <c r="C3814" t="s">
        <v>123</v>
      </c>
      <c r="D3814">
        <v>2012</v>
      </c>
      <c r="E3814">
        <v>0.45500000000000002</v>
      </c>
      <c r="F3814" t="s">
        <v>191</v>
      </c>
    </row>
    <row r="3815" spans="1:6" x14ac:dyDescent="0.25">
      <c r="A3815" t="s">
        <v>169</v>
      </c>
      <c r="B3815" t="s">
        <v>190</v>
      </c>
      <c r="C3815" t="s">
        <v>123</v>
      </c>
      <c r="D3815">
        <v>2011</v>
      </c>
      <c r="E3815">
        <v>0.80900000000000005</v>
      </c>
      <c r="F3815" t="s">
        <v>191</v>
      </c>
    </row>
    <row r="3816" spans="1:6" x14ac:dyDescent="0.25">
      <c r="A3816" t="s">
        <v>169</v>
      </c>
      <c r="B3816" t="s">
        <v>190</v>
      </c>
      <c r="C3816" t="s">
        <v>123</v>
      </c>
      <c r="D3816">
        <v>2010</v>
      </c>
      <c r="E3816">
        <v>0.16300000000000001</v>
      </c>
      <c r="F3816" t="s">
        <v>191</v>
      </c>
    </row>
    <row r="3817" spans="1:6" x14ac:dyDescent="0.25">
      <c r="A3817" t="s">
        <v>169</v>
      </c>
      <c r="B3817" t="s">
        <v>190</v>
      </c>
      <c r="C3817" t="s">
        <v>124</v>
      </c>
      <c r="D3817">
        <v>2014</v>
      </c>
      <c r="E3817">
        <v>8.8699999999999992</v>
      </c>
      <c r="F3817" t="s">
        <v>191</v>
      </c>
    </row>
    <row r="3818" spans="1:6" x14ac:dyDescent="0.25">
      <c r="A3818" t="s">
        <v>169</v>
      </c>
      <c r="B3818" t="s">
        <v>190</v>
      </c>
      <c r="C3818" t="s">
        <v>124</v>
      </c>
      <c r="D3818">
        <v>2013</v>
      </c>
      <c r="E3818">
        <v>8.0690000000000008</v>
      </c>
      <c r="F3818" t="s">
        <v>191</v>
      </c>
    </row>
    <row r="3819" spans="1:6" x14ac:dyDescent="0.25">
      <c r="A3819" t="s">
        <v>169</v>
      </c>
      <c r="B3819" t="s">
        <v>190</v>
      </c>
      <c r="C3819" t="s">
        <v>124</v>
      </c>
      <c r="D3819">
        <v>2012</v>
      </c>
      <c r="E3819">
        <v>10.356</v>
      </c>
      <c r="F3819" t="s">
        <v>191</v>
      </c>
    </row>
    <row r="3820" spans="1:6" x14ac:dyDescent="0.25">
      <c r="A3820" t="s">
        <v>169</v>
      </c>
      <c r="B3820" t="s">
        <v>190</v>
      </c>
      <c r="C3820" t="s">
        <v>124</v>
      </c>
      <c r="D3820">
        <v>2011</v>
      </c>
      <c r="E3820">
        <v>13.672000000000001</v>
      </c>
      <c r="F3820" t="s">
        <v>191</v>
      </c>
    </row>
    <row r="3821" spans="1:6" x14ac:dyDescent="0.25">
      <c r="A3821" t="s">
        <v>169</v>
      </c>
      <c r="B3821" t="s">
        <v>190</v>
      </c>
      <c r="C3821" t="s">
        <v>124</v>
      </c>
      <c r="D3821">
        <v>2010</v>
      </c>
      <c r="E3821">
        <v>14.118</v>
      </c>
      <c r="F3821" t="s">
        <v>191</v>
      </c>
    </row>
    <row r="3822" spans="1:6" x14ac:dyDescent="0.25">
      <c r="A3822" t="s">
        <v>169</v>
      </c>
      <c r="B3822" t="s">
        <v>190</v>
      </c>
      <c r="C3822" t="s">
        <v>160</v>
      </c>
      <c r="D3822">
        <v>2014</v>
      </c>
      <c r="E3822">
        <v>0</v>
      </c>
      <c r="F3822" t="s">
        <v>191</v>
      </c>
    </row>
    <row r="3823" spans="1:6" x14ac:dyDescent="0.25">
      <c r="A3823" t="s">
        <v>169</v>
      </c>
      <c r="B3823" t="s">
        <v>190</v>
      </c>
      <c r="C3823" t="s">
        <v>160</v>
      </c>
      <c r="D3823">
        <v>2013</v>
      </c>
      <c r="E3823">
        <v>0</v>
      </c>
      <c r="F3823" t="s">
        <v>191</v>
      </c>
    </row>
    <row r="3824" spans="1:6" x14ac:dyDescent="0.25">
      <c r="A3824" t="s">
        <v>169</v>
      </c>
      <c r="B3824" t="s">
        <v>190</v>
      </c>
      <c r="C3824" t="s">
        <v>160</v>
      </c>
      <c r="D3824">
        <v>2012</v>
      </c>
      <c r="E3824">
        <v>0</v>
      </c>
      <c r="F3824" t="s">
        <v>191</v>
      </c>
    </row>
    <row r="3825" spans="1:6" x14ac:dyDescent="0.25">
      <c r="A3825" t="s">
        <v>169</v>
      </c>
      <c r="B3825" t="s">
        <v>190</v>
      </c>
      <c r="C3825" t="s">
        <v>160</v>
      </c>
      <c r="D3825">
        <v>2011</v>
      </c>
      <c r="E3825">
        <v>0</v>
      </c>
      <c r="F3825" t="s">
        <v>191</v>
      </c>
    </row>
    <row r="3826" spans="1:6" x14ac:dyDescent="0.25">
      <c r="A3826" t="s">
        <v>169</v>
      </c>
      <c r="B3826" t="s">
        <v>190</v>
      </c>
      <c r="C3826" t="s">
        <v>160</v>
      </c>
      <c r="D3826">
        <v>2010</v>
      </c>
      <c r="E3826">
        <v>0</v>
      </c>
      <c r="F3826" t="s">
        <v>191</v>
      </c>
    </row>
    <row r="3827" spans="1:6" x14ac:dyDescent="0.25">
      <c r="A3827" t="s">
        <v>169</v>
      </c>
      <c r="B3827" t="s">
        <v>190</v>
      </c>
      <c r="C3827" t="s">
        <v>125</v>
      </c>
      <c r="D3827">
        <v>2014</v>
      </c>
      <c r="E3827">
        <v>23.986000000000001</v>
      </c>
      <c r="F3827" t="s">
        <v>191</v>
      </c>
    </row>
    <row r="3828" spans="1:6" x14ac:dyDescent="0.25">
      <c r="A3828" t="s">
        <v>169</v>
      </c>
      <c r="B3828" t="s">
        <v>190</v>
      </c>
      <c r="C3828" t="s">
        <v>125</v>
      </c>
      <c r="D3828">
        <v>2013</v>
      </c>
      <c r="E3828">
        <v>26.670999999999999</v>
      </c>
      <c r="F3828" t="s">
        <v>191</v>
      </c>
    </row>
    <row r="3829" spans="1:6" x14ac:dyDescent="0.25">
      <c r="A3829" t="s">
        <v>169</v>
      </c>
      <c r="B3829" t="s">
        <v>190</v>
      </c>
      <c r="C3829" t="s">
        <v>125</v>
      </c>
      <c r="D3829">
        <v>2012</v>
      </c>
      <c r="E3829">
        <v>27.509</v>
      </c>
      <c r="F3829" t="s">
        <v>191</v>
      </c>
    </row>
    <row r="3830" spans="1:6" x14ac:dyDescent="0.25">
      <c r="A3830" t="s">
        <v>169</v>
      </c>
      <c r="B3830" t="s">
        <v>190</v>
      </c>
      <c r="C3830" t="s">
        <v>125</v>
      </c>
      <c r="D3830">
        <v>2011</v>
      </c>
      <c r="E3830">
        <v>24.594000000000001</v>
      </c>
      <c r="F3830" t="s">
        <v>191</v>
      </c>
    </row>
    <row r="3831" spans="1:6" x14ac:dyDescent="0.25">
      <c r="A3831" t="s">
        <v>169</v>
      </c>
      <c r="B3831" t="s">
        <v>190</v>
      </c>
      <c r="C3831" t="s">
        <v>125</v>
      </c>
      <c r="D3831">
        <v>2010</v>
      </c>
      <c r="E3831">
        <v>28.997</v>
      </c>
      <c r="F3831" t="s">
        <v>191</v>
      </c>
    </row>
    <row r="3832" spans="1:6" x14ac:dyDescent="0.25">
      <c r="A3832" t="s">
        <v>169</v>
      </c>
      <c r="B3832" t="s">
        <v>190</v>
      </c>
      <c r="C3832" t="s">
        <v>126</v>
      </c>
      <c r="D3832">
        <v>2014</v>
      </c>
      <c r="E3832">
        <v>119.919</v>
      </c>
      <c r="F3832" t="s">
        <v>191</v>
      </c>
    </row>
    <row r="3833" spans="1:6" x14ac:dyDescent="0.25">
      <c r="A3833" t="s">
        <v>169</v>
      </c>
      <c r="B3833" t="s">
        <v>190</v>
      </c>
      <c r="C3833" t="s">
        <v>126</v>
      </c>
      <c r="D3833">
        <v>2013</v>
      </c>
      <c r="E3833">
        <v>139.43199999999999</v>
      </c>
      <c r="F3833" t="s">
        <v>191</v>
      </c>
    </row>
    <row r="3834" spans="1:6" x14ac:dyDescent="0.25">
      <c r="A3834" t="s">
        <v>169</v>
      </c>
      <c r="B3834" t="s">
        <v>190</v>
      </c>
      <c r="C3834" t="s">
        <v>126</v>
      </c>
      <c r="D3834">
        <v>2012</v>
      </c>
      <c r="E3834">
        <v>135.40899999999999</v>
      </c>
      <c r="F3834" t="s">
        <v>191</v>
      </c>
    </row>
    <row r="3835" spans="1:6" x14ac:dyDescent="0.25">
      <c r="A3835" t="s">
        <v>169</v>
      </c>
      <c r="B3835" t="s">
        <v>190</v>
      </c>
      <c r="C3835" t="s">
        <v>126</v>
      </c>
      <c r="D3835">
        <v>2011</v>
      </c>
      <c r="E3835">
        <v>132.244</v>
      </c>
      <c r="F3835" t="s">
        <v>191</v>
      </c>
    </row>
    <row r="3836" spans="1:6" x14ac:dyDescent="0.25">
      <c r="A3836" t="s">
        <v>169</v>
      </c>
      <c r="B3836" t="s">
        <v>190</v>
      </c>
      <c r="C3836" t="s">
        <v>126</v>
      </c>
      <c r="D3836">
        <v>2010</v>
      </c>
      <c r="E3836">
        <v>152.06299999999999</v>
      </c>
      <c r="F3836" t="s">
        <v>191</v>
      </c>
    </row>
    <row r="3837" spans="1:6" x14ac:dyDescent="0.25">
      <c r="A3837" t="s">
        <v>169</v>
      </c>
      <c r="B3837" t="s">
        <v>190</v>
      </c>
      <c r="C3837" t="s">
        <v>127</v>
      </c>
      <c r="D3837">
        <v>2014</v>
      </c>
      <c r="E3837">
        <v>39.084000000000003</v>
      </c>
      <c r="F3837" t="s">
        <v>191</v>
      </c>
    </row>
    <row r="3838" spans="1:6" x14ac:dyDescent="0.25">
      <c r="A3838" t="s">
        <v>169</v>
      </c>
      <c r="B3838" t="s">
        <v>190</v>
      </c>
      <c r="C3838" t="s">
        <v>127</v>
      </c>
      <c r="D3838">
        <v>2013</v>
      </c>
      <c r="E3838">
        <v>38.183</v>
      </c>
      <c r="F3838" t="s">
        <v>191</v>
      </c>
    </row>
    <row r="3839" spans="1:6" x14ac:dyDescent="0.25">
      <c r="A3839" t="s">
        <v>169</v>
      </c>
      <c r="B3839" t="s">
        <v>190</v>
      </c>
      <c r="C3839" t="s">
        <v>127</v>
      </c>
      <c r="D3839">
        <v>2012</v>
      </c>
      <c r="E3839">
        <v>38.19</v>
      </c>
      <c r="F3839" t="s">
        <v>191</v>
      </c>
    </row>
    <row r="3840" spans="1:6" x14ac:dyDescent="0.25">
      <c r="A3840" t="s">
        <v>169</v>
      </c>
      <c r="B3840" t="s">
        <v>190</v>
      </c>
      <c r="C3840" t="s">
        <v>127</v>
      </c>
      <c r="D3840">
        <v>2011</v>
      </c>
      <c r="E3840">
        <v>32.112000000000002</v>
      </c>
      <c r="F3840" t="s">
        <v>191</v>
      </c>
    </row>
    <row r="3841" spans="1:6" x14ac:dyDescent="0.25">
      <c r="A3841" t="s">
        <v>169</v>
      </c>
      <c r="B3841" t="s">
        <v>190</v>
      </c>
      <c r="C3841" t="s">
        <v>127</v>
      </c>
      <c r="D3841">
        <v>2010</v>
      </c>
      <c r="E3841">
        <v>36.183999999999997</v>
      </c>
      <c r="F3841" t="s">
        <v>191</v>
      </c>
    </row>
    <row r="3842" spans="1:6" x14ac:dyDescent="0.25">
      <c r="A3842" t="s">
        <v>169</v>
      </c>
      <c r="B3842" t="s">
        <v>190</v>
      </c>
      <c r="C3842" t="s">
        <v>128</v>
      </c>
      <c r="D3842">
        <v>2014</v>
      </c>
      <c r="E3842">
        <v>10.404</v>
      </c>
      <c r="F3842" t="s">
        <v>191</v>
      </c>
    </row>
    <row r="3843" spans="1:6" x14ac:dyDescent="0.25">
      <c r="A3843" t="s">
        <v>169</v>
      </c>
      <c r="B3843" t="s">
        <v>190</v>
      </c>
      <c r="C3843" t="s">
        <v>128</v>
      </c>
      <c r="D3843">
        <v>2013</v>
      </c>
      <c r="E3843">
        <v>12.454000000000001</v>
      </c>
      <c r="F3843" t="s">
        <v>191</v>
      </c>
    </row>
    <row r="3844" spans="1:6" x14ac:dyDescent="0.25">
      <c r="A3844" t="s">
        <v>169</v>
      </c>
      <c r="B3844" t="s">
        <v>190</v>
      </c>
      <c r="C3844" t="s">
        <v>128</v>
      </c>
      <c r="D3844">
        <v>2012</v>
      </c>
      <c r="E3844">
        <v>14.859</v>
      </c>
      <c r="F3844" t="s">
        <v>191</v>
      </c>
    </row>
    <row r="3845" spans="1:6" x14ac:dyDescent="0.25">
      <c r="A3845" t="s">
        <v>169</v>
      </c>
      <c r="B3845" t="s">
        <v>190</v>
      </c>
      <c r="C3845" t="s">
        <v>128</v>
      </c>
      <c r="D3845">
        <v>2011</v>
      </c>
      <c r="E3845">
        <v>13.884</v>
      </c>
      <c r="F3845" t="s">
        <v>191</v>
      </c>
    </row>
    <row r="3846" spans="1:6" x14ac:dyDescent="0.25">
      <c r="A3846" t="s">
        <v>169</v>
      </c>
      <c r="B3846" t="s">
        <v>190</v>
      </c>
      <c r="C3846" t="s">
        <v>128</v>
      </c>
      <c r="D3846">
        <v>2010</v>
      </c>
      <c r="E3846">
        <v>15.074</v>
      </c>
      <c r="F3846" t="s">
        <v>191</v>
      </c>
    </row>
    <row r="3847" spans="1:6" x14ac:dyDescent="0.25">
      <c r="A3847" t="s">
        <v>169</v>
      </c>
      <c r="B3847" t="s">
        <v>190</v>
      </c>
      <c r="C3847" t="s">
        <v>161</v>
      </c>
      <c r="D3847">
        <v>2014</v>
      </c>
      <c r="E3847">
        <v>0</v>
      </c>
      <c r="F3847" t="s">
        <v>191</v>
      </c>
    </row>
    <row r="3848" spans="1:6" x14ac:dyDescent="0.25">
      <c r="A3848" t="s">
        <v>169</v>
      </c>
      <c r="B3848" t="s">
        <v>190</v>
      </c>
      <c r="C3848" t="s">
        <v>161</v>
      </c>
      <c r="D3848">
        <v>2013</v>
      </c>
      <c r="E3848">
        <v>0</v>
      </c>
      <c r="F3848" t="s">
        <v>191</v>
      </c>
    </row>
    <row r="3849" spans="1:6" x14ac:dyDescent="0.25">
      <c r="A3849" t="s">
        <v>169</v>
      </c>
      <c r="B3849" t="s">
        <v>190</v>
      </c>
      <c r="C3849" t="s">
        <v>161</v>
      </c>
      <c r="D3849">
        <v>2012</v>
      </c>
      <c r="E3849">
        <v>0</v>
      </c>
      <c r="F3849" t="s">
        <v>191</v>
      </c>
    </row>
    <row r="3850" spans="1:6" x14ac:dyDescent="0.25">
      <c r="A3850" t="s">
        <v>169</v>
      </c>
      <c r="B3850" t="s">
        <v>190</v>
      </c>
      <c r="C3850" t="s">
        <v>161</v>
      </c>
      <c r="D3850">
        <v>2011</v>
      </c>
      <c r="E3850">
        <v>0</v>
      </c>
      <c r="F3850" t="s">
        <v>191</v>
      </c>
    </row>
    <row r="3851" spans="1:6" x14ac:dyDescent="0.25">
      <c r="A3851" t="s">
        <v>169</v>
      </c>
      <c r="B3851" t="s">
        <v>190</v>
      </c>
      <c r="C3851" t="s">
        <v>161</v>
      </c>
      <c r="D3851">
        <v>2010</v>
      </c>
      <c r="E3851">
        <v>0</v>
      </c>
      <c r="F3851" t="s">
        <v>191</v>
      </c>
    </row>
    <row r="3852" spans="1:6" x14ac:dyDescent="0.25">
      <c r="A3852" t="s">
        <v>169</v>
      </c>
      <c r="B3852" t="s">
        <v>190</v>
      </c>
      <c r="C3852" t="s">
        <v>162</v>
      </c>
      <c r="D3852">
        <v>2014</v>
      </c>
      <c r="E3852">
        <v>0</v>
      </c>
      <c r="F3852" t="s">
        <v>191</v>
      </c>
    </row>
    <row r="3853" spans="1:6" x14ac:dyDescent="0.25">
      <c r="A3853" t="s">
        <v>169</v>
      </c>
      <c r="B3853" t="s">
        <v>190</v>
      </c>
      <c r="C3853" t="s">
        <v>162</v>
      </c>
      <c r="D3853">
        <v>2013</v>
      </c>
      <c r="E3853">
        <v>0</v>
      </c>
      <c r="F3853" t="s">
        <v>191</v>
      </c>
    </row>
    <row r="3854" spans="1:6" x14ac:dyDescent="0.25">
      <c r="A3854" t="s">
        <v>169</v>
      </c>
      <c r="B3854" t="s">
        <v>190</v>
      </c>
      <c r="C3854" t="s">
        <v>162</v>
      </c>
      <c r="D3854">
        <v>2012</v>
      </c>
      <c r="E3854">
        <v>0</v>
      </c>
      <c r="F3854" t="s">
        <v>191</v>
      </c>
    </row>
    <row r="3855" spans="1:6" x14ac:dyDescent="0.25">
      <c r="A3855" t="s">
        <v>169</v>
      </c>
      <c r="B3855" t="s">
        <v>190</v>
      </c>
      <c r="C3855" t="s">
        <v>162</v>
      </c>
      <c r="D3855">
        <v>2011</v>
      </c>
      <c r="E3855">
        <v>0</v>
      </c>
      <c r="F3855" t="s">
        <v>191</v>
      </c>
    </row>
    <row r="3856" spans="1:6" x14ac:dyDescent="0.25">
      <c r="A3856" t="s">
        <v>169</v>
      </c>
      <c r="B3856" t="s">
        <v>190</v>
      </c>
      <c r="C3856" t="s">
        <v>162</v>
      </c>
      <c r="D3856">
        <v>2010</v>
      </c>
      <c r="E3856">
        <v>0</v>
      </c>
      <c r="F3856" t="s">
        <v>191</v>
      </c>
    </row>
    <row r="3857" spans="1:6" x14ac:dyDescent="0.25">
      <c r="A3857" t="s">
        <v>169</v>
      </c>
      <c r="B3857" t="s">
        <v>190</v>
      </c>
      <c r="C3857" t="s">
        <v>129</v>
      </c>
      <c r="D3857">
        <v>2014</v>
      </c>
      <c r="E3857">
        <v>59.744999999999997</v>
      </c>
      <c r="F3857" t="s">
        <v>191</v>
      </c>
    </row>
    <row r="3858" spans="1:6" x14ac:dyDescent="0.25">
      <c r="A3858" t="s">
        <v>169</v>
      </c>
      <c r="B3858" t="s">
        <v>190</v>
      </c>
      <c r="C3858" t="s">
        <v>129</v>
      </c>
      <c r="D3858">
        <v>2013</v>
      </c>
      <c r="E3858">
        <v>55.948999999999998</v>
      </c>
      <c r="F3858" t="s">
        <v>191</v>
      </c>
    </row>
    <row r="3859" spans="1:6" x14ac:dyDescent="0.25">
      <c r="A3859" t="s">
        <v>169</v>
      </c>
      <c r="B3859" t="s">
        <v>190</v>
      </c>
      <c r="C3859" t="s">
        <v>129</v>
      </c>
      <c r="D3859">
        <v>2012</v>
      </c>
      <c r="E3859">
        <v>63.218000000000004</v>
      </c>
      <c r="F3859" t="s">
        <v>191</v>
      </c>
    </row>
    <row r="3860" spans="1:6" x14ac:dyDescent="0.25">
      <c r="A3860" t="s">
        <v>169</v>
      </c>
      <c r="B3860" t="s">
        <v>190</v>
      </c>
      <c r="C3860" t="s">
        <v>129</v>
      </c>
      <c r="D3860">
        <v>2011</v>
      </c>
      <c r="E3860">
        <v>52.877000000000002</v>
      </c>
      <c r="F3860" t="s">
        <v>191</v>
      </c>
    </row>
    <row r="3861" spans="1:6" x14ac:dyDescent="0.25">
      <c r="A3861" t="s">
        <v>169</v>
      </c>
      <c r="B3861" t="s">
        <v>190</v>
      </c>
      <c r="C3861" t="s">
        <v>129</v>
      </c>
      <c r="D3861">
        <v>2010</v>
      </c>
      <c r="E3861">
        <v>61.186999999999998</v>
      </c>
      <c r="F3861" t="s">
        <v>191</v>
      </c>
    </row>
    <row r="3862" spans="1:6" x14ac:dyDescent="0.25">
      <c r="A3862" t="s">
        <v>169</v>
      </c>
      <c r="B3862" t="s">
        <v>190</v>
      </c>
      <c r="C3862" t="s">
        <v>130</v>
      </c>
      <c r="D3862">
        <v>2014</v>
      </c>
      <c r="E3862">
        <v>50.796999999999997</v>
      </c>
      <c r="F3862" t="s">
        <v>191</v>
      </c>
    </row>
    <row r="3863" spans="1:6" x14ac:dyDescent="0.25">
      <c r="A3863" t="s">
        <v>169</v>
      </c>
      <c r="B3863" t="s">
        <v>190</v>
      </c>
      <c r="C3863" t="s">
        <v>130</v>
      </c>
      <c r="D3863">
        <v>2013</v>
      </c>
      <c r="E3863">
        <v>59.683999999999997</v>
      </c>
      <c r="F3863" t="s">
        <v>191</v>
      </c>
    </row>
    <row r="3864" spans="1:6" x14ac:dyDescent="0.25">
      <c r="A3864" t="s">
        <v>169</v>
      </c>
      <c r="B3864" t="s">
        <v>190</v>
      </c>
      <c r="C3864" t="s">
        <v>130</v>
      </c>
      <c r="D3864">
        <v>2012</v>
      </c>
      <c r="E3864">
        <v>51.929000000000002</v>
      </c>
      <c r="F3864" t="s">
        <v>191</v>
      </c>
    </row>
    <row r="3865" spans="1:6" x14ac:dyDescent="0.25">
      <c r="A3865" t="s">
        <v>169</v>
      </c>
      <c r="B3865" t="s">
        <v>190</v>
      </c>
      <c r="C3865" t="s">
        <v>130</v>
      </c>
      <c r="D3865">
        <v>2011</v>
      </c>
      <c r="E3865">
        <v>11.473000000000001</v>
      </c>
      <c r="F3865" t="s">
        <v>191</v>
      </c>
    </row>
    <row r="3866" spans="1:6" x14ac:dyDescent="0.25">
      <c r="A3866" t="s">
        <v>169</v>
      </c>
      <c r="B3866" t="s">
        <v>190</v>
      </c>
      <c r="C3866" t="s">
        <v>130</v>
      </c>
      <c r="D3866">
        <v>2010</v>
      </c>
      <c r="E3866">
        <v>13.869</v>
      </c>
      <c r="F3866" t="s">
        <v>191</v>
      </c>
    </row>
    <row r="3867" spans="1:6" x14ac:dyDescent="0.25">
      <c r="A3867" t="s">
        <v>169</v>
      </c>
      <c r="B3867" t="s">
        <v>190</v>
      </c>
      <c r="C3867" t="s">
        <v>131</v>
      </c>
      <c r="D3867">
        <v>2014</v>
      </c>
      <c r="E3867">
        <v>2.113</v>
      </c>
      <c r="F3867" t="s">
        <v>191</v>
      </c>
    </row>
    <row r="3868" spans="1:6" x14ac:dyDescent="0.25">
      <c r="A3868" t="s">
        <v>169</v>
      </c>
      <c r="B3868" t="s">
        <v>190</v>
      </c>
      <c r="C3868" t="s">
        <v>131</v>
      </c>
      <c r="D3868">
        <v>2013</v>
      </c>
      <c r="E3868">
        <v>2.621</v>
      </c>
      <c r="F3868" t="s">
        <v>191</v>
      </c>
    </row>
    <row r="3869" spans="1:6" x14ac:dyDescent="0.25">
      <c r="A3869" t="s">
        <v>169</v>
      </c>
      <c r="B3869" t="s">
        <v>190</v>
      </c>
      <c r="C3869" t="s">
        <v>131</v>
      </c>
      <c r="D3869">
        <v>2012</v>
      </c>
      <c r="E3869">
        <v>2.661</v>
      </c>
      <c r="F3869" t="s">
        <v>191</v>
      </c>
    </row>
    <row r="3870" spans="1:6" x14ac:dyDescent="0.25">
      <c r="A3870" t="s">
        <v>169</v>
      </c>
      <c r="B3870" t="s">
        <v>190</v>
      </c>
      <c r="C3870" t="s">
        <v>131</v>
      </c>
      <c r="D3870">
        <v>2011</v>
      </c>
      <c r="E3870">
        <v>3.0219999999999998</v>
      </c>
      <c r="F3870" t="s">
        <v>191</v>
      </c>
    </row>
    <row r="3871" spans="1:6" x14ac:dyDescent="0.25">
      <c r="A3871" t="s">
        <v>169</v>
      </c>
      <c r="B3871" t="s">
        <v>190</v>
      </c>
      <c r="C3871" t="s">
        <v>131</v>
      </c>
      <c r="D3871">
        <v>2010</v>
      </c>
      <c r="E3871">
        <v>3.0920000000000001</v>
      </c>
      <c r="F3871" t="s">
        <v>191</v>
      </c>
    </row>
    <row r="3872" spans="1:6" x14ac:dyDescent="0.25">
      <c r="A3872" t="s">
        <v>169</v>
      </c>
      <c r="B3872" t="s">
        <v>190</v>
      </c>
      <c r="C3872" t="s">
        <v>132</v>
      </c>
      <c r="D3872">
        <v>2014</v>
      </c>
      <c r="E3872">
        <v>22.245000000000001</v>
      </c>
      <c r="F3872" t="s">
        <v>191</v>
      </c>
    </row>
    <row r="3873" spans="1:6" x14ac:dyDescent="0.25">
      <c r="A3873" t="s">
        <v>169</v>
      </c>
      <c r="B3873" t="s">
        <v>190</v>
      </c>
      <c r="C3873" t="s">
        <v>132</v>
      </c>
      <c r="D3873">
        <v>2013</v>
      </c>
      <c r="E3873">
        <v>24.881</v>
      </c>
      <c r="F3873" t="s">
        <v>191</v>
      </c>
    </row>
    <row r="3874" spans="1:6" x14ac:dyDescent="0.25">
      <c r="A3874" t="s">
        <v>169</v>
      </c>
      <c r="B3874" t="s">
        <v>190</v>
      </c>
      <c r="C3874" t="s">
        <v>132</v>
      </c>
      <c r="D3874">
        <v>2012</v>
      </c>
      <c r="E3874">
        <v>24.018000000000001</v>
      </c>
      <c r="F3874" t="s">
        <v>191</v>
      </c>
    </row>
    <row r="3875" spans="1:6" x14ac:dyDescent="0.25">
      <c r="A3875" t="s">
        <v>169</v>
      </c>
      <c r="B3875" t="s">
        <v>190</v>
      </c>
      <c r="C3875" t="s">
        <v>132</v>
      </c>
      <c r="D3875">
        <v>2011</v>
      </c>
      <c r="E3875">
        <v>18.321999999999999</v>
      </c>
      <c r="F3875" t="s">
        <v>191</v>
      </c>
    </row>
    <row r="3876" spans="1:6" x14ac:dyDescent="0.25">
      <c r="A3876" t="s">
        <v>169</v>
      </c>
      <c r="B3876" t="s">
        <v>190</v>
      </c>
      <c r="C3876" t="s">
        <v>132</v>
      </c>
      <c r="D3876">
        <v>2010</v>
      </c>
      <c r="E3876">
        <v>15.236000000000001</v>
      </c>
      <c r="F3876" t="s">
        <v>191</v>
      </c>
    </row>
    <row r="3877" spans="1:6" x14ac:dyDescent="0.25">
      <c r="A3877" t="s">
        <v>169</v>
      </c>
      <c r="B3877" t="s">
        <v>190</v>
      </c>
      <c r="C3877" t="s">
        <v>163</v>
      </c>
      <c r="D3877">
        <v>2014</v>
      </c>
      <c r="E3877">
        <v>0</v>
      </c>
      <c r="F3877" t="s">
        <v>191</v>
      </c>
    </row>
    <row r="3878" spans="1:6" x14ac:dyDescent="0.25">
      <c r="A3878" t="s">
        <v>169</v>
      </c>
      <c r="B3878" t="s">
        <v>190</v>
      </c>
      <c r="C3878" t="s">
        <v>163</v>
      </c>
      <c r="D3878">
        <v>2013</v>
      </c>
      <c r="E3878">
        <v>0</v>
      </c>
      <c r="F3878" t="s">
        <v>191</v>
      </c>
    </row>
    <row r="3879" spans="1:6" x14ac:dyDescent="0.25">
      <c r="A3879" t="s">
        <v>169</v>
      </c>
      <c r="B3879" t="s">
        <v>190</v>
      </c>
      <c r="C3879" t="s">
        <v>163</v>
      </c>
      <c r="D3879">
        <v>2012</v>
      </c>
      <c r="E3879">
        <v>0</v>
      </c>
      <c r="F3879" t="s">
        <v>191</v>
      </c>
    </row>
    <row r="3880" spans="1:6" x14ac:dyDescent="0.25">
      <c r="A3880" t="s">
        <v>169</v>
      </c>
      <c r="B3880" t="s">
        <v>190</v>
      </c>
      <c r="C3880" t="s">
        <v>163</v>
      </c>
      <c r="D3880">
        <v>2011</v>
      </c>
      <c r="E3880">
        <v>0</v>
      </c>
      <c r="F3880" t="s">
        <v>191</v>
      </c>
    </row>
    <row r="3881" spans="1:6" x14ac:dyDescent="0.25">
      <c r="A3881" t="s">
        <v>169</v>
      </c>
      <c r="B3881" t="s">
        <v>190</v>
      </c>
      <c r="C3881" t="s">
        <v>163</v>
      </c>
      <c r="D3881">
        <v>2010</v>
      </c>
      <c r="E3881">
        <v>0</v>
      </c>
      <c r="F3881" t="s">
        <v>191</v>
      </c>
    </row>
    <row r="3882" spans="1:6" x14ac:dyDescent="0.25">
      <c r="A3882" t="s">
        <v>169</v>
      </c>
      <c r="B3882" t="s">
        <v>190</v>
      </c>
      <c r="C3882" t="s">
        <v>133</v>
      </c>
      <c r="D3882">
        <v>2014</v>
      </c>
      <c r="E3882">
        <v>23.71</v>
      </c>
      <c r="F3882" t="s">
        <v>191</v>
      </c>
    </row>
    <row r="3883" spans="1:6" x14ac:dyDescent="0.25">
      <c r="A3883" t="s">
        <v>169</v>
      </c>
      <c r="B3883" t="s">
        <v>190</v>
      </c>
      <c r="C3883" t="s">
        <v>133</v>
      </c>
      <c r="D3883">
        <v>2013</v>
      </c>
      <c r="E3883">
        <v>17.762</v>
      </c>
      <c r="F3883" t="s">
        <v>191</v>
      </c>
    </row>
    <row r="3884" spans="1:6" x14ac:dyDescent="0.25">
      <c r="A3884" t="s">
        <v>169</v>
      </c>
      <c r="B3884" t="s">
        <v>190</v>
      </c>
      <c r="C3884" t="s">
        <v>133</v>
      </c>
      <c r="D3884">
        <v>2012</v>
      </c>
      <c r="E3884">
        <v>17.858000000000001</v>
      </c>
      <c r="F3884" t="s">
        <v>191</v>
      </c>
    </row>
    <row r="3885" spans="1:6" x14ac:dyDescent="0.25">
      <c r="A3885" t="s">
        <v>169</v>
      </c>
      <c r="B3885" t="s">
        <v>190</v>
      </c>
      <c r="C3885" t="s">
        <v>133</v>
      </c>
      <c r="D3885">
        <v>2011</v>
      </c>
      <c r="E3885">
        <v>15.718</v>
      </c>
      <c r="F3885" t="s">
        <v>191</v>
      </c>
    </row>
    <row r="3886" spans="1:6" x14ac:dyDescent="0.25">
      <c r="A3886" t="s">
        <v>169</v>
      </c>
      <c r="B3886" t="s">
        <v>190</v>
      </c>
      <c r="C3886" t="s">
        <v>133</v>
      </c>
      <c r="D3886">
        <v>2010</v>
      </c>
      <c r="E3886">
        <v>15.798999999999999</v>
      </c>
      <c r="F3886" t="s">
        <v>191</v>
      </c>
    </row>
    <row r="3887" spans="1:6" x14ac:dyDescent="0.25">
      <c r="A3887" t="s">
        <v>169</v>
      </c>
      <c r="B3887" t="s">
        <v>190</v>
      </c>
      <c r="C3887" t="s">
        <v>134</v>
      </c>
      <c r="D3887">
        <v>2014</v>
      </c>
      <c r="E3887">
        <v>3.508</v>
      </c>
      <c r="F3887" t="s">
        <v>191</v>
      </c>
    </row>
    <row r="3888" spans="1:6" x14ac:dyDescent="0.25">
      <c r="A3888" t="s">
        <v>169</v>
      </c>
      <c r="B3888" t="s">
        <v>190</v>
      </c>
      <c r="C3888" t="s">
        <v>134</v>
      </c>
      <c r="D3888">
        <v>2013</v>
      </c>
      <c r="E3888">
        <v>3.7570000000000001</v>
      </c>
      <c r="F3888" t="s">
        <v>191</v>
      </c>
    </row>
    <row r="3889" spans="1:6" x14ac:dyDescent="0.25">
      <c r="A3889" t="s">
        <v>169</v>
      </c>
      <c r="B3889" t="s">
        <v>190</v>
      </c>
      <c r="C3889" t="s">
        <v>134</v>
      </c>
      <c r="D3889">
        <v>2012</v>
      </c>
      <c r="E3889">
        <v>3.742</v>
      </c>
      <c r="F3889" t="s">
        <v>191</v>
      </c>
    </row>
    <row r="3890" spans="1:6" x14ac:dyDescent="0.25">
      <c r="A3890" t="s">
        <v>169</v>
      </c>
      <c r="B3890" t="s">
        <v>190</v>
      </c>
      <c r="C3890" t="s">
        <v>134</v>
      </c>
      <c r="D3890">
        <v>2011</v>
      </c>
      <c r="E3890">
        <v>3.2690000000000001</v>
      </c>
      <c r="F3890" t="s">
        <v>191</v>
      </c>
    </row>
    <row r="3891" spans="1:6" x14ac:dyDescent="0.25">
      <c r="A3891" t="s">
        <v>169</v>
      </c>
      <c r="B3891" t="s">
        <v>190</v>
      </c>
      <c r="C3891" t="s">
        <v>134</v>
      </c>
      <c r="D3891">
        <v>2010</v>
      </c>
      <c r="E3891">
        <v>2.8359999999999999</v>
      </c>
      <c r="F3891" t="s">
        <v>191</v>
      </c>
    </row>
    <row r="3892" spans="1:6" x14ac:dyDescent="0.25">
      <c r="A3892" t="s">
        <v>169</v>
      </c>
      <c r="B3892" t="s">
        <v>190</v>
      </c>
      <c r="C3892" t="s">
        <v>135</v>
      </c>
      <c r="D3892">
        <v>2014</v>
      </c>
      <c r="E3892">
        <v>21.795999999999999</v>
      </c>
      <c r="F3892" t="s">
        <v>191</v>
      </c>
    </row>
    <row r="3893" spans="1:6" x14ac:dyDescent="0.25">
      <c r="A3893" t="s">
        <v>169</v>
      </c>
      <c r="B3893" t="s">
        <v>190</v>
      </c>
      <c r="C3893" t="s">
        <v>135</v>
      </c>
      <c r="D3893">
        <v>2013</v>
      </c>
      <c r="E3893">
        <v>19.033999999999999</v>
      </c>
      <c r="F3893" t="s">
        <v>191</v>
      </c>
    </row>
    <row r="3894" spans="1:6" x14ac:dyDescent="0.25">
      <c r="A3894" t="s">
        <v>169</v>
      </c>
      <c r="B3894" t="s">
        <v>190</v>
      </c>
      <c r="C3894" t="s">
        <v>135</v>
      </c>
      <c r="D3894">
        <v>2012</v>
      </c>
      <c r="E3894">
        <v>21.277999999999999</v>
      </c>
      <c r="F3894" t="s">
        <v>191</v>
      </c>
    </row>
    <row r="3895" spans="1:6" x14ac:dyDescent="0.25">
      <c r="A3895" t="s">
        <v>169</v>
      </c>
      <c r="B3895" t="s">
        <v>190</v>
      </c>
      <c r="C3895" t="s">
        <v>135</v>
      </c>
      <c r="D3895">
        <v>2011</v>
      </c>
      <c r="E3895">
        <v>20.367000000000001</v>
      </c>
      <c r="F3895" t="s">
        <v>191</v>
      </c>
    </row>
    <row r="3896" spans="1:6" x14ac:dyDescent="0.25">
      <c r="A3896" t="s">
        <v>169</v>
      </c>
      <c r="B3896" t="s">
        <v>190</v>
      </c>
      <c r="C3896" t="s">
        <v>135</v>
      </c>
      <c r="D3896">
        <v>2010</v>
      </c>
      <c r="E3896">
        <v>20.434000000000001</v>
      </c>
      <c r="F3896" t="s">
        <v>191</v>
      </c>
    </row>
    <row r="3897" spans="1:6" x14ac:dyDescent="0.25">
      <c r="A3897" t="s">
        <v>169</v>
      </c>
      <c r="B3897" t="s">
        <v>190</v>
      </c>
      <c r="C3897" t="s">
        <v>136</v>
      </c>
      <c r="D3897">
        <v>2014</v>
      </c>
      <c r="E3897">
        <v>0.17599999999999999</v>
      </c>
      <c r="F3897" t="s">
        <v>191</v>
      </c>
    </row>
    <row r="3898" spans="1:6" x14ac:dyDescent="0.25">
      <c r="A3898" t="s">
        <v>169</v>
      </c>
      <c r="B3898" t="s">
        <v>190</v>
      </c>
      <c r="C3898" t="s">
        <v>136</v>
      </c>
      <c r="D3898">
        <v>2013</v>
      </c>
      <c r="E3898">
        <v>0.20399999999999999</v>
      </c>
      <c r="F3898" t="s">
        <v>191</v>
      </c>
    </row>
    <row r="3899" spans="1:6" x14ac:dyDescent="0.25">
      <c r="A3899" t="s">
        <v>169</v>
      </c>
      <c r="B3899" t="s">
        <v>190</v>
      </c>
      <c r="C3899" t="s">
        <v>136</v>
      </c>
      <c r="D3899">
        <v>2012</v>
      </c>
      <c r="E3899">
        <v>0.16</v>
      </c>
      <c r="F3899" t="s">
        <v>191</v>
      </c>
    </row>
    <row r="3900" spans="1:6" x14ac:dyDescent="0.25">
      <c r="A3900" t="s">
        <v>169</v>
      </c>
      <c r="B3900" t="s">
        <v>190</v>
      </c>
      <c r="C3900" t="s">
        <v>136</v>
      </c>
      <c r="D3900">
        <v>2011</v>
      </c>
      <c r="E3900">
        <v>0.17100000000000001</v>
      </c>
      <c r="F3900" t="s">
        <v>191</v>
      </c>
    </row>
    <row r="3901" spans="1:6" x14ac:dyDescent="0.25">
      <c r="A3901" t="s">
        <v>169</v>
      </c>
      <c r="B3901" t="s">
        <v>190</v>
      </c>
      <c r="C3901" t="s">
        <v>136</v>
      </c>
      <c r="D3901">
        <v>2010</v>
      </c>
      <c r="E3901">
        <v>0.14000000000000001</v>
      </c>
      <c r="F3901" t="s">
        <v>191</v>
      </c>
    </row>
    <row r="3902" spans="1:6" x14ac:dyDescent="0.25">
      <c r="A3902" t="s">
        <v>169</v>
      </c>
      <c r="B3902" t="s">
        <v>190</v>
      </c>
      <c r="C3902" t="s">
        <v>137</v>
      </c>
      <c r="D3902">
        <v>2014</v>
      </c>
      <c r="E3902">
        <v>7.0640000000000001</v>
      </c>
      <c r="F3902" t="s">
        <v>191</v>
      </c>
    </row>
    <row r="3903" spans="1:6" x14ac:dyDescent="0.25">
      <c r="A3903" t="s">
        <v>169</v>
      </c>
      <c r="B3903" t="s">
        <v>190</v>
      </c>
      <c r="C3903" t="s">
        <v>137</v>
      </c>
      <c r="D3903">
        <v>2013</v>
      </c>
      <c r="E3903">
        <v>8.109</v>
      </c>
      <c r="F3903" t="s">
        <v>191</v>
      </c>
    </row>
    <row r="3904" spans="1:6" x14ac:dyDescent="0.25">
      <c r="A3904" t="s">
        <v>169</v>
      </c>
      <c r="B3904" t="s">
        <v>190</v>
      </c>
      <c r="C3904" t="s">
        <v>137</v>
      </c>
      <c r="D3904">
        <v>2012</v>
      </c>
      <c r="E3904">
        <v>9.9640000000000004</v>
      </c>
      <c r="F3904" t="s">
        <v>191</v>
      </c>
    </row>
    <row r="3905" spans="1:6" x14ac:dyDescent="0.25">
      <c r="A3905" t="s">
        <v>169</v>
      </c>
      <c r="B3905" t="s">
        <v>190</v>
      </c>
      <c r="C3905" t="s">
        <v>137</v>
      </c>
      <c r="D3905">
        <v>2011</v>
      </c>
      <c r="E3905">
        <v>10.196</v>
      </c>
      <c r="F3905" t="s">
        <v>191</v>
      </c>
    </row>
    <row r="3906" spans="1:6" x14ac:dyDescent="0.25">
      <c r="A3906" t="s">
        <v>169</v>
      </c>
      <c r="B3906" t="s">
        <v>190</v>
      </c>
      <c r="C3906" t="s">
        <v>137</v>
      </c>
      <c r="D3906">
        <v>2010</v>
      </c>
      <c r="E3906">
        <v>11.840999999999999</v>
      </c>
      <c r="F3906" t="s">
        <v>191</v>
      </c>
    </row>
    <row r="3907" spans="1:6" x14ac:dyDescent="0.25">
      <c r="A3907" t="s">
        <v>169</v>
      </c>
      <c r="B3907" t="s">
        <v>190</v>
      </c>
      <c r="C3907" t="s">
        <v>138</v>
      </c>
      <c r="D3907">
        <v>2014</v>
      </c>
      <c r="E3907">
        <v>3.5049999999999999</v>
      </c>
      <c r="F3907" t="s">
        <v>191</v>
      </c>
    </row>
    <row r="3908" spans="1:6" x14ac:dyDescent="0.25">
      <c r="A3908" t="s">
        <v>169</v>
      </c>
      <c r="B3908" t="s">
        <v>190</v>
      </c>
      <c r="C3908" t="s">
        <v>138</v>
      </c>
      <c r="D3908">
        <v>2013</v>
      </c>
      <c r="E3908">
        <v>3.7240000000000002</v>
      </c>
      <c r="F3908" t="s">
        <v>191</v>
      </c>
    </row>
    <row r="3909" spans="1:6" x14ac:dyDescent="0.25">
      <c r="A3909" t="s">
        <v>169</v>
      </c>
      <c r="B3909" t="s">
        <v>190</v>
      </c>
      <c r="C3909" t="s">
        <v>138</v>
      </c>
      <c r="D3909">
        <v>2012</v>
      </c>
      <c r="E3909">
        <v>3.7480000000000002</v>
      </c>
      <c r="F3909" t="s">
        <v>191</v>
      </c>
    </row>
    <row r="3910" spans="1:6" x14ac:dyDescent="0.25">
      <c r="A3910" t="s">
        <v>169</v>
      </c>
      <c r="B3910" t="s">
        <v>190</v>
      </c>
      <c r="C3910" t="s">
        <v>138</v>
      </c>
      <c r="D3910">
        <v>2011</v>
      </c>
      <c r="E3910">
        <v>3.9430000000000001</v>
      </c>
      <c r="F3910" t="s">
        <v>191</v>
      </c>
    </row>
    <row r="3911" spans="1:6" x14ac:dyDescent="0.25">
      <c r="A3911" t="s">
        <v>169</v>
      </c>
      <c r="B3911" t="s">
        <v>190</v>
      </c>
      <c r="C3911" t="s">
        <v>138</v>
      </c>
      <c r="D3911">
        <v>2010</v>
      </c>
      <c r="E3911">
        <v>4.1870000000000003</v>
      </c>
      <c r="F3911" t="s">
        <v>191</v>
      </c>
    </row>
    <row r="3912" spans="1:6" x14ac:dyDescent="0.25">
      <c r="A3912" t="s">
        <v>169</v>
      </c>
      <c r="B3912" t="s">
        <v>190</v>
      </c>
      <c r="C3912" t="s">
        <v>164</v>
      </c>
      <c r="D3912">
        <v>2014</v>
      </c>
      <c r="E3912">
        <v>0</v>
      </c>
      <c r="F3912" t="s">
        <v>191</v>
      </c>
    </row>
    <row r="3913" spans="1:6" x14ac:dyDescent="0.25">
      <c r="A3913" t="s">
        <v>169</v>
      </c>
      <c r="B3913" t="s">
        <v>190</v>
      </c>
      <c r="C3913" t="s">
        <v>164</v>
      </c>
      <c r="D3913">
        <v>2013</v>
      </c>
      <c r="E3913">
        <v>0</v>
      </c>
      <c r="F3913" t="s">
        <v>191</v>
      </c>
    </row>
    <row r="3914" spans="1:6" x14ac:dyDescent="0.25">
      <c r="A3914" t="s">
        <v>169</v>
      </c>
      <c r="B3914" t="s">
        <v>190</v>
      </c>
      <c r="C3914" t="s">
        <v>164</v>
      </c>
      <c r="D3914">
        <v>2012</v>
      </c>
      <c r="E3914">
        <v>0</v>
      </c>
      <c r="F3914" t="s">
        <v>191</v>
      </c>
    </row>
    <row r="3915" spans="1:6" x14ac:dyDescent="0.25">
      <c r="A3915" t="s">
        <v>169</v>
      </c>
      <c r="B3915" t="s">
        <v>190</v>
      </c>
      <c r="C3915" t="s">
        <v>164</v>
      </c>
      <c r="D3915">
        <v>2011</v>
      </c>
      <c r="E3915">
        <v>0</v>
      </c>
      <c r="F3915" t="s">
        <v>191</v>
      </c>
    </row>
    <row r="3916" spans="1:6" x14ac:dyDescent="0.25">
      <c r="A3916" t="s">
        <v>169</v>
      </c>
      <c r="B3916" t="s">
        <v>190</v>
      </c>
      <c r="C3916" t="s">
        <v>164</v>
      </c>
      <c r="D3916">
        <v>2010</v>
      </c>
      <c r="E3916">
        <v>0</v>
      </c>
      <c r="F3916" t="s">
        <v>191</v>
      </c>
    </row>
    <row r="3917" spans="1:6" x14ac:dyDescent="0.25">
      <c r="A3917" t="s">
        <v>169</v>
      </c>
      <c r="B3917" t="s">
        <v>190</v>
      </c>
      <c r="C3917" t="s">
        <v>139</v>
      </c>
      <c r="D3917">
        <v>2014</v>
      </c>
      <c r="E3917">
        <v>1.5780000000000001</v>
      </c>
      <c r="F3917" t="s">
        <v>191</v>
      </c>
    </row>
    <row r="3918" spans="1:6" x14ac:dyDescent="0.25">
      <c r="A3918" t="s">
        <v>169</v>
      </c>
      <c r="B3918" t="s">
        <v>190</v>
      </c>
      <c r="C3918" t="s">
        <v>139</v>
      </c>
      <c r="D3918">
        <v>2013</v>
      </c>
      <c r="E3918">
        <v>1.1879999999999999</v>
      </c>
      <c r="F3918" t="s">
        <v>191</v>
      </c>
    </row>
    <row r="3919" spans="1:6" x14ac:dyDescent="0.25">
      <c r="A3919" t="s">
        <v>169</v>
      </c>
      <c r="B3919" t="s">
        <v>190</v>
      </c>
      <c r="C3919" t="s">
        <v>139</v>
      </c>
      <c r="D3919">
        <v>2012</v>
      </c>
      <c r="E3919">
        <v>1.589</v>
      </c>
      <c r="F3919" t="s">
        <v>191</v>
      </c>
    </row>
    <row r="3920" spans="1:6" x14ac:dyDescent="0.25">
      <c r="A3920" t="s">
        <v>169</v>
      </c>
      <c r="B3920" t="s">
        <v>190</v>
      </c>
      <c r="C3920" t="s">
        <v>139</v>
      </c>
      <c r="D3920">
        <v>2011</v>
      </c>
      <c r="E3920">
        <v>2.2959999999999998</v>
      </c>
      <c r="F3920" t="s">
        <v>191</v>
      </c>
    </row>
    <row r="3921" spans="1:6" x14ac:dyDescent="0.25">
      <c r="A3921" t="s">
        <v>169</v>
      </c>
      <c r="B3921" t="s">
        <v>190</v>
      </c>
      <c r="C3921" t="s">
        <v>139</v>
      </c>
      <c r="D3921">
        <v>2010</v>
      </c>
      <c r="E3921">
        <v>2.9729999999999999</v>
      </c>
      <c r="F3921" t="s">
        <v>191</v>
      </c>
    </row>
    <row r="3922" spans="1:6" x14ac:dyDescent="0.25">
      <c r="A3922" t="s">
        <v>169</v>
      </c>
      <c r="B3922" t="s">
        <v>190</v>
      </c>
      <c r="C3922" t="s">
        <v>165</v>
      </c>
      <c r="D3922">
        <v>2014</v>
      </c>
      <c r="E3922">
        <v>0</v>
      </c>
      <c r="F3922" t="s">
        <v>191</v>
      </c>
    </row>
    <row r="3923" spans="1:6" x14ac:dyDescent="0.25">
      <c r="A3923" t="s">
        <v>169</v>
      </c>
      <c r="B3923" t="s">
        <v>190</v>
      </c>
      <c r="C3923" t="s">
        <v>165</v>
      </c>
      <c r="D3923">
        <v>2013</v>
      </c>
      <c r="E3923">
        <v>0</v>
      </c>
      <c r="F3923" t="s">
        <v>191</v>
      </c>
    </row>
    <row r="3924" spans="1:6" x14ac:dyDescent="0.25">
      <c r="A3924" t="s">
        <v>169</v>
      </c>
      <c r="B3924" t="s">
        <v>190</v>
      </c>
      <c r="C3924" t="s">
        <v>165</v>
      </c>
      <c r="D3924">
        <v>2012</v>
      </c>
      <c r="E3924">
        <v>0</v>
      </c>
      <c r="F3924" t="s">
        <v>191</v>
      </c>
    </row>
    <row r="3925" spans="1:6" x14ac:dyDescent="0.25">
      <c r="A3925" t="s">
        <v>169</v>
      </c>
      <c r="B3925" t="s">
        <v>190</v>
      </c>
      <c r="C3925" t="s">
        <v>165</v>
      </c>
      <c r="D3925">
        <v>2011</v>
      </c>
      <c r="E3925">
        <v>0</v>
      </c>
      <c r="F3925" t="s">
        <v>191</v>
      </c>
    </row>
    <row r="3926" spans="1:6" x14ac:dyDescent="0.25">
      <c r="A3926" t="s">
        <v>169</v>
      </c>
      <c r="B3926" t="s">
        <v>190</v>
      </c>
      <c r="C3926" t="s">
        <v>165</v>
      </c>
      <c r="D3926">
        <v>2010</v>
      </c>
      <c r="E3926">
        <v>0</v>
      </c>
      <c r="F3926" t="s">
        <v>191</v>
      </c>
    </row>
    <row r="3927" spans="1:6" x14ac:dyDescent="0.25">
      <c r="A3927" t="s">
        <v>169</v>
      </c>
      <c r="B3927" t="s">
        <v>190</v>
      </c>
      <c r="C3927" t="s">
        <v>140</v>
      </c>
      <c r="D3927">
        <v>2014</v>
      </c>
      <c r="E3927">
        <v>20.802</v>
      </c>
      <c r="F3927" t="s">
        <v>191</v>
      </c>
    </row>
    <row r="3928" spans="1:6" x14ac:dyDescent="0.25">
      <c r="A3928" t="s">
        <v>169</v>
      </c>
      <c r="B3928" t="s">
        <v>190</v>
      </c>
      <c r="C3928" t="s">
        <v>140</v>
      </c>
      <c r="D3928">
        <v>2013</v>
      </c>
      <c r="E3928">
        <v>18.646000000000001</v>
      </c>
      <c r="F3928" t="s">
        <v>191</v>
      </c>
    </row>
    <row r="3929" spans="1:6" x14ac:dyDescent="0.25">
      <c r="A3929" t="s">
        <v>169</v>
      </c>
      <c r="B3929" t="s">
        <v>190</v>
      </c>
      <c r="C3929" t="s">
        <v>140</v>
      </c>
      <c r="D3929">
        <v>2012</v>
      </c>
      <c r="E3929">
        <v>17.321999999999999</v>
      </c>
      <c r="F3929" t="s">
        <v>191</v>
      </c>
    </row>
    <row r="3930" spans="1:6" x14ac:dyDescent="0.25">
      <c r="A3930" t="s">
        <v>169</v>
      </c>
      <c r="B3930" t="s">
        <v>190</v>
      </c>
      <c r="C3930" t="s">
        <v>140</v>
      </c>
      <c r="D3930">
        <v>2011</v>
      </c>
      <c r="E3930">
        <v>23.895</v>
      </c>
      <c r="F3930" t="s">
        <v>191</v>
      </c>
    </row>
    <row r="3931" spans="1:6" x14ac:dyDescent="0.25">
      <c r="A3931" t="s">
        <v>169</v>
      </c>
      <c r="B3931" t="s">
        <v>190</v>
      </c>
      <c r="C3931" t="s">
        <v>140</v>
      </c>
      <c r="D3931">
        <v>2010</v>
      </c>
      <c r="E3931">
        <v>25.300999999999998</v>
      </c>
      <c r="F3931" t="s">
        <v>191</v>
      </c>
    </row>
    <row r="3932" spans="1:6" x14ac:dyDescent="0.25">
      <c r="A3932" t="s">
        <v>169</v>
      </c>
      <c r="B3932" t="s">
        <v>190</v>
      </c>
      <c r="C3932" t="s">
        <v>141</v>
      </c>
      <c r="D3932">
        <v>2014</v>
      </c>
      <c r="E3932">
        <v>16.937999999999999</v>
      </c>
      <c r="F3932" t="s">
        <v>191</v>
      </c>
    </row>
    <row r="3933" spans="1:6" x14ac:dyDescent="0.25">
      <c r="A3933" t="s">
        <v>169</v>
      </c>
      <c r="B3933" t="s">
        <v>190</v>
      </c>
      <c r="C3933" t="s">
        <v>141</v>
      </c>
      <c r="D3933">
        <v>2013</v>
      </c>
      <c r="E3933">
        <v>16.111999999999998</v>
      </c>
      <c r="F3933" t="s">
        <v>191</v>
      </c>
    </row>
    <row r="3934" spans="1:6" x14ac:dyDescent="0.25">
      <c r="A3934" t="s">
        <v>169</v>
      </c>
      <c r="B3934" t="s">
        <v>190</v>
      </c>
      <c r="C3934" t="s">
        <v>141</v>
      </c>
      <c r="D3934">
        <v>2012</v>
      </c>
      <c r="E3934">
        <v>13.286</v>
      </c>
      <c r="F3934" t="s">
        <v>191</v>
      </c>
    </row>
    <row r="3935" spans="1:6" x14ac:dyDescent="0.25">
      <c r="A3935" t="s">
        <v>169</v>
      </c>
      <c r="B3935" t="s">
        <v>190</v>
      </c>
      <c r="C3935" t="s">
        <v>141</v>
      </c>
      <c r="D3935">
        <v>2011</v>
      </c>
      <c r="E3935">
        <v>14.436</v>
      </c>
      <c r="F3935" t="s">
        <v>191</v>
      </c>
    </row>
    <row r="3936" spans="1:6" x14ac:dyDescent="0.25">
      <c r="A3936" t="s">
        <v>169</v>
      </c>
      <c r="B3936" t="s">
        <v>190</v>
      </c>
      <c r="C3936" t="s">
        <v>141</v>
      </c>
      <c r="D3936">
        <v>2010</v>
      </c>
      <c r="E3936">
        <v>16.413</v>
      </c>
      <c r="F3936" t="s">
        <v>191</v>
      </c>
    </row>
    <row r="3937" spans="1:6" x14ac:dyDescent="0.25">
      <c r="A3937" t="s">
        <v>169</v>
      </c>
      <c r="B3937" t="s">
        <v>190</v>
      </c>
      <c r="C3937" t="s">
        <v>142</v>
      </c>
      <c r="D3937">
        <v>2014</v>
      </c>
      <c r="E3937">
        <v>100.6</v>
      </c>
      <c r="F3937" t="s">
        <v>191</v>
      </c>
    </row>
    <row r="3938" spans="1:6" x14ac:dyDescent="0.25">
      <c r="A3938" t="s">
        <v>169</v>
      </c>
      <c r="B3938" t="s">
        <v>190</v>
      </c>
      <c r="C3938" t="s">
        <v>142</v>
      </c>
      <c r="D3938">
        <v>2013</v>
      </c>
      <c r="E3938">
        <v>110.892</v>
      </c>
      <c r="F3938" t="s">
        <v>191</v>
      </c>
    </row>
    <row r="3939" spans="1:6" x14ac:dyDescent="0.25">
      <c r="A3939" t="s">
        <v>169</v>
      </c>
      <c r="B3939" t="s">
        <v>190</v>
      </c>
      <c r="C3939" t="s">
        <v>142</v>
      </c>
      <c r="D3939">
        <v>2012</v>
      </c>
      <c r="E3939">
        <v>113.87</v>
      </c>
      <c r="F3939" t="s">
        <v>191</v>
      </c>
    </row>
    <row r="3940" spans="1:6" x14ac:dyDescent="0.25">
      <c r="A3940" t="s">
        <v>169</v>
      </c>
      <c r="B3940" t="s">
        <v>190</v>
      </c>
      <c r="C3940" t="s">
        <v>142</v>
      </c>
      <c r="D3940">
        <v>2011</v>
      </c>
      <c r="E3940">
        <v>106.249</v>
      </c>
      <c r="F3940" t="s">
        <v>191</v>
      </c>
    </row>
    <row r="3941" spans="1:6" x14ac:dyDescent="0.25">
      <c r="A3941" t="s">
        <v>169</v>
      </c>
      <c r="B3941" t="s">
        <v>190</v>
      </c>
      <c r="C3941" t="s">
        <v>142</v>
      </c>
      <c r="D3941">
        <v>2010</v>
      </c>
      <c r="E3941">
        <v>129.983</v>
      </c>
      <c r="F3941" t="s">
        <v>191</v>
      </c>
    </row>
    <row r="3942" spans="1:6" x14ac:dyDescent="0.25">
      <c r="A3942" t="s">
        <v>169</v>
      </c>
      <c r="B3942" t="s">
        <v>190</v>
      </c>
      <c r="C3942" t="s">
        <v>166</v>
      </c>
      <c r="D3942">
        <v>2014</v>
      </c>
      <c r="E3942">
        <v>0</v>
      </c>
      <c r="F3942" t="s">
        <v>191</v>
      </c>
    </row>
    <row r="3943" spans="1:6" x14ac:dyDescent="0.25">
      <c r="A3943" t="s">
        <v>169</v>
      </c>
      <c r="B3943" t="s">
        <v>190</v>
      </c>
      <c r="C3943" t="s">
        <v>166</v>
      </c>
      <c r="D3943">
        <v>2013</v>
      </c>
      <c r="E3943">
        <v>0</v>
      </c>
      <c r="F3943" t="s">
        <v>191</v>
      </c>
    </row>
    <row r="3944" spans="1:6" x14ac:dyDescent="0.25">
      <c r="A3944" t="s">
        <v>169</v>
      </c>
      <c r="B3944" t="s">
        <v>190</v>
      </c>
      <c r="C3944" t="s">
        <v>166</v>
      </c>
      <c r="D3944">
        <v>2012</v>
      </c>
      <c r="E3944">
        <v>0</v>
      </c>
      <c r="F3944" t="s">
        <v>191</v>
      </c>
    </row>
    <row r="3945" spans="1:6" x14ac:dyDescent="0.25">
      <c r="A3945" t="s">
        <v>169</v>
      </c>
      <c r="B3945" t="s">
        <v>190</v>
      </c>
      <c r="C3945" t="s">
        <v>166</v>
      </c>
      <c r="D3945">
        <v>2011</v>
      </c>
      <c r="E3945">
        <v>0</v>
      </c>
      <c r="F3945" t="s">
        <v>191</v>
      </c>
    </row>
    <row r="3946" spans="1:6" x14ac:dyDescent="0.25">
      <c r="A3946" t="s">
        <v>169</v>
      </c>
      <c r="B3946" t="s">
        <v>190</v>
      </c>
      <c r="C3946" t="s">
        <v>166</v>
      </c>
      <c r="D3946">
        <v>2010</v>
      </c>
      <c r="E3946">
        <v>0</v>
      </c>
      <c r="F3946" t="s">
        <v>191</v>
      </c>
    </row>
    <row r="3947" spans="1:6" x14ac:dyDescent="0.25">
      <c r="A3947" t="s">
        <v>169</v>
      </c>
      <c r="B3947" t="s">
        <v>190</v>
      </c>
      <c r="C3947" t="s">
        <v>143</v>
      </c>
      <c r="D3947">
        <v>2014</v>
      </c>
      <c r="E3947">
        <v>13.619</v>
      </c>
      <c r="F3947" t="s">
        <v>191</v>
      </c>
    </row>
    <row r="3948" spans="1:6" x14ac:dyDescent="0.25">
      <c r="A3948" t="s">
        <v>169</v>
      </c>
      <c r="B3948" t="s">
        <v>190</v>
      </c>
      <c r="C3948" t="s">
        <v>143</v>
      </c>
      <c r="D3948">
        <v>2013</v>
      </c>
      <c r="E3948">
        <v>15.807</v>
      </c>
      <c r="F3948" t="s">
        <v>191</v>
      </c>
    </row>
    <row r="3949" spans="1:6" x14ac:dyDescent="0.25">
      <c r="A3949" t="s">
        <v>169</v>
      </c>
      <c r="B3949" t="s">
        <v>190</v>
      </c>
      <c r="C3949" t="s">
        <v>143</v>
      </c>
      <c r="D3949">
        <v>2012</v>
      </c>
      <c r="E3949">
        <v>16.931999999999999</v>
      </c>
      <c r="F3949" t="s">
        <v>191</v>
      </c>
    </row>
    <row r="3950" spans="1:6" x14ac:dyDescent="0.25">
      <c r="A3950" t="s">
        <v>169</v>
      </c>
      <c r="B3950" t="s">
        <v>190</v>
      </c>
      <c r="C3950" t="s">
        <v>143</v>
      </c>
      <c r="D3950">
        <v>2011</v>
      </c>
      <c r="E3950">
        <v>18.114000000000001</v>
      </c>
      <c r="F3950" t="s">
        <v>191</v>
      </c>
    </row>
    <row r="3951" spans="1:6" x14ac:dyDescent="0.25">
      <c r="A3951" t="s">
        <v>169</v>
      </c>
      <c r="B3951" t="s">
        <v>190</v>
      </c>
      <c r="C3951" t="s">
        <v>143</v>
      </c>
      <c r="D3951">
        <v>2010</v>
      </c>
      <c r="E3951">
        <v>20.39</v>
      </c>
      <c r="F3951" t="s">
        <v>191</v>
      </c>
    </row>
    <row r="3952" spans="1:6" x14ac:dyDescent="0.25">
      <c r="A3952" t="s">
        <v>169</v>
      </c>
      <c r="B3952" t="s">
        <v>190</v>
      </c>
      <c r="C3952" t="s">
        <v>144</v>
      </c>
      <c r="D3952">
        <v>2014</v>
      </c>
      <c r="E3952">
        <v>22.545000000000002</v>
      </c>
      <c r="F3952" t="s">
        <v>191</v>
      </c>
    </row>
    <row r="3953" spans="1:6" x14ac:dyDescent="0.25">
      <c r="A3953" t="s">
        <v>169</v>
      </c>
      <c r="B3953" t="s">
        <v>190</v>
      </c>
      <c r="C3953" t="s">
        <v>144</v>
      </c>
      <c r="D3953">
        <v>2013</v>
      </c>
      <c r="E3953">
        <v>25.594000000000001</v>
      </c>
      <c r="F3953" t="s">
        <v>191</v>
      </c>
    </row>
    <row r="3954" spans="1:6" x14ac:dyDescent="0.25">
      <c r="A3954" t="s">
        <v>169</v>
      </c>
      <c r="B3954" t="s">
        <v>190</v>
      </c>
      <c r="C3954" t="s">
        <v>144</v>
      </c>
      <c r="D3954">
        <v>2012</v>
      </c>
      <c r="E3954">
        <v>26.222999999999999</v>
      </c>
      <c r="F3954" t="s">
        <v>191</v>
      </c>
    </row>
    <row r="3955" spans="1:6" x14ac:dyDescent="0.25">
      <c r="A3955" t="s">
        <v>169</v>
      </c>
      <c r="B3955" t="s">
        <v>190</v>
      </c>
      <c r="C3955" t="s">
        <v>144</v>
      </c>
      <c r="D3955">
        <v>2011</v>
      </c>
      <c r="E3955">
        <v>28.928999999999998</v>
      </c>
      <c r="F3955" t="s">
        <v>191</v>
      </c>
    </row>
    <row r="3956" spans="1:6" x14ac:dyDescent="0.25">
      <c r="A3956" t="s">
        <v>169</v>
      </c>
      <c r="B3956" t="s">
        <v>190</v>
      </c>
      <c r="C3956" t="s">
        <v>144</v>
      </c>
      <c r="D3956">
        <v>2010</v>
      </c>
      <c r="E3956">
        <v>27.062000000000001</v>
      </c>
      <c r="F3956" t="s">
        <v>191</v>
      </c>
    </row>
    <row r="3957" spans="1:6" x14ac:dyDescent="0.25">
      <c r="A3957" t="s">
        <v>169</v>
      </c>
      <c r="B3957" t="s">
        <v>190</v>
      </c>
      <c r="C3957" t="s">
        <v>145</v>
      </c>
      <c r="D3957">
        <v>2014</v>
      </c>
      <c r="E3957">
        <v>51.462000000000003</v>
      </c>
      <c r="F3957" t="s">
        <v>191</v>
      </c>
    </row>
    <row r="3958" spans="1:6" x14ac:dyDescent="0.25">
      <c r="A3958" t="s">
        <v>169</v>
      </c>
      <c r="B3958" t="s">
        <v>190</v>
      </c>
      <c r="C3958" t="s">
        <v>145</v>
      </c>
      <c r="D3958">
        <v>2013</v>
      </c>
      <c r="E3958">
        <v>52.557000000000002</v>
      </c>
      <c r="F3958" t="s">
        <v>191</v>
      </c>
    </row>
    <row r="3959" spans="1:6" x14ac:dyDescent="0.25">
      <c r="A3959" t="s">
        <v>169</v>
      </c>
      <c r="B3959" t="s">
        <v>190</v>
      </c>
      <c r="C3959" t="s">
        <v>145</v>
      </c>
      <c r="D3959">
        <v>2012</v>
      </c>
      <c r="E3959">
        <v>60.683</v>
      </c>
      <c r="F3959" t="s">
        <v>191</v>
      </c>
    </row>
    <row r="3960" spans="1:6" x14ac:dyDescent="0.25">
      <c r="A3960" t="s">
        <v>169</v>
      </c>
      <c r="B3960" t="s">
        <v>190</v>
      </c>
      <c r="C3960" t="s">
        <v>145</v>
      </c>
      <c r="D3960">
        <v>2011</v>
      </c>
      <c r="E3960">
        <v>56.392000000000003</v>
      </c>
      <c r="F3960" t="s">
        <v>191</v>
      </c>
    </row>
    <row r="3961" spans="1:6" x14ac:dyDescent="0.25">
      <c r="A3961" t="s">
        <v>169</v>
      </c>
      <c r="B3961" t="s">
        <v>190</v>
      </c>
      <c r="C3961" t="s">
        <v>145</v>
      </c>
      <c r="D3961">
        <v>2010</v>
      </c>
      <c r="E3961">
        <v>72.168000000000006</v>
      </c>
      <c r="F3961" t="s">
        <v>191</v>
      </c>
    </row>
    <row r="3962" spans="1:6" x14ac:dyDescent="0.25">
      <c r="A3962" t="s">
        <v>169</v>
      </c>
      <c r="B3962" t="s">
        <v>190</v>
      </c>
      <c r="C3962" t="s">
        <v>146</v>
      </c>
      <c r="D3962">
        <v>2014</v>
      </c>
      <c r="E3962">
        <v>1.8120000000000001</v>
      </c>
      <c r="F3962" t="s">
        <v>191</v>
      </c>
    </row>
    <row r="3963" spans="1:6" x14ac:dyDescent="0.25">
      <c r="A3963" t="s">
        <v>169</v>
      </c>
      <c r="B3963" t="s">
        <v>190</v>
      </c>
      <c r="C3963" t="s">
        <v>146</v>
      </c>
      <c r="D3963">
        <v>2013</v>
      </c>
      <c r="E3963">
        <v>2.1789999999999998</v>
      </c>
      <c r="F3963" t="s">
        <v>191</v>
      </c>
    </row>
    <row r="3964" spans="1:6" x14ac:dyDescent="0.25">
      <c r="A3964" t="s">
        <v>169</v>
      </c>
      <c r="B3964" t="s">
        <v>190</v>
      </c>
      <c r="C3964" t="s">
        <v>146</v>
      </c>
      <c r="D3964">
        <v>2012</v>
      </c>
      <c r="E3964">
        <v>2.3210000000000002</v>
      </c>
      <c r="F3964" t="s">
        <v>191</v>
      </c>
    </row>
    <row r="3965" spans="1:6" x14ac:dyDescent="0.25">
      <c r="A3965" t="s">
        <v>169</v>
      </c>
      <c r="B3965" t="s">
        <v>190</v>
      </c>
      <c r="C3965" t="s">
        <v>146</v>
      </c>
      <c r="D3965">
        <v>2011</v>
      </c>
      <c r="E3965">
        <v>2.3090000000000002</v>
      </c>
      <c r="F3965" t="s">
        <v>191</v>
      </c>
    </row>
    <row r="3966" spans="1:6" x14ac:dyDescent="0.25">
      <c r="A3966" t="s">
        <v>169</v>
      </c>
      <c r="B3966" t="s">
        <v>190</v>
      </c>
      <c r="C3966" t="s">
        <v>146</v>
      </c>
      <c r="D3966">
        <v>2010</v>
      </c>
      <c r="E3966">
        <v>2.1190000000000002</v>
      </c>
      <c r="F3966" t="s">
        <v>191</v>
      </c>
    </row>
    <row r="3967" spans="1:6" x14ac:dyDescent="0.25">
      <c r="A3967" t="s">
        <v>169</v>
      </c>
      <c r="B3967" t="s">
        <v>190</v>
      </c>
      <c r="C3967" t="s">
        <v>147</v>
      </c>
      <c r="D3967">
        <v>2014</v>
      </c>
      <c r="E3967">
        <v>10.862</v>
      </c>
      <c r="F3967" t="s">
        <v>191</v>
      </c>
    </row>
    <row r="3968" spans="1:6" x14ac:dyDescent="0.25">
      <c r="A3968" t="s">
        <v>169</v>
      </c>
      <c r="B3968" t="s">
        <v>190</v>
      </c>
      <c r="C3968" t="s">
        <v>147</v>
      </c>
      <c r="D3968">
        <v>2013</v>
      </c>
      <c r="E3968">
        <v>12.86</v>
      </c>
      <c r="F3968" t="s">
        <v>191</v>
      </c>
    </row>
    <row r="3969" spans="1:6" x14ac:dyDescent="0.25">
      <c r="A3969" t="s">
        <v>169</v>
      </c>
      <c r="B3969" t="s">
        <v>190</v>
      </c>
      <c r="C3969" t="s">
        <v>147</v>
      </c>
      <c r="D3969">
        <v>2012</v>
      </c>
      <c r="E3969">
        <v>14.859</v>
      </c>
      <c r="F3969" t="s">
        <v>191</v>
      </c>
    </row>
    <row r="3970" spans="1:6" x14ac:dyDescent="0.25">
      <c r="A3970" t="s">
        <v>169</v>
      </c>
      <c r="B3970" t="s">
        <v>190</v>
      </c>
      <c r="C3970" t="s">
        <v>147</v>
      </c>
      <c r="D3970">
        <v>2011</v>
      </c>
      <c r="E3970">
        <v>15.398</v>
      </c>
      <c r="F3970" t="s">
        <v>191</v>
      </c>
    </row>
    <row r="3971" spans="1:6" x14ac:dyDescent="0.25">
      <c r="A3971" t="s">
        <v>169</v>
      </c>
      <c r="B3971" t="s">
        <v>190</v>
      </c>
      <c r="C3971" t="s">
        <v>147</v>
      </c>
      <c r="D3971">
        <v>2010</v>
      </c>
      <c r="E3971">
        <v>18.204000000000001</v>
      </c>
      <c r="F3971" t="s">
        <v>191</v>
      </c>
    </row>
    <row r="3972" spans="1:6" x14ac:dyDescent="0.25">
      <c r="A3972" t="s">
        <v>169</v>
      </c>
      <c r="B3972" t="s">
        <v>190</v>
      </c>
      <c r="C3972" t="s">
        <v>167</v>
      </c>
      <c r="D3972">
        <v>2014</v>
      </c>
      <c r="E3972">
        <v>3.2519999999999998</v>
      </c>
      <c r="F3972" t="s">
        <v>191</v>
      </c>
    </row>
    <row r="3973" spans="1:6" x14ac:dyDescent="0.25">
      <c r="A3973" t="s">
        <v>169</v>
      </c>
      <c r="B3973" t="s">
        <v>190</v>
      </c>
      <c r="C3973" t="s">
        <v>167</v>
      </c>
      <c r="D3973">
        <v>2013</v>
      </c>
      <c r="E3973">
        <v>3.9929999999999999</v>
      </c>
      <c r="F3973" t="s">
        <v>191</v>
      </c>
    </row>
    <row r="3974" spans="1:6" x14ac:dyDescent="0.25">
      <c r="A3974" t="s">
        <v>169</v>
      </c>
      <c r="B3974" t="s">
        <v>190</v>
      </c>
      <c r="C3974" t="s">
        <v>167</v>
      </c>
      <c r="D3974">
        <v>2012</v>
      </c>
      <c r="E3974">
        <v>0</v>
      </c>
      <c r="F3974" t="s">
        <v>191</v>
      </c>
    </row>
    <row r="3975" spans="1:6" x14ac:dyDescent="0.25">
      <c r="A3975" t="s">
        <v>169</v>
      </c>
      <c r="B3975" t="s">
        <v>190</v>
      </c>
      <c r="C3975" t="s">
        <v>167</v>
      </c>
      <c r="D3975">
        <v>2011</v>
      </c>
      <c r="E3975">
        <v>0</v>
      </c>
      <c r="F3975" t="s">
        <v>191</v>
      </c>
    </row>
    <row r="3976" spans="1:6" x14ac:dyDescent="0.25">
      <c r="A3976" t="s">
        <v>169</v>
      </c>
      <c r="B3976" t="s">
        <v>190</v>
      </c>
      <c r="C3976" t="s">
        <v>167</v>
      </c>
      <c r="D3976">
        <v>2010</v>
      </c>
      <c r="E3976">
        <v>0</v>
      </c>
      <c r="F3976" t="s">
        <v>191</v>
      </c>
    </row>
    <row r="3977" spans="1:6" x14ac:dyDescent="0.25">
      <c r="A3977" t="s">
        <v>169</v>
      </c>
      <c r="B3977" t="s">
        <v>190</v>
      </c>
      <c r="C3977" t="s">
        <v>168</v>
      </c>
      <c r="D3977">
        <v>2014</v>
      </c>
      <c r="E3977">
        <v>261.803</v>
      </c>
      <c r="F3977" t="s">
        <v>191</v>
      </c>
    </row>
    <row r="3978" spans="1:6" x14ac:dyDescent="0.25">
      <c r="A3978" t="s">
        <v>169</v>
      </c>
      <c r="B3978" t="s">
        <v>190</v>
      </c>
      <c r="C3978" t="s">
        <v>168</v>
      </c>
      <c r="D3978">
        <v>2013</v>
      </c>
      <c r="E3978">
        <v>373.55200000000002</v>
      </c>
      <c r="F3978" t="s">
        <v>191</v>
      </c>
    </row>
    <row r="3979" spans="1:6" x14ac:dyDescent="0.25">
      <c r="A3979" t="s">
        <v>169</v>
      </c>
      <c r="B3979" t="s">
        <v>190</v>
      </c>
      <c r="C3979" t="s">
        <v>168</v>
      </c>
      <c r="D3979">
        <v>2012</v>
      </c>
      <c r="E3979">
        <v>392.19099999999997</v>
      </c>
      <c r="F3979" t="s">
        <v>191</v>
      </c>
    </row>
    <row r="3980" spans="1:6" x14ac:dyDescent="0.25">
      <c r="A3980" t="s">
        <v>169</v>
      </c>
      <c r="B3980" t="s">
        <v>190</v>
      </c>
      <c r="C3980" t="s">
        <v>168</v>
      </c>
      <c r="D3980">
        <v>2011</v>
      </c>
      <c r="E3980">
        <v>413.197</v>
      </c>
      <c r="F3980" t="s">
        <v>191</v>
      </c>
    </row>
    <row r="3981" spans="1:6" x14ac:dyDescent="0.25">
      <c r="A3981" t="s">
        <v>169</v>
      </c>
      <c r="B3981" t="s">
        <v>190</v>
      </c>
      <c r="C3981" t="s">
        <v>168</v>
      </c>
      <c r="D3981">
        <v>2010</v>
      </c>
      <c r="E3981">
        <v>416.4</v>
      </c>
      <c r="F3981" t="s">
        <v>191</v>
      </c>
    </row>
    <row r="3982" spans="1:6" x14ac:dyDescent="0.25">
      <c r="A3982" t="s">
        <v>169</v>
      </c>
      <c r="B3982" t="s">
        <v>190</v>
      </c>
      <c r="C3982" t="s">
        <v>148</v>
      </c>
      <c r="D3982">
        <v>2014</v>
      </c>
      <c r="E3982">
        <v>68.024000000000001</v>
      </c>
      <c r="F3982" t="s">
        <v>191</v>
      </c>
    </row>
    <row r="3983" spans="1:6" x14ac:dyDescent="0.25">
      <c r="A3983" t="s">
        <v>169</v>
      </c>
      <c r="B3983" t="s">
        <v>190</v>
      </c>
      <c r="C3983" t="s">
        <v>148</v>
      </c>
      <c r="D3983">
        <v>2013</v>
      </c>
      <c r="E3983">
        <v>64.117999999999995</v>
      </c>
      <c r="F3983" t="s">
        <v>191</v>
      </c>
    </row>
    <row r="3984" spans="1:6" x14ac:dyDescent="0.25">
      <c r="A3984" t="s">
        <v>169</v>
      </c>
      <c r="B3984" t="s">
        <v>190</v>
      </c>
      <c r="C3984" t="s">
        <v>148</v>
      </c>
      <c r="D3984">
        <v>2012</v>
      </c>
      <c r="E3984">
        <v>64.180999999999997</v>
      </c>
      <c r="F3984" t="s">
        <v>191</v>
      </c>
    </row>
    <row r="3985" spans="1:6" x14ac:dyDescent="0.25">
      <c r="A3985" t="s">
        <v>169</v>
      </c>
      <c r="B3985" t="s">
        <v>190</v>
      </c>
      <c r="C3985" t="s">
        <v>148</v>
      </c>
      <c r="D3985">
        <v>2011</v>
      </c>
      <c r="E3985">
        <v>58.122</v>
      </c>
      <c r="F3985" t="s">
        <v>191</v>
      </c>
    </row>
    <row r="3986" spans="1:6" x14ac:dyDescent="0.25">
      <c r="A3986" t="s">
        <v>169</v>
      </c>
      <c r="B3986" t="s">
        <v>190</v>
      </c>
      <c r="C3986" t="s">
        <v>148</v>
      </c>
      <c r="D3986">
        <v>2010</v>
      </c>
      <c r="E3986">
        <v>56.966999999999999</v>
      </c>
      <c r="F3986" t="s">
        <v>191</v>
      </c>
    </row>
    <row r="3987" spans="1:6" x14ac:dyDescent="0.25">
      <c r="A3987" t="s">
        <v>169</v>
      </c>
      <c r="B3987" t="s">
        <v>190</v>
      </c>
      <c r="C3987" t="s">
        <v>149</v>
      </c>
      <c r="D3987">
        <v>2014</v>
      </c>
      <c r="E3987">
        <v>0.249</v>
      </c>
      <c r="F3987" t="s">
        <v>191</v>
      </c>
    </row>
    <row r="3988" spans="1:6" x14ac:dyDescent="0.25">
      <c r="A3988" t="s">
        <v>169</v>
      </c>
      <c r="B3988" t="s">
        <v>190</v>
      </c>
      <c r="C3988" t="s">
        <v>149</v>
      </c>
      <c r="D3988">
        <v>2013</v>
      </c>
      <c r="E3988">
        <v>0.21099999999999999</v>
      </c>
      <c r="F3988" t="s">
        <v>191</v>
      </c>
    </row>
    <row r="3989" spans="1:6" x14ac:dyDescent="0.25">
      <c r="A3989" t="s">
        <v>169</v>
      </c>
      <c r="B3989" t="s">
        <v>190</v>
      </c>
      <c r="C3989" t="s">
        <v>149</v>
      </c>
      <c r="D3989">
        <v>2012</v>
      </c>
      <c r="E3989">
        <v>0.19500000000000001</v>
      </c>
      <c r="F3989" t="s">
        <v>191</v>
      </c>
    </row>
    <row r="3990" spans="1:6" x14ac:dyDescent="0.25">
      <c r="A3990" t="s">
        <v>169</v>
      </c>
      <c r="B3990" t="s">
        <v>190</v>
      </c>
      <c r="C3990" t="s">
        <v>149</v>
      </c>
      <c r="D3990">
        <v>2011</v>
      </c>
      <c r="E3990">
        <v>0.19</v>
      </c>
      <c r="F3990" t="s">
        <v>191</v>
      </c>
    </row>
    <row r="3991" spans="1:6" x14ac:dyDescent="0.25">
      <c r="A3991" t="s">
        <v>169</v>
      </c>
      <c r="B3991" t="s">
        <v>190</v>
      </c>
      <c r="C3991" t="s">
        <v>149</v>
      </c>
      <c r="D3991">
        <v>2010</v>
      </c>
      <c r="E3991">
        <v>0.23100000000000001</v>
      </c>
      <c r="F3991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A6EF33-0A62-4018-B0E5-CE69299ED3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A40DAB5-AAA5-4962-A7BB-D49032D079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7CB9DC4-5655-467B-8787-3A4535E00E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ELC_ExistingStock</vt:lpstr>
      <vt:lpstr>FuelTech</vt:lpstr>
      <vt:lpstr>Emissions</vt:lpstr>
      <vt:lpstr>Dist Heat</vt:lpstr>
      <vt:lpstr>distHeat for VEDA</vt:lpstr>
      <vt:lpstr>DistHeat-Pivot</vt:lpstr>
      <vt:lpstr>DistHeat-Eurostat dump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Danish Hameed</cp:lastModifiedBy>
  <dcterms:created xsi:type="dcterms:W3CDTF">2013-02-25T18:56:33Z</dcterms:created>
  <dcterms:modified xsi:type="dcterms:W3CDTF">2026-01-25T21:23:24Z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757366359233856</vt:r8>
  </property>
  <property fmtid="{D5CDD505-2E9C-101B-9397-08002B2CF9AE}" pid="3" name="ContentTypeId">
    <vt:lpwstr>0x01010074EFC6228ED6F043ACDD38E315A3264B</vt:lpwstr>
  </property>
</Properties>
</file>