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C5250446-8D97-444C-8FB1-6ED2DA4DE4F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33" i="4" l="1"/>
  <c r="B33" i="4"/>
  <c r="Q32" i="4"/>
  <c r="B32" i="4"/>
  <c r="Q31" i="4"/>
  <c r="Q30" i="4"/>
  <c r="B30" i="4"/>
  <c r="B31" i="4"/>
  <c r="H7" i="2"/>
  <c r="H6" i="2"/>
  <c r="Z22" i="3"/>
  <c r="Z21" i="3"/>
  <c r="J19" i="4"/>
  <c r="J7" i="4"/>
  <c r="I22" i="3"/>
  <c r="I4" i="4" l="1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8" i="4" l="1"/>
  <c r="B37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<sst xmlns="http://schemas.openxmlformats.org/spreadsheetml/2006/main" count="16698" uniqueCount="243">
  <si>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</si>
  <si>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</si>
  <si>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</si>
  <si>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</si>
  <si>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</si>
  <si>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</si>
  <si>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</si>
  <si>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</si>
  <si>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</si>
  <si>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</si>
  <si>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</si>
  <si>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</si>
  <si>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</si>
  <si>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</si>
  <si>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</si>
  <si>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</si>
  <si>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</si>
  <si>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</si>
  <si>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</si>
  <si>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</si>
  <si>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</si>
  <si>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</si>
  <si>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</si>
  <si>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</si>
  <si>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</si>
  <si>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</si>
  <si>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</si>
  <si>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</si>
  <si>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</si>
  <si>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</si>
  <si>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</si>
  <si>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</si>
  <si>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</si>
  <si>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</si>
  <si>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</si>
  <si>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</si>
  <si>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</si>
  <si>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</si>
  <si>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</si>
  <si>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</si>
  <si>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</si>
  <si>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</si>
  <si>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</si>
  <si>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</si>
  <si>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</si>
  <si>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</si>
  <si>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</si>
  <si>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</si>
  <si>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</si>
  <si>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</si>
  <si>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</si>
  <si>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</si>
  <si>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</si>
  <si>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</si>
  <si>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</si>
  <si>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</si>
  <si>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</si>
  <si>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</si>
  <si>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</si>
  <si>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</si>
  <si>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</si>
  <si>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</si>
  <si>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</si>
  <si>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</si>
  <si>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</si>
  <si>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</si>
  <si>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</si>
  <si>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</si>
  <si>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</si>
  <si>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</si>
  <si>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</si>
  <si>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</si>
  <si>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</si>
  <si>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</si>
  <si>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</si>
  <si>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</si>
  <si>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</si>
  <si>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</si>
  <si>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</si>
  <si>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</si>
  <si>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</si>
  <si>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</si>
  <si>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</si>
  <si>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</si>
  <si>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</si>
  <si>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</si>
  <si>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</si>
  <si>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</si>
  <si>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</si>
  <si>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</si>
  <si>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</si>
  <si>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</si>
  <si>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</si>
  <si>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</si>
  <si>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</si>
  <si>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</si>
  <si>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</si>
  <si>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</si>
  <si>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</si>
  <si>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</si>
  <si>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</si>
  <si>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</si>
  <si>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</si>
  <si>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</si>
  <si>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</si>
  <si>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</si>
  <si>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</si>
  <si>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</si>
  <si>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</si>
  <si>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</si>
  <si>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</si>
  <si>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</si>
  <si>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</si>
  <si>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</si>
  <si>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</si>
  <si>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</si>
  <si>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</si>
  <si>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</si>
  <si>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</si>
  <si>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</si>
  <si>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</si>
  <si>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</si>
  <si>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</si>
  <si>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</si>
  <si>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</si>
  <si>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</si>
  <si>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</si>
  <si>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</si>
  <si>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</si>
  <si>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</si>
  <si>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</si>
  <si>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</si>
  <si>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</si>
  <si>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</si>
  <si>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</si>
  <si>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</si>
  <si>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</si>
  <si>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</si>
  <si>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</si>
  <si>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</si>
  <si>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</si>
  <si>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</si>
  <si>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</si>
  <si>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</si>
  <si>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</si>
  <si>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</si>
  <si>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</si>
  <si>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</si>
  <si>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</si>
  <si>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</si>
  <si>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</si>
  <si>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</si>
  <si>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</si>
  <si>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</si>
  <si>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</si>
  <si>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</si>
  <si>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</si>
  <si>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</si>
  <si>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</si>
  <si>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</si>
  <si>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</si>
  <si>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</si>
  <si>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</si>
  <si>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</si>
  <si>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</si>
  <si>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</si>
  <si>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</si>
  <si>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</si>
  <si>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</si>
  <si>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</si>
  <si>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</si>
  <si>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</si>
  <si>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</si>
  <si>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</si>
  <si>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</si>
  <si>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</si>
  <si>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</si>
  <si>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</si>
  <si>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</si>
  <si>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</si>
  <si>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</si>
  <si>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</si>
  <si>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</si>
  <si>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</si>
  <si>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</si>
  <si>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</si>
  <si>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</si>
  <si>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</si>
  <si>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</si>
  <si>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</si>
  <si>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</si>
  <si>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</si>
  <si>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</si>
  <si>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</si>
  <si>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</si>
  <si>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</si>
  <si>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</si>
  <si>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</si>
  <si>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</si>
  <si>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</si>
  <si>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</si>
  <si>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</si>
  <si>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</si>
  <si>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</si>
  <si>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</si>
  <si>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</si>
  <si>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</si>
  <si>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</si>
  <si>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</si>
  <si>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</si>
  <si>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</si>
  <si>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</si>
  <si>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</si>
  <si>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</si>
  <si>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</si>
  <si>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</si>
  <si>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</si>
  <si>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</si>
  <si>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</si>
  <si>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</si>
  <si>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</si>
  <si>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</si>
  <si>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</si>
  <si>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</si>
  <si>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</si>
  <si>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</si>
  <si>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</si>
  <si>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</si>
  <si>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</si>
  <si>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</si>
  <si>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</si>
  <si>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</si>
  <si>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</si>
  <si>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</si>
  <si>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</si>
  <si>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</si>
  <si>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</si>
  <si>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</si>
  <si>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</si>
  <si>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DUMMY</t>
  </si>
  <si>
    <t>NEPP_windON_CONSTR</t>
  </si>
  <si>
    <t>NEPP_windOFF_CONSTR</t>
  </si>
  <si>
    <t>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</si>
</sst>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3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3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0" fontId="1" fillId="28" borderId="0" xfId="39" applyFill="1"/>
    <xf numFmtId="165" fontId="30" fillId="0" borderId="0" xfId="39" applyNumberFormat="1" applyFont="1"/>
    <xf numFmtId="0" fontId="30" fillId="0" borderId="0" xfId="39" applyFont="1"/>
    <xf numFmtId="165" fontId="29" fillId="0" borderId="0" xfId="0" applyNumberFormat="1" applyFon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6"/>
  <sheetViews>
    <sheetView tabSelected="1" zoomScale="80" zoomScaleNormal="80" workbookViewId="0">
      <pane xSplit="4" ySplit="2" topLeftCell="E14" activePane="bottomRight" state="frozen"/>
      <selection pane="topRight" activeCell="E1" sqref="E1"/>
      <selection pane="bottomLeft" activeCell="A3" sqref="A3"/>
      <selection pane="bottomRight" activeCell="L35" sqref="L35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5" style="1" bestFit="1" customWidth="1"/>
    <col min="11" max="11" width="4.570312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2" t="s">
        <v>3</v>
      </c>
      <c r="D2" s="2" t="s">
        <v>4</v>
      </c>
      <c r="E2" s="2" t="s">
        <v>5</v>
      </c>
      <c r="F2" s="2" t="s">
        <v>55</v>
      </c>
      <c r="G2" s="2" t="s">
        <v>53</v>
      </c>
      <c r="H2" s="1" t="s">
        <v>228</v>
      </c>
      <c r="I2" s="2" t="s">
        <v>57</v>
      </c>
      <c r="J2" s="2" t="s">
        <v>54</v>
      </c>
      <c r="K2" s="2" t="s">
        <v>6</v>
      </c>
      <c r="L2" s="2" t="s">
        <v>58</v>
      </c>
      <c r="M2" s="2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2" t="s">
        <v>52</v>
      </c>
      <c r="D3" s="2" t="s">
        <v>14</v>
      </c>
      <c r="E3" s="1">
        <v>25</v>
      </c>
      <c r="F3" s="1">
        <v>200</v>
      </c>
      <c r="G3" s="1">
        <v>30</v>
      </c>
      <c r="H3" s="1">
        <v>2</v>
      </c>
      <c r="I3" s="1">
        <f>IFERROR(VLOOKUP(G3,$B$44:$C$46,2,FALSE),"")</f>
        <v>2</v>
      </c>
      <c r="J3" s="1">
        <v>0.85</v>
      </c>
      <c r="L3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0">P4</f>
        <v>ECHP_coal_thermal</v>
      </c>
      <c r="C4" s="2" t="s">
        <v>21</v>
      </c>
      <c r="D4" s="2" t="s">
        <v>14</v>
      </c>
      <c r="E4" s="1">
        <v>25</v>
      </c>
      <c r="F4" s="1">
        <v>200</v>
      </c>
      <c r="G4" s="1">
        <v>30</v>
      </c>
      <c r="H4" s="1">
        <v>2</v>
      </c>
      <c r="I4" s="1">
        <f>IFERROR(VLOOKUP(G4,$B$44:$C$46,2,FALSE),"")</f>
        <v>2</v>
      </c>
      <c r="J4" s="1">
        <v>0.85</v>
      </c>
      <c r="L4">
        <v>11</v>
      </c>
      <c r="M4" s="1">
        <v>1.2</v>
      </c>
      <c r="O4" s="3" t="s">
        <v>15</v>
      </c>
      <c r="P4" s="3" t="s">
        <v>23</v>
      </c>
      <c r="Q4" s="3" t="str">
        <f t="shared" ref="Q4:Q11" si="1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2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0"/>
        <v>ECHP_HFO_thermal</v>
      </c>
      <c r="C5" s="2" t="s">
        <v>24</v>
      </c>
      <c r="D5" s="2" t="s">
        <v>14</v>
      </c>
      <c r="E5" s="1">
        <v>25</v>
      </c>
      <c r="F5" s="1">
        <v>200</v>
      </c>
      <c r="G5" s="1">
        <v>18</v>
      </c>
      <c r="H5" s="1">
        <v>2</v>
      </c>
      <c r="I5" s="1">
        <f>IFERROR(VLOOKUP(G5,$B$44:$C$46,2,FALSE),"")</f>
        <v>4</v>
      </c>
      <c r="J5" s="1">
        <v>0.9</v>
      </c>
      <c r="L5">
        <v>11</v>
      </c>
      <c r="M5" s="1">
        <v>1.2</v>
      </c>
      <c r="O5" s="3" t="s">
        <v>15</v>
      </c>
      <c r="P5" s="3" t="s">
        <v>25</v>
      </c>
      <c r="Q5" s="3" t="str">
        <f t="shared" si="1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2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0"/>
        <v>ECHP_LFO_thermal</v>
      </c>
      <c r="C6" s="2" t="s">
        <v>26</v>
      </c>
      <c r="D6" s="2" t="s">
        <v>14</v>
      </c>
      <c r="E6" s="1">
        <v>25</v>
      </c>
      <c r="F6" s="1">
        <v>200</v>
      </c>
      <c r="G6" s="1">
        <v>18</v>
      </c>
      <c r="H6" s="1">
        <v>2</v>
      </c>
      <c r="I6" s="1">
        <f>IFERROR(VLOOKUP(G6,$B$44:$C$46,2,FALSE),"")</f>
        <v>4</v>
      </c>
      <c r="J6" s="1">
        <v>0.9</v>
      </c>
      <c r="L6">
        <v>11</v>
      </c>
      <c r="M6" s="1">
        <v>1.2</v>
      </c>
      <c r="O6" s="3" t="s">
        <v>15</v>
      </c>
      <c r="P6" s="3" t="s">
        <v>27</v>
      </c>
      <c r="Q6" s="3" t="str">
        <f t="shared" si="1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2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19" t="str">
        <f t="shared" si="0"/>
        <v>ECHP_lignite_thermal</v>
      </c>
      <c r="C7" s="2" t="s">
        <v>28</v>
      </c>
      <c r="D7" s="2" t="s">
        <v>14</v>
      </c>
      <c r="E7" s="1">
        <v>25</v>
      </c>
      <c r="F7" s="1">
        <v>200</v>
      </c>
      <c r="G7" s="1">
        <v>30</v>
      </c>
      <c r="H7" s="1">
        <v>2</v>
      </c>
      <c r="I7" s="1">
        <f>IFERROR(VLOOKUP(G7,$B$44:$C$46,2,FALSE),"")</f>
        <v>2</v>
      </c>
      <c r="J7" s="19">
        <f>0.91</f>
        <v>0.91</v>
      </c>
      <c r="L7">
        <v>11</v>
      </c>
      <c r="M7" s="1">
        <v>1.2</v>
      </c>
      <c r="O7" s="3" t="s">
        <v>15</v>
      </c>
      <c r="P7" s="3" t="s">
        <v>29</v>
      </c>
      <c r="Q7" s="3" t="str">
        <f t="shared" si="1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0"/>
        <v>ECHP_naturalgas_CCGT</v>
      </c>
      <c r="C8" s="2" t="s">
        <v>30</v>
      </c>
      <c r="D8" s="2" t="s">
        <v>14</v>
      </c>
      <c r="E8" s="1">
        <v>25</v>
      </c>
      <c r="F8" s="1">
        <v>200</v>
      </c>
      <c r="G8" s="1">
        <v>23</v>
      </c>
      <c r="H8" s="1">
        <v>2</v>
      </c>
      <c r="I8" s="1">
        <f>IFERROR(VLOOKUP(G8,$B$44:$C$46,2,FALSE),"")</f>
        <v>3</v>
      </c>
      <c r="J8" s="1">
        <v>0.9</v>
      </c>
      <c r="L8">
        <v>11</v>
      </c>
      <c r="M8" s="1">
        <v>1.2</v>
      </c>
      <c r="O8" s="3" t="s">
        <v>15</v>
      </c>
      <c r="P8" s="3" t="s">
        <v>31</v>
      </c>
      <c r="Q8" s="3" t="str">
        <f t="shared" si="1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2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0"/>
        <v>ECHP_naturalgas_OCGT</v>
      </c>
      <c r="C9" s="2" t="s">
        <v>30</v>
      </c>
      <c r="D9" s="2" t="s">
        <v>14</v>
      </c>
      <c r="E9" s="1">
        <v>25</v>
      </c>
      <c r="F9" s="1">
        <v>200</v>
      </c>
      <c r="G9" s="1">
        <v>18</v>
      </c>
      <c r="H9" s="1">
        <v>2</v>
      </c>
      <c r="I9" s="1">
        <f>IFERROR(VLOOKUP(G9,$B$44:$C$46,2,FALSE),"")</f>
        <v>4</v>
      </c>
      <c r="J9" s="1">
        <v>0.9</v>
      </c>
      <c r="L9">
        <v>11</v>
      </c>
      <c r="M9" s="1">
        <v>1.2</v>
      </c>
      <c r="O9" s="3" t="s">
        <v>15</v>
      </c>
      <c r="P9" s="3" t="s">
        <v>32</v>
      </c>
      <c r="Q9" s="3" t="str">
        <f t="shared" si="1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2"/>
        <v>ELCHYD</v>
      </c>
      <c r="Z9" s="3" t="s">
        <v>17</v>
      </c>
    </row>
    <row r="10" spans="2:30" ht="15" x14ac:dyDescent="0.25">
      <c r="B10" s="1" t="str">
        <f t="shared" si="0"/>
        <v>ECHP_naturalgas_thermal</v>
      </c>
      <c r="C10" s="2" t="s">
        <v>30</v>
      </c>
      <c r="D10" s="2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>IFERROR(VLOOKUP(G10,$B$44:$C$46,2,FALSE),"")</f>
        <v>4</v>
      </c>
      <c r="J10" s="1">
        <v>0.9</v>
      </c>
      <c r="L10">
        <v>11</v>
      </c>
      <c r="M10" s="1">
        <v>1.2</v>
      </c>
      <c r="O10" s="3" t="s">
        <v>15</v>
      </c>
      <c r="P10" s="3" t="s">
        <v>33</v>
      </c>
      <c r="Q10" s="3" t="str">
        <f t="shared" si="1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/>
    </row>
    <row r="11" spans="2:30" ht="15" x14ac:dyDescent="0.25">
      <c r="B11" s="1" t="str">
        <f t="shared" si="0"/>
        <v>ECHP_PV</v>
      </c>
      <c r="C11" s="2" t="s">
        <v>34</v>
      </c>
      <c r="D11" s="2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>IFERROR(VLOOKUP(G11,$B$44:$C$46,2,FALSE),"")</f>
        <v/>
      </c>
      <c r="K11" s="1">
        <v>1</v>
      </c>
      <c r="L11"/>
      <c r="M11" s="1">
        <v>1.2</v>
      </c>
      <c r="O11" s="3" t="s">
        <v>15</v>
      </c>
      <c r="P11" s="3" t="s">
        <v>35</v>
      </c>
      <c r="Q11" s="3" t="str">
        <f t="shared" si="1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/>
    </row>
    <row r="12" spans="2:30" ht="15" x14ac:dyDescent="0.25">
      <c r="B12" s="1" t="str">
        <f t="shared" si="0"/>
        <v>EEPP_biomass_CCGT</v>
      </c>
      <c r="C12" s="2" t="s">
        <v>52</v>
      </c>
      <c r="D12" s="2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>IFERROR(VLOOKUP(G12,$B$44:$C$46,2,FALSE),"")</f>
        <v>3</v>
      </c>
      <c r="J12" s="1">
        <v>0.9</v>
      </c>
      <c r="L1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/>
    </row>
    <row r="13" spans="2:30" ht="15" x14ac:dyDescent="0.25">
      <c r="B13" s="1" t="str">
        <f t="shared" si="0"/>
        <v>EEPP_biomass_thermal</v>
      </c>
      <c r="C13" s="2" t="s">
        <v>52</v>
      </c>
      <c r="D13" s="2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>IFERROR(VLOOKUP(G13,$B$44:$C$46,2,FALSE),"")</f>
        <v>2</v>
      </c>
      <c r="J13" s="1">
        <v>0.9</v>
      </c>
      <c r="L13">
        <v>11</v>
      </c>
      <c r="O13" s="3" t="s">
        <v>37</v>
      </c>
      <c r="P13" s="3" t="s">
        <v>39</v>
      </c>
      <c r="Q13" s="3" t="str">
        <f t="shared" ref="Q13:Q23" si="3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/>
    </row>
    <row r="14" spans="2:30" ht="15" x14ac:dyDescent="0.25">
      <c r="B14" s="1" t="str">
        <f t="shared" si="0"/>
        <v>EEPP_coal_CCGT</v>
      </c>
      <c r="C14" s="2" t="s">
        <v>21</v>
      </c>
      <c r="D14" s="2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>IFERROR(VLOOKUP(G14,$B$44:$C$46,2,FALSE),"")</f>
        <v>2</v>
      </c>
      <c r="J14" s="1">
        <v>0.85</v>
      </c>
      <c r="L14">
        <v>11</v>
      </c>
      <c r="O14" s="3" t="s">
        <v>37</v>
      </c>
      <c r="P14" s="3" t="s">
        <v>40</v>
      </c>
      <c r="Q14" s="3" t="str">
        <f t="shared" si="3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/>
    </row>
    <row r="15" spans="2:30" ht="15" x14ac:dyDescent="0.25">
      <c r="B15" s="1" t="str">
        <f t="shared" si="0"/>
        <v>EEPP_coal_thermal</v>
      </c>
      <c r="C15" s="2" t="s">
        <v>21</v>
      </c>
      <c r="D15" s="2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>IFERROR(VLOOKUP(G15,$B$44:$C$46,2,FALSE),"")</f>
        <v>2</v>
      </c>
      <c r="J15" s="1">
        <v>0.85</v>
      </c>
      <c r="L15">
        <v>11</v>
      </c>
      <c r="O15" s="3" t="s">
        <v>37</v>
      </c>
      <c r="P15" s="3" t="s">
        <v>41</v>
      </c>
      <c r="Q15" s="3" t="str">
        <f t="shared" si="3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/>
    </row>
    <row r="16" spans="2:30" ht="15" x14ac:dyDescent="0.25">
      <c r="B16" s="1" t="str">
        <f t="shared" si="0"/>
        <v>EEPP_geothermal</v>
      </c>
      <c r="C16" s="2" t="s">
        <v>42</v>
      </c>
      <c r="D16" s="2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>IFERROR(VLOOKUP(G16,$B$44:$C$46,2,FALSE),"")</f>
        <v>2</v>
      </c>
      <c r="J16" s="1">
        <v>0.9</v>
      </c>
      <c r="K16" s="1">
        <v>1</v>
      </c>
      <c r="L16"/>
      <c r="O16" s="3" t="s">
        <v>37</v>
      </c>
      <c r="P16" s="3" t="s">
        <v>43</v>
      </c>
      <c r="Q16" s="3" t="str">
        <f t="shared" si="3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/>
    </row>
    <row r="17" spans="2:24" ht="15" x14ac:dyDescent="0.25">
      <c r="B17" s="1" t="str">
        <f t="shared" si="0"/>
        <v>EEPP_HFO_thermal</v>
      </c>
      <c r="C17" s="2" t="s">
        <v>24</v>
      </c>
      <c r="D17" s="2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>IFERROR(VLOOKUP(G17,$B$44:$C$46,2,FALSE),"")</f>
        <v>4</v>
      </c>
      <c r="J17" s="1">
        <v>0.9</v>
      </c>
      <c r="L17">
        <v>11</v>
      </c>
      <c r="O17" s="3" t="s">
        <v>37</v>
      </c>
      <c r="P17" s="3" t="s">
        <v>44</v>
      </c>
      <c r="Q17" s="3" t="str">
        <f t="shared" si="3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/>
    </row>
    <row r="18" spans="2:24" ht="15" x14ac:dyDescent="0.25">
      <c r="B18" s="1" t="str">
        <f t="shared" si="0"/>
        <v>EEPP_LFO_thermal</v>
      </c>
      <c r="C18" s="2" t="s">
        <v>26</v>
      </c>
      <c r="D18" s="2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>IFERROR(VLOOKUP(G18,$B$44:$C$46,2,FALSE),"")</f>
        <v>4</v>
      </c>
      <c r="J18" s="1">
        <v>0.9</v>
      </c>
      <c r="L18">
        <v>11</v>
      </c>
      <c r="O18" s="3" t="s">
        <v>37</v>
      </c>
      <c r="P18" s="3" t="s">
        <v>45</v>
      </c>
      <c r="Q18" s="3" t="str">
        <f t="shared" si="3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/>
    </row>
    <row r="19" spans="2:24" ht="15" x14ac:dyDescent="0.25">
      <c r="B19" s="19" t="str">
        <f t="shared" si="0"/>
        <v>EEPP_lignite_thermal</v>
      </c>
      <c r="C19" s="2" t="s">
        <v>28</v>
      </c>
      <c r="D19" s="2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>IFERROR(VLOOKUP(G19,$B$44:$C$46,2,FALSE),"")</f>
        <v>2</v>
      </c>
      <c r="J19" s="19">
        <f>0.9</f>
        <v>0.9</v>
      </c>
      <c r="L19">
        <v>11</v>
      </c>
      <c r="O19" s="3" t="s">
        <v>37</v>
      </c>
      <c r="P19" s="3" t="s">
        <v>46</v>
      </c>
      <c r="Q19" s="3" t="str">
        <f t="shared" si="3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/>
    </row>
    <row r="20" spans="2:24" ht="15" x14ac:dyDescent="0.25">
      <c r="B20" s="1" t="str">
        <f t="shared" si="0"/>
        <v>EEPP_naturalgas_CCGT</v>
      </c>
      <c r="C20" s="2" t="s">
        <v>30</v>
      </c>
      <c r="D20" s="2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>IFERROR(VLOOKUP(G20,$B$44:$C$46,2,FALSE),"")</f>
        <v>3</v>
      </c>
      <c r="J20" s="1">
        <v>0.9</v>
      </c>
      <c r="L20">
        <v>11</v>
      </c>
      <c r="O20" s="3" t="s">
        <v>37</v>
      </c>
      <c r="P20" s="3" t="s">
        <v>47</v>
      </c>
      <c r="Q20" s="3" t="str">
        <f t="shared" si="3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/>
    </row>
    <row r="21" spans="2:24" ht="15" x14ac:dyDescent="0.25">
      <c r="B21" s="1" t="str">
        <f t="shared" si="0"/>
        <v>EEPP_naturalgas_OCGT</v>
      </c>
      <c r="C21" s="2" t="s">
        <v>30</v>
      </c>
      <c r="D21" s="2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>IFERROR(VLOOKUP(G21,$B$44:$C$46,2,FALSE),"")</f>
        <v>4</v>
      </c>
      <c r="J21" s="1">
        <v>0.9</v>
      </c>
      <c r="L21">
        <v>11</v>
      </c>
      <c r="O21" s="3" t="s">
        <v>37</v>
      </c>
      <c r="P21" s="3" t="s">
        <v>48</v>
      </c>
      <c r="Q21" s="3" t="str">
        <f t="shared" si="3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/>
    </row>
    <row r="22" spans="2:24" ht="15" x14ac:dyDescent="0.25">
      <c r="B22" s="1" t="str">
        <f t="shared" si="0"/>
        <v>EEPP_naturalgas_thermal</v>
      </c>
      <c r="C22" s="2" t="s">
        <v>30</v>
      </c>
      <c r="D22" s="2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>IFERROR(VLOOKUP(G22,$B$44:$C$46,2,FALSE),"")</f>
        <v>4</v>
      </c>
      <c r="J22" s="1">
        <v>0.9</v>
      </c>
      <c r="L22">
        <v>11</v>
      </c>
      <c r="O22" s="3" t="s">
        <v>37</v>
      </c>
      <c r="P22" s="3" t="s">
        <v>49</v>
      </c>
      <c r="Q22" s="3" t="str">
        <f t="shared" si="3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/>
    </row>
    <row r="23" spans="2:24" ht="15" x14ac:dyDescent="0.25">
      <c r="B23" s="1" t="str">
        <f t="shared" si="0"/>
        <v>EEPP_PV</v>
      </c>
      <c r="C23" s="2" t="s">
        <v>34</v>
      </c>
      <c r="D23" s="2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>IFERROR(VLOOKUP(G23,$B$44:$C$46,2,FALSE),"")</f>
        <v/>
      </c>
      <c r="K23" s="1">
        <v>1</v>
      </c>
      <c r="L23"/>
      <c r="O23" s="3" t="s">
        <v>37</v>
      </c>
      <c r="P23" s="3" t="s">
        <v>50</v>
      </c>
      <c r="Q23" s="3" t="str">
        <f t="shared" si="3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/>
    </row>
    <row r="24" spans="2:24" ht="15" x14ac:dyDescent="0.25">
      <c r="B24" s="1" t="str">
        <f t="shared" si="0"/>
        <v>EEPP_CSP</v>
      </c>
      <c r="C24" s="2" t="s">
        <v>34</v>
      </c>
      <c r="D24" s="2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>IFERROR(VLOOKUP(G24,$B$44:$C$46,2,FALSE),"")</f>
        <v/>
      </c>
      <c r="J24" s="1">
        <v>0.8</v>
      </c>
      <c r="K24" s="1">
        <v>1</v>
      </c>
      <c r="L24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/>
    </row>
    <row r="25" spans="2:24" ht="15" x14ac:dyDescent="0.25">
      <c r="B25" s="1" t="str">
        <f t="shared" si="0"/>
        <v>EEPP_windOFF</v>
      </c>
      <c r="C25" s="1" t="s">
        <v>51</v>
      </c>
      <c r="D25" s="2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>IFERROR(VLOOKUP(G25,$B$44:$C$46,2,FALSE),"")</f>
        <v/>
      </c>
      <c r="K25" s="1">
        <v>1</v>
      </c>
      <c r="L25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/>
    </row>
    <row r="26" spans="2:24" ht="15" x14ac:dyDescent="0.25">
      <c r="B26" s="1" t="str">
        <f>P26</f>
        <v>EEPP_windON</v>
      </c>
      <c r="C26" s="2" t="s">
        <v>51</v>
      </c>
      <c r="D26" s="2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>IFERROR(VLOOKUP(G26,$B$44:$C$46,2,FALSE),"")</f>
        <v/>
      </c>
      <c r="K26" s="1">
        <v>1</v>
      </c>
      <c r="L26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/>
    </row>
    <row r="27" spans="2:24" ht="15" x14ac:dyDescent="0.25">
      <c r="B27" s="1" t="str">
        <f t="shared" ref="B27" si="4">P27</f>
        <v>EEPP_OCE</v>
      </c>
      <c r="C27" s="1" t="s">
        <v>226</v>
      </c>
      <c r="D27" s="2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>IFERROR(VLOOKUP(G27,$B$44:$C$46,2,FALSE),"")</f>
        <v/>
      </c>
      <c r="K27" s="1">
        <v>1</v>
      </c>
      <c r="L27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/>
    </row>
    <row r="28" spans="2:24" x14ac:dyDescent="0.2">
      <c r="B28" s="1" t="str">
        <f t="shared" ref="B28:B29" si="5">P28</f>
        <v>EUHYDDAM00</v>
      </c>
      <c r="C28" s="1" t="s">
        <v>78</v>
      </c>
      <c r="D28" s="2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5"/>
        <v>EUHYDRUN00</v>
      </c>
      <c r="C29" s="1" t="s">
        <v>78</v>
      </c>
      <c r="D29" s="2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1" t="str">
        <f>P30</f>
        <v>NEPP_windON</v>
      </c>
      <c r="C30" s="1" t="s">
        <v>51</v>
      </c>
      <c r="D30" s="2" t="s">
        <v>36</v>
      </c>
      <c r="E30" s="21"/>
      <c r="F30" s="21">
        <v>30</v>
      </c>
      <c r="G30" s="21"/>
      <c r="I30" s="21"/>
      <c r="J30" s="21"/>
      <c r="K30" s="21">
        <v>1</v>
      </c>
      <c r="L30" s="21"/>
      <c r="M30" s="21"/>
      <c r="N30" s="21"/>
      <c r="O30" s="20" t="s">
        <v>37</v>
      </c>
      <c r="P30" s="17" t="s">
        <v>237</v>
      </c>
      <c r="Q30" s="20" t="str">
        <f>"New Electricity plant - " &amp; MID(P30,6,50)&amp;" - onshore"</f>
        <v>New Electricity plant - windON - onshore</v>
      </c>
      <c r="R30" s="20" t="s">
        <v>17</v>
      </c>
      <c r="S30" s="20" t="s">
        <v>18</v>
      </c>
      <c r="T30" s="3" t="s">
        <v>19</v>
      </c>
      <c r="U30" s="3" t="s">
        <v>20</v>
      </c>
      <c r="V30" s="21"/>
    </row>
    <row r="31" spans="2:24" ht="15" x14ac:dyDescent="0.25">
      <c r="B31" s="21" t="str">
        <f>P31</f>
        <v>NEPP_windOFF</v>
      </c>
      <c r="C31" s="1" t="s">
        <v>51</v>
      </c>
      <c r="D31" s="2" t="s">
        <v>36</v>
      </c>
      <c r="E31" s="21"/>
      <c r="F31" s="21">
        <v>30</v>
      </c>
      <c r="G31" s="21"/>
      <c r="I31" s="21"/>
      <c r="J31" s="21"/>
      <c r="K31" s="21">
        <v>1</v>
      </c>
      <c r="L31" s="21"/>
      <c r="M31" s="21"/>
      <c r="N31" s="21"/>
      <c r="O31" s="20" t="s">
        <v>37</v>
      </c>
      <c r="P31" s="17" t="s">
        <v>238</v>
      </c>
      <c r="Q31" s="20" t="str">
        <f>"New Electricity plant - " &amp; MID(P31,6,50)&amp;" - offshore"</f>
        <v>New Electricity plant - windOFF - offshore</v>
      </c>
      <c r="R31" s="20" t="s">
        <v>17</v>
      </c>
      <c r="S31" s="20" t="s">
        <v>18</v>
      </c>
      <c r="T31" s="3" t="s">
        <v>19</v>
      </c>
      <c r="U31" s="3" t="s">
        <v>20</v>
      </c>
      <c r="V31" s="21"/>
    </row>
    <row r="32" spans="2:24" ht="15" x14ac:dyDescent="0.25">
      <c r="B32" s="21" t="str">
        <f>P32</f>
        <v>NEPP_windON_CONSTR</v>
      </c>
      <c r="C32" s="21" t="s">
        <v>236</v>
      </c>
      <c r="D32" s="21" t="s">
        <v>239</v>
      </c>
      <c r="E32" s="21"/>
      <c r="F32" s="21">
        <v>1</v>
      </c>
      <c r="G32" s="21"/>
      <c r="H32" s="21">
        <v>30</v>
      </c>
      <c r="I32" s="21"/>
      <c r="J32" s="21"/>
      <c r="K32" s="21">
        <v>1</v>
      </c>
      <c r="L32" s="21"/>
      <c r="M32" s="21"/>
      <c r="N32" s="21"/>
      <c r="O32" s="20" t="s">
        <v>242</v>
      </c>
      <c r="P32" s="17" t="s">
        <v>240</v>
      </c>
      <c r="Q32" s="20" t="str">
        <f>"New Electricity plant - " &amp; MID(P32,6,50)&amp;" - onshore"</f>
        <v>New Electricity plant - windON_CONSTR - onshore</v>
      </c>
      <c r="R32" s="20" t="s">
        <v>17</v>
      </c>
      <c r="S32" s="20" t="s">
        <v>18</v>
      </c>
      <c r="T32" s="20"/>
      <c r="U32" s="20"/>
      <c r="V32" s="21"/>
    </row>
    <row r="33" spans="2:22" ht="15" x14ac:dyDescent="0.25">
      <c r="B33" s="21" t="str">
        <f>P33</f>
        <v>NEPP_windOFF_CONSTR</v>
      </c>
      <c r="C33" s="21" t="s">
        <v>236</v>
      </c>
      <c r="D33" s="21" t="s">
        <v>239</v>
      </c>
      <c r="E33" s="21"/>
      <c r="F33" s="21">
        <v>1</v>
      </c>
      <c r="G33" s="21"/>
      <c r="H33" s="21">
        <v>120</v>
      </c>
      <c r="I33" s="21"/>
      <c r="J33" s="21"/>
      <c r="K33" s="21">
        <v>1</v>
      </c>
      <c r="L33" s="21"/>
      <c r="M33" s="21"/>
      <c r="N33" s="21"/>
      <c r="O33" s="20" t="s">
        <v>242</v>
      </c>
      <c r="P33" s="17" t="s">
        <v>241</v>
      </c>
      <c r="Q33" s="20" t="str">
        <f>"New Electricity plant - " &amp; MID(P33,6,50)&amp;" - offshore"</f>
        <v>New Electricity plant - windOFF_CONSTR - offshore</v>
      </c>
      <c r="R33" s="20" t="s">
        <v>17</v>
      </c>
      <c r="S33" s="20" t="s">
        <v>18</v>
      </c>
      <c r="T33" s="20"/>
      <c r="U33" s="20"/>
      <c r="V33" s="21"/>
    </row>
    <row r="34" spans="2:22" ht="15" x14ac:dyDescent="0.25">
      <c r="B34" s="21"/>
      <c r="C34" s="17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0"/>
      <c r="P34" s="17"/>
      <c r="Q34" s="20"/>
      <c r="R34" s="20"/>
      <c r="S34" s="20"/>
      <c r="T34" s="20"/>
      <c r="U34" s="20"/>
      <c r="V34" s="21"/>
    </row>
    <row r="35" spans="2:22" ht="15" x14ac:dyDescent="0.25">
      <c r="D35" s="2"/>
      <c r="N35" s="21"/>
      <c r="O35" s="20"/>
      <c r="P35" s="17"/>
      <c r="Q35" s="20"/>
      <c r="R35" s="20"/>
      <c r="S35" s="20"/>
      <c r="T35" s="20"/>
      <c r="U35" s="20"/>
      <c r="V35" s="21"/>
    </row>
    <row r="36" spans="2:22" x14ac:dyDescent="0.2">
      <c r="B36" s="1" t="s">
        <v>224</v>
      </c>
      <c r="D36" s="2"/>
      <c r="O36" s="3"/>
      <c r="R36" s="3"/>
      <c r="S36" s="3"/>
      <c r="T36" s="3"/>
      <c r="U36" s="3"/>
    </row>
    <row r="37" spans="2:22" x14ac:dyDescent="0.2">
      <c r="B37" s="1" t="str">
        <f>P38</f>
        <v>EEPP_HYDPS</v>
      </c>
      <c r="C37" s="1" t="s">
        <v>36</v>
      </c>
      <c r="D37" s="1" t="s">
        <v>36</v>
      </c>
      <c r="F37" s="1">
        <v>100</v>
      </c>
      <c r="O37" s="3"/>
      <c r="R37" s="3"/>
      <c r="S37" s="3"/>
      <c r="T37" s="3"/>
      <c r="U37" s="3"/>
    </row>
    <row r="38" spans="2:22" x14ac:dyDescent="0.2">
      <c r="O38" s="1" t="s">
        <v>114</v>
      </c>
      <c r="P38" s="1" t="s">
        <v>115</v>
      </c>
      <c r="Q38" s="1" t="str">
        <f>"Existing Pumped Storage Plants - "&amp;MID(P38,8,55)</f>
        <v>Existing Pumped Storage Plants - DPS</v>
      </c>
      <c r="R38" s="3" t="s">
        <v>17</v>
      </c>
      <c r="S38" s="3" t="s">
        <v>18</v>
      </c>
      <c r="T38" s="3" t="s">
        <v>19</v>
      </c>
      <c r="U38" s="3" t="s">
        <v>20</v>
      </c>
    </row>
    <row r="41" spans="2:22" ht="15" x14ac:dyDescent="0.25">
      <c r="P41"/>
    </row>
    <row r="42" spans="2:22" ht="15" x14ac:dyDescent="0.25">
      <c r="P42"/>
    </row>
    <row r="43" spans="2:22" ht="15" x14ac:dyDescent="0.25">
      <c r="B43" s="1" t="s">
        <v>227</v>
      </c>
      <c r="P43"/>
    </row>
    <row r="44" spans="2:22" ht="15" x14ac:dyDescent="0.25">
      <c r="B44" s="5">
        <v>23</v>
      </c>
      <c r="C44" s="5">
        <v>3</v>
      </c>
      <c r="P44"/>
    </row>
    <row r="45" spans="2:22" ht="15" x14ac:dyDescent="0.25">
      <c r="B45" s="5">
        <v>18</v>
      </c>
      <c r="C45" s="5">
        <v>4</v>
      </c>
      <c r="P45"/>
    </row>
    <row r="46" spans="2:22" ht="15" x14ac:dyDescent="0.25">
      <c r="B46" s="5">
        <v>30</v>
      </c>
      <c r="C46" s="5">
        <v>2</v>
      </c>
      <c r="P46"/>
    </row>
    <row r="47" spans="2:22" ht="15" x14ac:dyDescent="0.25"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  <row r="55" spans="16:16" ht="15" x14ac:dyDescent="0.25">
      <c r="P55"/>
    </row>
    <row r="56" spans="16:16" ht="15" x14ac:dyDescent="0.25">
      <c r="P56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4"/>
  <sheetViews>
    <sheetView topLeftCell="A8" workbookViewId="0">
      <selection activeCell="I23" sqref="I23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I22" t="s">
        <v>242</v>
      </c>
      <c r="J22" s="17" t="s">
        <v>234</v>
      </c>
      <c r="K22" s="17" t="s">
        <v>235</v>
      </c>
      <c r="L22" s="22" t="s">
        <v>17</v>
      </c>
      <c r="M22" s="22" t="s">
        <v>81</v>
      </c>
    </row>
    <row r="23" spans="3:15" x14ac:dyDescent="0.25">
      <c r="C23" s="17" t="s">
        <v>234</v>
      </c>
      <c r="E23" s="17" t="s">
        <v>236</v>
      </c>
      <c r="F23" s="17">
        <v>1</v>
      </c>
      <c r="J23" s="17"/>
      <c r="K23" s="17"/>
      <c r="L23" s="22"/>
      <c r="M23" s="22"/>
    </row>
    <row r="24" spans="3:15" x14ac:dyDescent="0.25">
      <c r="C24" s="17"/>
      <c r="E24" s="17"/>
      <c r="F24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topLeftCell="E1"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2026-01-28T05:05:10Z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